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MNSKU对应品线表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'MNSKU对应品线表'!$A$1:$O$2172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_);[Red]\(0\)"/>
  </numFmts>
  <fonts count="36">
    <font>
      <name val="等线"/>
      <charset val="134"/>
      <color theme="1"/>
      <sz val="12"/>
      <scheme val="minor"/>
    </font>
    <font>
      <name val="宋体"/>
      <charset val="134"/>
      <color rgb="FF000000"/>
      <sz val="11"/>
    </font>
    <font>
      <name val="宋体"/>
      <charset val="134"/>
      <b val="1"/>
      <sz val="11"/>
    </font>
    <font>
      <name val="宋体"/>
      <charset val="134"/>
      <sz val="11"/>
    </font>
    <font>
      <name val="微软雅黑"/>
      <charset val="134"/>
      <b val="1"/>
      <sz val="10"/>
    </font>
    <font>
      <name val="宋体"/>
      <charset val="134"/>
      <b val="1"/>
      <sz val="9"/>
    </font>
    <font>
      <name val="宋体"/>
      <charset val="134"/>
      <b val="1"/>
      <color rgb="FF000000"/>
      <sz val="11"/>
    </font>
    <font>
      <name val="等线"/>
      <charset val="134"/>
      <sz val="10"/>
    </font>
    <font>
      <name val="等线"/>
      <charset val="134"/>
      <sz val="10"/>
      <scheme val="minor"/>
    </font>
    <font>
      <name val="微软雅黑"/>
      <charset val="134"/>
      <sz val="9"/>
    </font>
    <font>
      <name val="宋体"/>
      <charset val="134"/>
      <b val="1"/>
      <color rgb="FFFE0300"/>
      <sz val="11"/>
    </font>
    <font>
      <name val="宋体"/>
      <charset val="134"/>
      <sz val="9"/>
    </font>
    <font>
      <name val="宋体"/>
      <charset val="134"/>
      <color rgb="FF7030A0"/>
      <sz val="11"/>
    </font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134"/>
      <color theme="10"/>
      <sz val="10"/>
      <u val="single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5"/>
      <scheme val="minor"/>
    </font>
    <font>
      <name val="宋体"/>
      <charset val="134"/>
      <color rgb="FF000000"/>
      <sz val="10.5"/>
    </font>
    <font>
      <name val="宋体"/>
      <charset val="0"/>
      <sz val="9"/>
    </font>
    <font>
      <name val="宋体"/>
      <charset val="0"/>
      <b val="1"/>
      <sz val="9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0" fontId="17" fillId="10" borderId="0" applyAlignment="1">
      <alignment vertical="center"/>
    </xf>
    <xf numFmtId="0" fontId="14" fillId="20" borderId="0" applyAlignment="1">
      <alignment vertical="center"/>
    </xf>
    <xf numFmtId="0" fontId="17" fillId="33" borderId="0" applyAlignment="1">
      <alignment vertical="center"/>
    </xf>
    <xf numFmtId="0" fontId="16" fillId="7" borderId="3" applyAlignment="1">
      <alignment vertical="center"/>
    </xf>
    <xf numFmtId="0" fontId="14" fillId="30" borderId="0" applyAlignment="1">
      <alignment vertical="center"/>
    </xf>
    <xf numFmtId="0" fontId="14" fillId="34" borderId="0" applyAlignment="1">
      <alignment vertical="center"/>
    </xf>
    <xf numFmtId="44" fontId="13" fillId="0" borderId="0" applyAlignment="1">
      <alignment vertical="center"/>
    </xf>
    <xf numFmtId="0" fontId="17" fillId="24" borderId="0" applyAlignment="1">
      <alignment vertical="center"/>
    </xf>
    <xf numFmtId="9" fontId="13" fillId="0" borderId="0" applyAlignment="1">
      <alignment vertical="center"/>
    </xf>
    <xf numFmtId="0" fontId="17" fillId="27" borderId="0" applyAlignment="1">
      <alignment vertical="center"/>
    </xf>
    <xf numFmtId="0" fontId="17" fillId="25" borderId="0" applyAlignment="1">
      <alignment vertical="center"/>
    </xf>
    <xf numFmtId="0" fontId="17" fillId="21" borderId="0" applyAlignment="1">
      <alignment vertical="center"/>
    </xf>
    <xf numFmtId="0" fontId="17" fillId="18" borderId="0" applyAlignment="1">
      <alignment vertical="center"/>
    </xf>
    <xf numFmtId="0" fontId="17" fillId="14" borderId="0" applyAlignment="1">
      <alignment vertical="center"/>
    </xf>
    <xf numFmtId="0" fontId="23" fillId="17" borderId="3" applyAlignment="1">
      <alignment vertical="center"/>
    </xf>
    <xf numFmtId="0" fontId="17" fillId="26" borderId="0" applyAlignment="1">
      <alignment vertical="center"/>
    </xf>
    <xf numFmtId="0" fontId="30" fillId="28" borderId="0" applyAlignment="1">
      <alignment vertical="center"/>
    </xf>
    <xf numFmtId="0" fontId="14" fillId="32" borderId="0" applyAlignment="1">
      <alignment vertical="center"/>
    </xf>
    <xf numFmtId="0" fontId="22" fillId="16" borderId="0" applyAlignment="1">
      <alignment vertical="center"/>
    </xf>
    <xf numFmtId="0" fontId="14" fillId="23" borderId="0" applyAlignment="1">
      <alignment vertical="center"/>
    </xf>
    <xf numFmtId="0" fontId="26" fillId="0" borderId="6" applyAlignment="1">
      <alignment vertical="center"/>
    </xf>
    <xf numFmtId="0" fontId="24" fillId="19" borderId="0" applyAlignment="1">
      <alignment vertical="center"/>
    </xf>
    <xf numFmtId="0" fontId="21" fillId="15" borderId="5" applyAlignment="1">
      <alignment vertical="center"/>
    </xf>
    <xf numFmtId="0" fontId="29" fillId="17" borderId="9" applyAlignment="1">
      <alignment vertical="center"/>
    </xf>
    <xf numFmtId="0" fontId="32" fillId="0" borderId="4" applyAlignment="1">
      <alignment vertical="center"/>
    </xf>
    <xf numFmtId="0" fontId="25" fillId="0" borderId="0" applyAlignment="1">
      <alignment vertical="center"/>
    </xf>
    <xf numFmtId="0" fontId="14" fillId="12" borderId="0" applyAlignment="1">
      <alignment vertical="center"/>
    </xf>
    <xf numFmtId="0" fontId="15" fillId="0" borderId="0" applyAlignment="1">
      <alignment vertical="center"/>
    </xf>
    <xf numFmtId="42" fontId="13" fillId="0" borderId="0" applyAlignment="1">
      <alignment vertical="center"/>
    </xf>
    <xf numFmtId="0" fontId="14" fillId="11" borderId="0" applyAlignment="1">
      <alignment vertical="center"/>
    </xf>
    <xf numFmtId="43" fontId="13" fillId="0" borderId="0" applyAlignment="1">
      <alignment vertical="center"/>
    </xf>
    <xf numFmtId="0" fontId="31" fillId="0" borderId="0" applyAlignment="1">
      <alignment vertical="center"/>
    </xf>
    <xf numFmtId="0" fontId="18" fillId="0" borderId="0" applyAlignment="1">
      <alignment vertical="center"/>
    </xf>
    <xf numFmtId="0" fontId="14" fillId="31" borderId="0" applyAlignment="1">
      <alignment vertical="center"/>
    </xf>
    <xf numFmtId="0" fontId="27" fillId="0" borderId="0" applyAlignment="1">
      <alignment vertical="center"/>
    </xf>
    <xf numFmtId="0" fontId="17" fillId="13" borderId="0" applyAlignment="1">
      <alignment vertical="center"/>
    </xf>
    <xf numFmtId="0" fontId="13" fillId="22" borderId="7" applyAlignment="1">
      <alignment vertical="center"/>
    </xf>
    <xf numFmtId="0" fontId="14" fillId="9" borderId="0" applyAlignment="1">
      <alignment vertical="center"/>
    </xf>
    <xf numFmtId="0" fontId="17" fillId="8" borderId="0" applyAlignment="1">
      <alignment vertical="center"/>
    </xf>
    <xf numFmtId="0" fontId="14" fillId="6" borderId="0" applyAlignment="1">
      <alignment vertical="center"/>
    </xf>
    <xf numFmtId="0" fontId="19" fillId="0" borderId="0" applyAlignment="1">
      <alignment vertical="center"/>
    </xf>
    <xf numFmtId="41" fontId="13" fillId="0" borderId="0" applyAlignment="1">
      <alignment vertical="center"/>
    </xf>
    <xf numFmtId="0" fontId="20" fillId="0" borderId="4" applyAlignment="1">
      <alignment vertical="center"/>
    </xf>
    <xf numFmtId="0" fontId="14" fillId="35" borderId="0" applyAlignment="1">
      <alignment vertical="center"/>
    </xf>
    <xf numFmtId="0" fontId="15" fillId="0" borderId="2" applyAlignment="1">
      <alignment vertical="center"/>
    </xf>
    <xf numFmtId="0" fontId="17" fillId="29" borderId="0" applyAlignment="1">
      <alignment vertical="center"/>
    </xf>
    <xf numFmtId="0" fontId="14" fillId="5" borderId="0" applyAlignment="1">
      <alignment vertical="center"/>
    </xf>
    <xf numFmtId="0" fontId="28" fillId="0" borderId="8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14" fontId="7" fillId="0" borderId="0" applyAlignment="1" pivotButton="0" quotePrefix="0" xfId="0">
      <alignment vertical="center"/>
    </xf>
    <xf numFmtId="14" fontId="3" fillId="0" borderId="0" pivotButton="0" quotePrefix="0" xfId="0"/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pivotButton="0" quotePrefix="0" xfId="0"/>
    <xf numFmtId="14" fontId="10" fillId="0" borderId="0" pivotButton="0" quotePrefix="0" xfId="0"/>
    <xf numFmtId="0" fontId="1" fillId="0" borderId="0" applyAlignment="1" pivotButton="0" quotePrefix="0" xfId="0">
      <alignment horizontal="center"/>
    </xf>
    <xf numFmtId="49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4" fontId="1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right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14" fontId="1" fillId="4" borderId="0" pivotButton="0" quotePrefix="0" xfId="0"/>
    <xf numFmtId="58" fontId="1" fillId="0" borderId="0" pivotButton="0" quotePrefix="0" xfId="0"/>
    <xf numFmtId="14" fontId="3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User</author>
  </authors>
  <commentList>
    <comment ref="D758" authorId="0" shapeId="0">
      <text>
        <t xml:space="preserve">批注:
面盆龙头，不是浴缸龙头
  - 刘皓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14</col>
      <colOff>38100</colOff>
      <row>1451</row>
      <rowOff>9525</rowOff>
    </from>
    <ext cx="609600" cy="257175"/>
    <pic>
      <nvPicPr>
        <cNvPr id="2" name="图片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791430" y="276415500"/>
          <a:ext cx="609600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</col>
      <colOff>38100</colOff>
      <row>1455</row>
      <rowOff>0</rowOff>
    </from>
    <ext cx="590550" cy="266700"/>
    <pic>
      <nvPicPr>
        <cNvPr id="3" name="图片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7791430" y="277167975"/>
          <a:ext cx="59055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E:/&#36130;&#21153;&#30456;&#20851;-5.12/listing&#37197;&#23545;/Listing&#37197;&#23545;&#28145;&#22323;&amp;&#24191;&#24030; - 10.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整理"/>
    </sheetNames>
    <sheetDataSet>
      <sheetData sheetId="0">
        <row r="1">
          <cell r="B1" t="str">
            <v>MSKU</v>
          </cell>
        </row>
        <row r="1">
          <cell r="P1" t="str">
            <v>erp对应SKU</v>
          </cell>
        </row>
        <row r="2">
          <cell r="B2" t="str">
            <v>1004BK APF1</v>
          </cell>
        </row>
        <row r="2">
          <cell r="P2" t="str">
            <v>211F9008BK2</v>
          </cell>
        </row>
        <row r="3">
          <cell r="B3" t="str">
            <v>2001BN APF1</v>
          </cell>
        </row>
        <row r="3">
          <cell r="P3" t="str">
            <v>211F8001BN2</v>
          </cell>
        </row>
        <row r="4">
          <cell r="B4" t="str">
            <v>A121BK</v>
          </cell>
        </row>
        <row r="4">
          <cell r="P4" t="str">
            <v>320F0121BK1</v>
          </cell>
        </row>
        <row r="5">
          <cell r="B5" t="str">
            <v>2001BG APF1</v>
          </cell>
        </row>
        <row r="5">
          <cell r="P5" t="str">
            <v>211F8001BG1</v>
          </cell>
        </row>
        <row r="6">
          <cell r="B6" t="str">
            <v>2004BK APF1</v>
          </cell>
        </row>
        <row r="6">
          <cell r="P6" t="str">
            <v>211F8000BK2</v>
          </cell>
        </row>
        <row r="7">
          <cell r="B7" t="str">
            <v>2004BG APF1</v>
          </cell>
        </row>
        <row r="7">
          <cell r="P7" t="str">
            <v>211F8000BG1</v>
          </cell>
        </row>
        <row r="8">
          <cell r="B8" t="str">
            <v>2001BK  APF1</v>
          </cell>
        </row>
        <row r="8">
          <cell r="P8" t="str">
            <v>211F8001BK2</v>
          </cell>
        </row>
        <row r="9">
          <cell r="B9" t="str">
            <v>A122BK SK2</v>
          </cell>
        </row>
        <row r="9">
          <cell r="P9" t="str">
            <v>321F0122BK1</v>
          </cell>
        </row>
        <row r="10">
          <cell r="B10" t="str">
            <v>1004BG APF1</v>
          </cell>
        </row>
        <row r="10">
          <cell r="P10" t="str">
            <v>211F9008BG1</v>
          </cell>
        </row>
        <row r="11">
          <cell r="B11" t="str">
            <v>1004CP APF1</v>
          </cell>
        </row>
        <row r="11">
          <cell r="P11" t="str">
            <v>211F9008CP1</v>
          </cell>
        </row>
        <row r="12">
          <cell r="B12" t="str">
            <v>2001CP APF1</v>
          </cell>
        </row>
        <row r="12">
          <cell r="P12" t="str">
            <v>211F8001CP1</v>
          </cell>
        </row>
        <row r="13">
          <cell r="B13" t="str">
            <v>3005BG APF1</v>
          </cell>
        </row>
        <row r="13">
          <cell r="P13" t="str">
            <v>230F3005BG1</v>
          </cell>
        </row>
        <row r="14">
          <cell r="B14" t="str">
            <v>2004BN APF1</v>
          </cell>
        </row>
        <row r="14">
          <cell r="P14" t="str">
            <v>211F8000BN2</v>
          </cell>
        </row>
        <row r="15">
          <cell r="B15" t="str">
            <v>1004ORB APF1</v>
          </cell>
        </row>
        <row r="15">
          <cell r="P15" t="str">
            <v>211F9008OB1</v>
          </cell>
        </row>
        <row r="16">
          <cell r="B16" t="str">
            <v>1100BN</v>
          </cell>
        </row>
        <row r="16">
          <cell r="P16" t="str">
            <v>210F9001BN2</v>
          </cell>
        </row>
        <row r="17">
          <cell r="B17" t="str">
            <v>1100CP</v>
          </cell>
        </row>
        <row r="17">
          <cell r="P17" t="str">
            <v>210F9001CP1</v>
          </cell>
        </row>
        <row r="18">
          <cell r="B18" t="str">
            <v>3014BN APF1</v>
          </cell>
        </row>
        <row r="18">
          <cell r="P18" t="str">
            <v>221F3014BN1</v>
          </cell>
        </row>
        <row r="19">
          <cell r="B19" t="str">
            <v>1005BG SK2</v>
          </cell>
        </row>
        <row r="19">
          <cell r="P19" t="str">
            <v>211F1005BG4</v>
          </cell>
        </row>
        <row r="20">
          <cell r="B20" t="str">
            <v>1005BK SK2</v>
          </cell>
        </row>
        <row r="20">
          <cell r="P20" t="str">
            <v>211F1005BK2</v>
          </cell>
        </row>
        <row r="21">
          <cell r="B21" t="str">
            <v>1006BK APF1</v>
          </cell>
        </row>
        <row r="21">
          <cell r="P21" t="str">
            <v>211F1006BK2</v>
          </cell>
        </row>
        <row r="22">
          <cell r="B22" t="str">
            <v>1004BN APF1</v>
          </cell>
        </row>
        <row r="22">
          <cell r="P22" t="str">
            <v>211F9008BN1</v>
          </cell>
        </row>
        <row r="23">
          <cell r="B23" t="str">
            <v>3010BK APF1</v>
          </cell>
        </row>
        <row r="23">
          <cell r="P23" t="str">
            <v>221F3010BK1</v>
          </cell>
        </row>
        <row r="24">
          <cell r="B24" t="str">
            <v>1003CP APF1</v>
          </cell>
        </row>
        <row r="24">
          <cell r="P24" t="str">
            <v>211F9006CP1</v>
          </cell>
        </row>
        <row r="25">
          <cell r="B25" t="str">
            <v>A121BN</v>
          </cell>
        </row>
        <row r="25">
          <cell r="P25" t="str">
            <v>320F0121BN2</v>
          </cell>
        </row>
        <row r="26">
          <cell r="B26" t="str">
            <v>3012BK APF1</v>
          </cell>
        </row>
        <row r="26">
          <cell r="P26" t="str">
            <v>230F3012BK1</v>
          </cell>
        </row>
        <row r="27">
          <cell r="B27" t="str">
            <v>1005BN SK2</v>
          </cell>
        </row>
        <row r="27">
          <cell r="P27" t="str">
            <v>211F1005BN3</v>
          </cell>
        </row>
        <row r="28">
          <cell r="B28" t="str">
            <v>3001BN APF1</v>
          </cell>
        </row>
        <row r="28">
          <cell r="P28" t="str">
            <v>221F3001BN3</v>
          </cell>
        </row>
        <row r="29">
          <cell r="B29" t="str">
            <v>1005CP SK2</v>
          </cell>
        </row>
        <row r="29">
          <cell r="P29" t="str">
            <v>211F1005CP1</v>
          </cell>
        </row>
        <row r="30">
          <cell r="B30" t="str">
            <v>1005ORB SK2</v>
          </cell>
        </row>
        <row r="30">
          <cell r="P30" t="str">
            <v>211F1005OB1</v>
          </cell>
        </row>
        <row r="31">
          <cell r="B31" t="str">
            <v>1008BN APF1</v>
          </cell>
        </row>
        <row r="31">
          <cell r="P31" t="str">
            <v>211F1008BN1</v>
          </cell>
        </row>
        <row r="32">
          <cell r="B32" t="str">
            <v>4003BN APF1</v>
          </cell>
        </row>
        <row r="32">
          <cell r="P32" t="str">
            <v>222F4003BN1</v>
          </cell>
        </row>
        <row r="33">
          <cell r="B33" t="str">
            <v>1007BG SK2</v>
          </cell>
        </row>
        <row r="33">
          <cell r="P33" t="str">
            <v>211F1007BG4</v>
          </cell>
        </row>
        <row r="34">
          <cell r="B34" t="str">
            <v>1007BK SK2</v>
          </cell>
        </row>
        <row r="34">
          <cell r="P34" t="str">
            <v>211F1007BK2</v>
          </cell>
        </row>
        <row r="35">
          <cell r="B35" t="str">
            <v>A122BN SK2</v>
          </cell>
        </row>
        <row r="35">
          <cell r="P35" t="str">
            <v>321F0122BN2</v>
          </cell>
        </row>
        <row r="36">
          <cell r="B36" t="str">
            <v>1006CP APF1</v>
          </cell>
        </row>
        <row r="36">
          <cell r="P36" t="str">
            <v>211F1006CP1</v>
          </cell>
        </row>
        <row r="37">
          <cell r="B37" t="str">
            <v>1006BN APF1</v>
          </cell>
        </row>
        <row r="37">
          <cell r="P37" t="str">
            <v>211F1006BN2</v>
          </cell>
        </row>
        <row r="38">
          <cell r="B38" t="str">
            <v>3001BG APF1</v>
          </cell>
        </row>
        <row r="38">
          <cell r="P38" t="str">
            <v>221F3001BG4</v>
          </cell>
        </row>
        <row r="39">
          <cell r="B39" t="str">
            <v>2007BN APF1</v>
          </cell>
        </row>
        <row r="39">
          <cell r="P39" t="str">
            <v>211F8009BN1</v>
          </cell>
        </row>
        <row r="40">
          <cell r="B40" t="str">
            <v>3001CP APF1</v>
          </cell>
        </row>
        <row r="40">
          <cell r="P40" t="str">
            <v>221F3001CP1</v>
          </cell>
        </row>
        <row r="41">
          <cell r="B41" t="str">
            <v>3010BN APF1</v>
          </cell>
        </row>
        <row r="41">
          <cell r="P41" t="str">
            <v>221F3010BN2</v>
          </cell>
        </row>
        <row r="42">
          <cell r="B42" t="str">
            <v>3001BK APF1</v>
          </cell>
        </row>
        <row r="42">
          <cell r="P42" t="str">
            <v>221F3001BK1</v>
          </cell>
        </row>
        <row r="43">
          <cell r="B43" t="str">
            <v>1007BN SK2</v>
          </cell>
        </row>
        <row r="43">
          <cell r="P43" t="str">
            <v>211F1007BN3</v>
          </cell>
        </row>
        <row r="44">
          <cell r="B44" t="str">
            <v>A121BG</v>
          </cell>
        </row>
        <row r="44">
          <cell r="P44" t="str">
            <v>320F0121BG1</v>
          </cell>
        </row>
        <row r="45">
          <cell r="B45" t="str">
            <v>1007CP SK2</v>
          </cell>
        </row>
        <row r="45">
          <cell r="P45" t="str">
            <v>211F1007CP1</v>
          </cell>
        </row>
        <row r="46">
          <cell r="B46" t="str">
            <v>1007ORB SK2</v>
          </cell>
        </row>
        <row r="46">
          <cell r="P46" t="str">
            <v>211F1007OB1</v>
          </cell>
        </row>
        <row r="47">
          <cell r="B47" t="str">
            <v>2001BK</v>
          </cell>
        </row>
        <row r="47">
          <cell r="P47" t="str">
            <v>211F8001BK2</v>
          </cell>
        </row>
        <row r="48">
          <cell r="B48" t="str">
            <v>2001 BN</v>
          </cell>
        </row>
        <row r="48">
          <cell r="P48" t="str">
            <v>211F8001BN2</v>
          </cell>
        </row>
        <row r="49">
          <cell r="B49" t="str">
            <v>2001BN</v>
          </cell>
        </row>
        <row r="49">
          <cell r="P49" t="str">
            <v>211F8001BN2</v>
          </cell>
        </row>
        <row r="50">
          <cell r="B50" t="str">
            <v>2001CP</v>
          </cell>
        </row>
        <row r="50">
          <cell r="P50" t="str">
            <v>211F8001CP1</v>
          </cell>
        </row>
        <row r="51">
          <cell r="B51" t="str">
            <v>3012BG APF1</v>
          </cell>
        </row>
        <row r="51">
          <cell r="P51" t="str">
            <v>230F3012BG1</v>
          </cell>
        </row>
        <row r="52">
          <cell r="B52" t="str">
            <v>2002BG-PVD</v>
          </cell>
        </row>
        <row r="52">
          <cell r="P52" t="str">
            <v>211F8003BG4</v>
          </cell>
        </row>
        <row r="53">
          <cell r="B53" t="str">
            <v>2002BG</v>
          </cell>
        </row>
        <row r="53">
          <cell r="P53" t="str">
            <v>211F8003BG4</v>
          </cell>
        </row>
        <row r="54">
          <cell r="B54" t="str">
            <v>1006ORB APF1</v>
          </cell>
        </row>
        <row r="54">
          <cell r="P54" t="str">
            <v>211F1006OB1</v>
          </cell>
        </row>
        <row r="55">
          <cell r="B55" t="str">
            <v>1006BG APF1</v>
          </cell>
        </row>
        <row r="55">
          <cell r="P55" t="str">
            <v>211F1006BG1</v>
          </cell>
        </row>
        <row r="56">
          <cell r="B56" t="str">
            <v>2002BK</v>
          </cell>
        </row>
        <row r="56">
          <cell r="P56" t="str">
            <v>211F8003BK2</v>
          </cell>
        </row>
        <row r="57">
          <cell r="B57" t="str">
            <v>1003BG APF1</v>
          </cell>
        </row>
        <row r="57">
          <cell r="P57" t="str">
            <v>211F9006BG1</v>
          </cell>
        </row>
        <row r="58">
          <cell r="B58" t="str">
            <v>3006BG APF1</v>
          </cell>
        </row>
        <row r="58">
          <cell r="P58" t="str">
            <v>231F3006BG1</v>
          </cell>
        </row>
        <row r="59">
          <cell r="B59" t="str">
            <v>2004CP APF1</v>
          </cell>
        </row>
        <row r="59">
          <cell r="P59" t="str">
            <v>211F8000CP1</v>
          </cell>
        </row>
        <row r="60">
          <cell r="B60" t="str">
            <v>3006BN APF1</v>
          </cell>
        </row>
        <row r="60">
          <cell r="P60" t="str">
            <v>231F3006BN2</v>
          </cell>
        </row>
        <row r="61">
          <cell r="B61" t="str">
            <v>3010ORB APF1</v>
          </cell>
        </row>
        <row r="61">
          <cell r="P61" t="str">
            <v>221F3010OB1</v>
          </cell>
        </row>
        <row r="62">
          <cell r="B62" t="str">
            <v>2002BN</v>
          </cell>
        </row>
        <row r="62">
          <cell r="P62" t="str">
            <v>211F8003BN1</v>
          </cell>
        </row>
        <row r="63">
          <cell r="B63" t="str">
            <v>2002CP</v>
          </cell>
        </row>
        <row r="63">
          <cell r="P63" t="str">
            <v>211F8003CP1</v>
          </cell>
        </row>
        <row r="64">
          <cell r="B64" t="str">
            <v>2002ORB</v>
          </cell>
        </row>
        <row r="64">
          <cell r="P64" t="str">
            <v>211F8003OB1</v>
          </cell>
        </row>
        <row r="65">
          <cell r="B65" t="str">
            <v>A121ORB</v>
          </cell>
        </row>
        <row r="65">
          <cell r="P65" t="str">
            <v>320F0121OB1</v>
          </cell>
        </row>
        <row r="66">
          <cell r="B66" t="str">
            <v>2005BG</v>
          </cell>
        </row>
        <row r="66">
          <cell r="P66" t="str">
            <v>211F8006BG1</v>
          </cell>
        </row>
        <row r="67">
          <cell r="B67" t="str">
            <v>2005BK</v>
          </cell>
        </row>
        <row r="67">
          <cell r="P67" t="str">
            <v>211F8006BK2</v>
          </cell>
        </row>
        <row r="68">
          <cell r="B68" t="str">
            <v>A101BK</v>
          </cell>
        </row>
        <row r="68">
          <cell r="P68" t="str">
            <v>320F0101BK1</v>
          </cell>
        </row>
        <row r="69">
          <cell r="B69" t="str">
            <v>2005BN</v>
          </cell>
        </row>
        <row r="69">
          <cell r="P69" t="str">
            <v>211F8006BN1</v>
          </cell>
        </row>
        <row r="70">
          <cell r="B70" t="str">
            <v>3014CP-New APF1</v>
          </cell>
        </row>
        <row r="70">
          <cell r="P70" t="str">
            <v>221F3014CP1</v>
          </cell>
        </row>
        <row r="71">
          <cell r="B71" t="str">
            <v>1008BK APF1</v>
          </cell>
        </row>
        <row r="71">
          <cell r="P71" t="str">
            <v>211F1008BK2</v>
          </cell>
        </row>
        <row r="72">
          <cell r="B72" t="str">
            <v>1008BG APF1</v>
          </cell>
        </row>
        <row r="72">
          <cell r="P72" t="str">
            <v>211F1008BG1</v>
          </cell>
        </row>
        <row r="73">
          <cell r="B73" t="str">
            <v>4003ORB-New APF1</v>
          </cell>
        </row>
        <row r="73">
          <cell r="P73" t="str">
            <v>222F40030B1</v>
          </cell>
        </row>
        <row r="74">
          <cell r="B74" t="str">
            <v>5004CP APF1</v>
          </cell>
        </row>
        <row r="74">
          <cell r="P74" t="str">
            <v>223F5004CP1</v>
          </cell>
        </row>
        <row r="75">
          <cell r="B75" t="str">
            <v>3012BN APF1</v>
          </cell>
        </row>
        <row r="75">
          <cell r="P75" t="str">
            <v>230F3012BN2</v>
          </cell>
        </row>
        <row r="76">
          <cell r="B76" t="str">
            <v>4003CP APF1</v>
          </cell>
        </row>
        <row r="76">
          <cell r="P76" t="str">
            <v>222F4003CP1</v>
          </cell>
        </row>
        <row r="77">
          <cell r="B77" t="str">
            <v>3014ORB APF1</v>
          </cell>
        </row>
        <row r="77">
          <cell r="P77" t="str">
            <v>221F30140B1</v>
          </cell>
        </row>
        <row r="78">
          <cell r="B78" t="str">
            <v>2005CP</v>
          </cell>
        </row>
        <row r="78">
          <cell r="P78" t="str">
            <v>211F8006CP1</v>
          </cell>
        </row>
        <row r="79">
          <cell r="B79" t="str">
            <v>A122CP SK2</v>
          </cell>
        </row>
        <row r="79">
          <cell r="P79" t="str">
            <v>321F0122CP1</v>
          </cell>
        </row>
        <row r="80">
          <cell r="B80" t="str">
            <v>2005ORB</v>
          </cell>
        </row>
        <row r="80">
          <cell r="P80" t="str">
            <v>211F8006OB1</v>
          </cell>
        </row>
        <row r="81">
          <cell r="B81" t="str">
            <v>2003BK</v>
          </cell>
        </row>
        <row r="81">
          <cell r="P81" t="str">
            <v>211F8007BK2</v>
          </cell>
        </row>
        <row r="82">
          <cell r="B82" t="str">
            <v>3001ORB APF1</v>
          </cell>
        </row>
        <row r="82">
          <cell r="P82" t="str">
            <v>221F3001OB1</v>
          </cell>
        </row>
        <row r="83">
          <cell r="B83" t="str">
            <v>1003BN APF1</v>
          </cell>
        </row>
        <row r="83">
          <cell r="P83" t="str">
            <v>211F9006BN2</v>
          </cell>
        </row>
        <row r="84">
          <cell r="B84" t="str">
            <v>3006BK APF1</v>
          </cell>
        </row>
        <row r="84">
          <cell r="P84" t="str">
            <v>231F3006BK1</v>
          </cell>
        </row>
        <row r="85">
          <cell r="B85" t="str">
            <v>3010CP APF1</v>
          </cell>
        </row>
        <row r="85">
          <cell r="P85" t="str">
            <v>221F3010CP1</v>
          </cell>
        </row>
        <row r="86">
          <cell r="B86" t="str">
            <v>2004ORB APF1</v>
          </cell>
        </row>
        <row r="86">
          <cell r="P86" t="str">
            <v>211F8000OB1</v>
          </cell>
        </row>
        <row r="87">
          <cell r="B87" t="str">
            <v>3005BK APF1</v>
          </cell>
        </row>
        <row r="87">
          <cell r="P87" t="str">
            <v>230F3005BK1</v>
          </cell>
        </row>
        <row r="88">
          <cell r="B88" t="str">
            <v>2003BN</v>
          </cell>
        </row>
        <row r="88">
          <cell r="P88" t="str">
            <v>211F8007BN1</v>
          </cell>
        </row>
        <row r="89">
          <cell r="B89" t="str">
            <v>2003CP</v>
          </cell>
        </row>
        <row r="89">
          <cell r="P89" t="str">
            <v>211F8007CP1</v>
          </cell>
        </row>
        <row r="90">
          <cell r="B90" t="str">
            <v>2003ORB</v>
          </cell>
        </row>
        <row r="90">
          <cell r="P90" t="str">
            <v>211F8007OB1</v>
          </cell>
        </row>
        <row r="91">
          <cell r="B91" t="str">
            <v>1000BG</v>
          </cell>
        </row>
        <row r="91">
          <cell r="P91" t="str">
            <v>211F9001BG1</v>
          </cell>
        </row>
        <row r="92">
          <cell r="B92" t="str">
            <v>1000BK</v>
          </cell>
        </row>
        <row r="92">
          <cell r="P92" t="str">
            <v>211F9001BK2</v>
          </cell>
        </row>
        <row r="93">
          <cell r="B93" t="str">
            <v>A101BN</v>
          </cell>
        </row>
        <row r="93">
          <cell r="P93" t="str">
            <v>320F0101BN2</v>
          </cell>
        </row>
        <row r="94">
          <cell r="B94" t="str">
            <v>1000BN</v>
          </cell>
        </row>
        <row r="94">
          <cell r="P94" t="str">
            <v>211F9001BN1</v>
          </cell>
        </row>
        <row r="95">
          <cell r="B95" t="str">
            <v>1000CP</v>
          </cell>
        </row>
        <row r="95">
          <cell r="P95" t="str">
            <v>211F9001CP1</v>
          </cell>
        </row>
        <row r="96">
          <cell r="B96" t="str">
            <v>3005BN-New APF1</v>
          </cell>
        </row>
        <row r="96">
          <cell r="P96" t="str">
            <v>230F3005BN2</v>
          </cell>
        </row>
        <row r="97">
          <cell r="B97" t="str">
            <v>3005CP-New APF1</v>
          </cell>
        </row>
        <row r="97">
          <cell r="P97" t="str">
            <v>230F3005CP1</v>
          </cell>
        </row>
        <row r="98">
          <cell r="B98" t="str">
            <v>1008CP APF1</v>
          </cell>
        </row>
        <row r="98">
          <cell r="P98" t="str">
            <v>211F1008CP1</v>
          </cell>
        </row>
        <row r="99">
          <cell r="B99" t="str">
            <v>1008ORB APF1</v>
          </cell>
        </row>
        <row r="99">
          <cell r="P99" t="str">
            <v>211F1008OB1</v>
          </cell>
        </row>
        <row r="100">
          <cell r="B100" t="str">
            <v>4003BK-New APF1</v>
          </cell>
        </row>
        <row r="100">
          <cell r="P100" t="str">
            <v>222F4003BK1</v>
          </cell>
        </row>
        <row r="101">
          <cell r="B101" t="str">
            <v>MJH001</v>
          </cell>
        </row>
        <row r="101">
          <cell r="P101" t="str">
            <v>品牌备案</v>
          </cell>
        </row>
        <row r="102">
          <cell r="B102" t="str">
            <v>YG003</v>
          </cell>
        </row>
        <row r="102">
          <cell r="P102" t="str">
            <v>品牌备案</v>
          </cell>
        </row>
        <row r="103">
          <cell r="B103" t="str">
            <v>5004BN APF1</v>
          </cell>
        </row>
        <row r="103">
          <cell r="P103" t="str">
            <v>223F5004BN1</v>
          </cell>
        </row>
        <row r="104">
          <cell r="B104" t="str">
            <v>5004BG APF1</v>
          </cell>
        </row>
        <row r="104">
          <cell r="P104" t="str">
            <v>223F5004BG1</v>
          </cell>
        </row>
        <row r="105">
          <cell r="B105" t="str">
            <v>5004BK APF1</v>
          </cell>
        </row>
        <row r="105">
          <cell r="P105" t="str">
            <v>223F5004BK1</v>
          </cell>
        </row>
        <row r="106">
          <cell r="B106" t="str">
            <v>5004ORB APF1</v>
          </cell>
        </row>
        <row r="106">
          <cell r="P106" t="str">
            <v>223F50040B1</v>
          </cell>
        </row>
        <row r="107">
          <cell r="B107" t="str">
            <v>3012ORB APF1</v>
          </cell>
        </row>
        <row r="107">
          <cell r="P107" t="str">
            <v>230F3012OB1</v>
          </cell>
        </row>
        <row r="108">
          <cell r="B108" t="str">
            <v>3012CP APF1</v>
          </cell>
        </row>
        <row r="108">
          <cell r="P108" t="str">
            <v>230F3012CP1</v>
          </cell>
        </row>
        <row r="109">
          <cell r="B109" t="str">
            <v>YG001 APF1</v>
          </cell>
        </row>
        <row r="109">
          <cell r="P109" t="str">
            <v>品牌备案</v>
          </cell>
        </row>
        <row r="110">
          <cell r="B110" t="str">
            <v>4003BG APF1</v>
          </cell>
        </row>
        <row r="110">
          <cell r="P110" t="str">
            <v>222F4003BG1</v>
          </cell>
        </row>
        <row r="111">
          <cell r="B111" t="str">
            <v>3014BG APF1</v>
          </cell>
        </row>
        <row r="111">
          <cell r="P111" t="str">
            <v>221F3014BG1</v>
          </cell>
        </row>
        <row r="112">
          <cell r="B112" t="str">
            <v>1000ORB</v>
          </cell>
        </row>
        <row r="112">
          <cell r="P112" t="str">
            <v>211F9001OB1</v>
          </cell>
        </row>
        <row r="113">
          <cell r="B113" t="str">
            <v>1002BG</v>
          </cell>
        </row>
        <row r="113">
          <cell r="P113" t="str">
            <v>211F9003BG1</v>
          </cell>
        </row>
        <row r="114">
          <cell r="B114" t="str">
            <v>1002BK</v>
          </cell>
        </row>
        <row r="114">
          <cell r="P114" t="str">
            <v>211F9003BK2</v>
          </cell>
        </row>
        <row r="115">
          <cell r="B115" t="str">
            <v>1002  BN</v>
          </cell>
        </row>
        <row r="115">
          <cell r="P115" t="str">
            <v>211F9003BN1</v>
          </cell>
        </row>
        <row r="116">
          <cell r="B116" t="str">
            <v>A122BG SK2</v>
          </cell>
        </row>
        <row r="116">
          <cell r="P116" t="str">
            <v>321F0122BG1</v>
          </cell>
        </row>
        <row r="117">
          <cell r="B117" t="str">
            <v>1002 BN</v>
          </cell>
        </row>
        <row r="117">
          <cell r="P117" t="str">
            <v>211F9003BN1</v>
          </cell>
        </row>
        <row r="118">
          <cell r="B118" t="str">
            <v>1003BK APF1</v>
          </cell>
        </row>
        <row r="118">
          <cell r="P118" t="str">
            <v>211F9006BK2</v>
          </cell>
        </row>
        <row r="119">
          <cell r="B119" t="str">
            <v>3006CP APF1</v>
          </cell>
        </row>
        <row r="119">
          <cell r="P119" t="str">
            <v>231F3006CP1</v>
          </cell>
        </row>
        <row r="120">
          <cell r="B120" t="str">
            <v>3006ORB APF1</v>
          </cell>
        </row>
        <row r="120">
          <cell r="P120" t="str">
            <v>231F3006OB1</v>
          </cell>
        </row>
        <row r="121">
          <cell r="B121" t="str">
            <v>2007BG APF1</v>
          </cell>
        </row>
        <row r="121">
          <cell r="P121" t="str">
            <v>211F8009BG1</v>
          </cell>
        </row>
        <row r="122">
          <cell r="B122" t="str">
            <v>3010BG APF1</v>
          </cell>
        </row>
        <row r="122">
          <cell r="P122" t="str">
            <v>221F3010BG1</v>
          </cell>
        </row>
        <row r="123">
          <cell r="B123" t="str">
            <v>2007ORB APF1</v>
          </cell>
        </row>
        <row r="123">
          <cell r="P123" t="str">
            <v>211F8009OB1</v>
          </cell>
        </row>
        <row r="124">
          <cell r="B124" t="str">
            <v>1002CP</v>
          </cell>
        </row>
        <row r="124">
          <cell r="P124" t="str">
            <v>211F9003CP1</v>
          </cell>
        </row>
        <row r="125">
          <cell r="B125" t="str">
            <v>A121CP</v>
          </cell>
        </row>
        <row r="125">
          <cell r="P125" t="str">
            <v>320F0121CP1</v>
          </cell>
        </row>
        <row r="126">
          <cell r="B126" t="str">
            <v>1002ORB</v>
          </cell>
        </row>
        <row r="126">
          <cell r="P126" t="str">
            <v>211F9003OB1</v>
          </cell>
        </row>
        <row r="127">
          <cell r="B127" t="str">
            <v>1001BG</v>
          </cell>
        </row>
        <row r="127">
          <cell r="P127" t="str">
            <v>211F9007BG1</v>
          </cell>
        </row>
        <row r="128">
          <cell r="B128" t="str">
            <v>1001BK</v>
          </cell>
        </row>
        <row r="128">
          <cell r="P128" t="str">
            <v>211F9007BK2</v>
          </cell>
        </row>
        <row r="129">
          <cell r="B129" t="str">
            <v>A101BG</v>
          </cell>
        </row>
        <row r="129">
          <cell r="P129" t="str">
            <v>320F0101BG1</v>
          </cell>
        </row>
        <row r="130">
          <cell r="B130" t="str">
            <v>1001BN</v>
          </cell>
        </row>
        <row r="130">
          <cell r="P130" t="str">
            <v>211F9007BN1</v>
          </cell>
        </row>
        <row r="131">
          <cell r="B131" t="str">
            <v>1001CP</v>
          </cell>
        </row>
        <row r="131">
          <cell r="P131" t="str">
            <v>211F9007CP1</v>
          </cell>
        </row>
        <row r="132">
          <cell r="B132" t="str">
            <v>1001ORB</v>
          </cell>
        </row>
        <row r="132">
          <cell r="P132" t="str">
            <v>211F9007OB1</v>
          </cell>
        </row>
        <row r="133">
          <cell r="B133" t="str">
            <v>3009BG</v>
          </cell>
        </row>
        <row r="133">
          <cell r="P133" t="str">
            <v>221F3009BG1</v>
          </cell>
        </row>
        <row r="134">
          <cell r="B134" t="str">
            <v>A101CP</v>
          </cell>
        </row>
        <row r="134">
          <cell r="P134" t="str">
            <v>320F0101CP1</v>
          </cell>
        </row>
        <row r="135">
          <cell r="B135" t="str">
            <v>3009BK</v>
          </cell>
        </row>
        <row r="135">
          <cell r="P135" t="str">
            <v>221F3009BK2</v>
          </cell>
        </row>
        <row r="136">
          <cell r="B136" t="str">
            <v>3009BN</v>
          </cell>
        </row>
        <row r="136">
          <cell r="P136" t="str">
            <v>221F3009BN1</v>
          </cell>
        </row>
        <row r="137">
          <cell r="B137" t="str">
            <v>3009CP</v>
          </cell>
        </row>
        <row r="137">
          <cell r="P137" t="str">
            <v>221F3009CP1</v>
          </cell>
        </row>
        <row r="138">
          <cell r="B138" t="str">
            <v>3009ORB</v>
          </cell>
        </row>
        <row r="138">
          <cell r="P138" t="str">
            <v>221F3009OB1</v>
          </cell>
        </row>
        <row r="139">
          <cell r="B139" t="str">
            <v>3013ORB</v>
          </cell>
        </row>
        <row r="139">
          <cell r="P139" t="str">
            <v>221F30130B1</v>
          </cell>
        </row>
        <row r="140">
          <cell r="B140" t="str">
            <v>3013BG</v>
          </cell>
        </row>
        <row r="140">
          <cell r="P140" t="str">
            <v>221F3013BG1</v>
          </cell>
        </row>
        <row r="141">
          <cell r="B141" t="str">
            <v>3013BK</v>
          </cell>
        </row>
        <row r="141">
          <cell r="P141" t="str">
            <v>221F3013BK1</v>
          </cell>
        </row>
        <row r="142">
          <cell r="B142" t="str">
            <v>3013BN</v>
          </cell>
        </row>
        <row r="142">
          <cell r="P142" t="str">
            <v>221F3013BN1</v>
          </cell>
        </row>
        <row r="143">
          <cell r="B143" t="str">
            <v>3013CP</v>
          </cell>
        </row>
        <row r="143">
          <cell r="P143" t="str">
            <v>221F3013CP1</v>
          </cell>
        </row>
        <row r="144">
          <cell r="B144" t="str">
            <v>1004BNTO1008 APF1</v>
          </cell>
        </row>
        <row r="144">
          <cell r="P144" t="str">
            <v>211F9008BN1</v>
          </cell>
        </row>
        <row r="145">
          <cell r="B145" t="str">
            <v>FZD001</v>
          </cell>
        </row>
        <row r="145">
          <cell r="P145" t="str">
            <v>品牌备案</v>
          </cell>
        </row>
        <row r="146">
          <cell r="B146" t="str">
            <v>YG002</v>
          </cell>
        </row>
        <row r="146">
          <cell r="P146" t="str">
            <v>品牌备案</v>
          </cell>
        </row>
        <row r="147">
          <cell r="B147" t="str">
            <v>A102CP-SK2-New</v>
          </cell>
        </row>
        <row r="147">
          <cell r="P147" t="str">
            <v>321F0102CP1</v>
          </cell>
        </row>
        <row r="148">
          <cell r="B148" t="str">
            <v>4003ORB APF1</v>
          </cell>
        </row>
        <row r="148">
          <cell r="P148" t="str">
            <v>222F40030B1</v>
          </cell>
        </row>
        <row r="149">
          <cell r="B149" t="str">
            <v>4003BK APF1</v>
          </cell>
        </row>
        <row r="149">
          <cell r="P149" t="str">
            <v>222F4003BK1</v>
          </cell>
        </row>
        <row r="150">
          <cell r="B150" t="str">
            <v>3014CP APF1</v>
          </cell>
        </row>
        <row r="150">
          <cell r="P150" t="str">
            <v>221F3014CP1</v>
          </cell>
        </row>
        <row r="151">
          <cell r="B151" t="str">
            <v>3014BK APF1</v>
          </cell>
        </row>
        <row r="151">
          <cell r="P151" t="str">
            <v>221F3014BK1</v>
          </cell>
        </row>
        <row r="152">
          <cell r="B152" t="str">
            <v>2007CP-New APF1</v>
          </cell>
        </row>
        <row r="152">
          <cell r="P152" t="str">
            <v>211F8009CP1</v>
          </cell>
        </row>
        <row r="153">
          <cell r="B153" t="str">
            <v>2007BK  APF1</v>
          </cell>
        </row>
        <row r="153">
          <cell r="P153" t="str">
            <v>211F8009BK2</v>
          </cell>
        </row>
        <row r="154">
          <cell r="B154" t="str">
            <v>A122ORB SK2</v>
          </cell>
        </row>
        <row r="154">
          <cell r="P154" t="str">
            <v>321F0122OB1</v>
          </cell>
        </row>
        <row r="155">
          <cell r="B155" t="str">
            <v>A102BK SK2</v>
          </cell>
        </row>
        <row r="155">
          <cell r="P155" t="str">
            <v>321F0102BK1</v>
          </cell>
        </row>
        <row r="156">
          <cell r="B156" t="str">
            <v>A102BG SK2</v>
          </cell>
        </row>
        <row r="156">
          <cell r="P156" t="str">
            <v>321F0102BG1</v>
          </cell>
        </row>
        <row r="157">
          <cell r="B157" t="str">
            <v>A102BN SK2</v>
          </cell>
        </row>
        <row r="157">
          <cell r="P157" t="str">
            <v>321F0102BN2</v>
          </cell>
        </row>
        <row r="158">
          <cell r="B158" t="str">
            <v>A102CP SK2</v>
          </cell>
        </row>
        <row r="158">
          <cell r="P158" t="str">
            <v>321F0102CP1</v>
          </cell>
        </row>
        <row r="159">
          <cell r="B159" t="str">
            <v>A102ORB SK2</v>
          </cell>
        </row>
        <row r="159">
          <cell r="P159" t="str">
            <v>321F0102OB1</v>
          </cell>
        </row>
        <row r="160">
          <cell r="B160" t="str">
            <v>3005BN APF1</v>
          </cell>
        </row>
        <row r="160">
          <cell r="P160" t="str">
            <v>230F3005BN2</v>
          </cell>
        </row>
        <row r="161">
          <cell r="B161" t="str">
            <v>3005CP APF1</v>
          </cell>
        </row>
        <row r="161">
          <cell r="P161" t="str">
            <v>230F3005CP1</v>
          </cell>
        </row>
        <row r="162">
          <cell r="B162" t="str">
            <v>1300BK APF1</v>
          </cell>
        </row>
        <row r="162">
          <cell r="P162" t="str">
            <v>210F9005BK2</v>
          </cell>
        </row>
        <row r="163">
          <cell r="B163" t="str">
            <v>2001ORB APF1</v>
          </cell>
        </row>
        <row r="163">
          <cell r="P163" t="str">
            <v>211F8001OB1</v>
          </cell>
        </row>
        <row r="164">
          <cell r="B164" t="str">
            <v>2007CP  APF1</v>
          </cell>
        </row>
        <row r="164">
          <cell r="P164" t="str">
            <v>211F8009CP1</v>
          </cell>
        </row>
        <row r="165">
          <cell r="B165" t="str">
            <v>3005ORB APF1</v>
          </cell>
        </row>
        <row r="165">
          <cell r="P165" t="str">
            <v>230F3005OB1</v>
          </cell>
        </row>
        <row r="166">
          <cell r="B166" t="str">
            <v>2007BK APF1</v>
          </cell>
        </row>
        <row r="166">
          <cell r="P166" t="str">
            <v>211F8009BK2</v>
          </cell>
        </row>
        <row r="167">
          <cell r="B167" t="str">
            <v>1300CP APF1</v>
          </cell>
        </row>
        <row r="167">
          <cell r="P167" t="str">
            <v>210F9005CP1</v>
          </cell>
        </row>
        <row r="168">
          <cell r="B168" t="str">
            <v>A101ORB</v>
          </cell>
        </row>
        <row r="168">
          <cell r="P168" t="str">
            <v>320F0101OB1</v>
          </cell>
        </row>
        <row r="169">
          <cell r="B169" t="str">
            <v>4001BG</v>
          </cell>
        </row>
        <row r="169">
          <cell r="P169" t="str">
            <v>222F4001BG1</v>
          </cell>
        </row>
        <row r="170">
          <cell r="B170" t="str">
            <v>4001BK</v>
          </cell>
        </row>
        <row r="170">
          <cell r="P170" t="str">
            <v>222F4001BK1</v>
          </cell>
        </row>
        <row r="171">
          <cell r="B171" t="str">
            <v>4001BN</v>
          </cell>
        </row>
        <row r="171">
          <cell r="P171" t="str">
            <v>222F4001BN1</v>
          </cell>
        </row>
        <row r="172">
          <cell r="B172" t="str">
            <v>4001CP</v>
          </cell>
        </row>
        <row r="172">
          <cell r="P172" t="str">
            <v>222F4001CP1</v>
          </cell>
        </row>
        <row r="173">
          <cell r="B173" t="str">
            <v>4001ORB</v>
          </cell>
        </row>
        <row r="173">
          <cell r="P173" t="str">
            <v>222F4001OB1</v>
          </cell>
        </row>
        <row r="174">
          <cell r="B174" t="str">
            <v>4002ORB</v>
          </cell>
        </row>
        <row r="174">
          <cell r="P174" t="str">
            <v>222F40020B1</v>
          </cell>
        </row>
        <row r="175">
          <cell r="B175" t="str">
            <v>4002BG</v>
          </cell>
        </row>
        <row r="175">
          <cell r="P175" t="str">
            <v>222F4002BG1</v>
          </cell>
        </row>
        <row r="176">
          <cell r="B176" t="str">
            <v>4002BK</v>
          </cell>
        </row>
        <row r="176">
          <cell r="P176" t="str">
            <v>222F4002BK1</v>
          </cell>
        </row>
        <row r="177">
          <cell r="B177" t="str">
            <v>4002BN</v>
          </cell>
        </row>
        <row r="177">
          <cell r="P177" t="str">
            <v>222F4002BN1</v>
          </cell>
        </row>
        <row r="178">
          <cell r="B178" t="str">
            <v>4002CP</v>
          </cell>
        </row>
        <row r="178">
          <cell r="P178" t="str">
            <v>222F4002CP1</v>
          </cell>
        </row>
        <row r="179">
          <cell r="B179" t="str">
            <v>5003BG</v>
          </cell>
        </row>
        <row r="179">
          <cell r="P179" t="str">
            <v>223F5003BG1</v>
          </cell>
        </row>
        <row r="180">
          <cell r="B180" t="str">
            <v>5003BK</v>
          </cell>
        </row>
        <row r="180">
          <cell r="P180" t="str">
            <v>223F5003BK2</v>
          </cell>
        </row>
        <row r="181">
          <cell r="B181" t="str">
            <v>3014BK-1st APF1</v>
          </cell>
        </row>
        <row r="181">
          <cell r="P181" t="str">
            <v>221F3014BK1</v>
          </cell>
        </row>
        <row r="182">
          <cell r="B182" t="str">
            <v>2007CP-3rd APF1</v>
          </cell>
        </row>
        <row r="182">
          <cell r="P182" t="str">
            <v>211F8009CP1</v>
          </cell>
        </row>
        <row r="183">
          <cell r="B183" t="str">
            <v>1009BG APF1</v>
          </cell>
        </row>
        <row r="183">
          <cell r="P183" t="str">
            <v>211F1009BG3</v>
          </cell>
        </row>
        <row r="184">
          <cell r="B184" t="str">
            <v>1009ORB APF1</v>
          </cell>
        </row>
        <row r="184">
          <cell r="P184" t="str">
            <v>211F1009OB1</v>
          </cell>
        </row>
        <row r="185">
          <cell r="B185" t="str">
            <v>2007BK-New APF1</v>
          </cell>
        </row>
        <row r="185">
          <cell r="P185" t="str">
            <v>211F8009BK2</v>
          </cell>
        </row>
        <row r="186">
          <cell r="B186" t="str">
            <v>1006+1008</v>
          </cell>
        </row>
        <row r="186">
          <cell r="P186" t="str">
            <v>没有这个MSKU</v>
          </cell>
        </row>
        <row r="187">
          <cell r="B187" t="str">
            <v>1009BN APF1</v>
          </cell>
        </row>
        <row r="187">
          <cell r="P187" t="str">
            <v>211F1009BN1</v>
          </cell>
        </row>
        <row r="188">
          <cell r="B188" t="str">
            <v>1009BK APF1</v>
          </cell>
        </row>
        <row r="188">
          <cell r="P188" t="str">
            <v>211F1009BK1</v>
          </cell>
        </row>
        <row r="189">
          <cell r="B189" t="str">
            <v>G9-HB19-PURZ</v>
          </cell>
        </row>
        <row r="189">
          <cell r="P189" t="str">
            <v>没有此SKU</v>
          </cell>
        </row>
        <row r="190">
          <cell r="B190" t="str">
            <v>1007</v>
          </cell>
        </row>
        <row r="190">
          <cell r="P190" t="str">
            <v>没有这个MSKU</v>
          </cell>
        </row>
        <row r="191">
          <cell r="B191" t="str">
            <v>3005ORB-New APF1</v>
          </cell>
        </row>
        <row r="191">
          <cell r="P191" t="str">
            <v>230F3005OB1</v>
          </cell>
        </row>
        <row r="192">
          <cell r="B192" t="str">
            <v>2007CP APF1</v>
          </cell>
        </row>
        <row r="192">
          <cell r="P192" t="str">
            <v>211F8009CP1</v>
          </cell>
        </row>
        <row r="193">
          <cell r="B193" t="str">
            <v>1300BN APF1</v>
          </cell>
        </row>
        <row r="193">
          <cell r="P193" t="str">
            <v>210F9005BN2</v>
          </cell>
        </row>
        <row r="194">
          <cell r="B194" t="str">
            <v>2001BK APF1</v>
          </cell>
        </row>
        <row r="194">
          <cell r="P194" t="str">
            <v>211F8001BK2</v>
          </cell>
        </row>
        <row r="195">
          <cell r="B195" t="str">
            <v>B08VDCY7JS</v>
          </cell>
        </row>
        <row r="195">
          <cell r="P195" t="str">
            <v>211F8009BK2</v>
          </cell>
        </row>
        <row r="196">
          <cell r="B196" t="str">
            <v>A122CP</v>
          </cell>
        </row>
        <row r="196">
          <cell r="P196" t="str">
            <v>321F0122CP1</v>
          </cell>
        </row>
        <row r="197">
          <cell r="B197" t="str">
            <v>A122BK</v>
          </cell>
        </row>
        <row r="197">
          <cell r="P197" t="str">
            <v>321F0122BK1</v>
          </cell>
        </row>
        <row r="198">
          <cell r="B198" t="str">
            <v>A102CP</v>
          </cell>
        </row>
        <row r="198">
          <cell r="P198" t="str">
            <v>321F0102CP1</v>
          </cell>
        </row>
        <row r="199">
          <cell r="B199" t="str">
            <v>5003BN</v>
          </cell>
        </row>
        <row r="199">
          <cell r="P199" t="str">
            <v>223F5003BN2</v>
          </cell>
        </row>
        <row r="200">
          <cell r="B200" t="str">
            <v>A122BN</v>
          </cell>
        </row>
        <row r="200">
          <cell r="P200" t="str">
            <v>321F0122BN2</v>
          </cell>
        </row>
        <row r="201">
          <cell r="B201" t="str">
            <v>A102ORB</v>
          </cell>
        </row>
        <row r="201">
          <cell r="P201" t="str">
            <v>321F0102OB1</v>
          </cell>
        </row>
        <row r="202">
          <cell r="B202" t="str">
            <v>A122ORB</v>
          </cell>
        </row>
        <row r="202">
          <cell r="P202" t="str">
            <v>321F0122OB1</v>
          </cell>
        </row>
        <row r="203">
          <cell r="B203" t="str">
            <v>WF100</v>
          </cell>
        </row>
        <row r="203">
          <cell r="P203" t="str">
            <v>已下架很多年，不知道内部SKU</v>
          </cell>
        </row>
        <row r="204">
          <cell r="B204" t="str">
            <v>5003CP</v>
          </cell>
        </row>
        <row r="204">
          <cell r="P204" t="str">
            <v>223F5003CP1</v>
          </cell>
        </row>
        <row r="205">
          <cell r="B205" t="str">
            <v>A102BN</v>
          </cell>
        </row>
        <row r="205">
          <cell r="P205" t="str">
            <v>321F0102BN2</v>
          </cell>
        </row>
        <row r="206">
          <cell r="B206" t="str">
            <v>PD100</v>
          </cell>
        </row>
        <row r="206">
          <cell r="P206" t="str">
            <v>已下架很多年，不知道内部SKU</v>
          </cell>
        </row>
        <row r="207">
          <cell r="B207" t="str">
            <v>A102BG</v>
          </cell>
        </row>
        <row r="207">
          <cell r="P207" t="str">
            <v>321F0102BG1</v>
          </cell>
        </row>
        <row r="208">
          <cell r="B208" t="str">
            <v>5003ORB</v>
          </cell>
        </row>
        <row r="208">
          <cell r="P208" t="str">
            <v>223F5003OB1</v>
          </cell>
        </row>
        <row r="209">
          <cell r="B209" t="str">
            <v>A122BG</v>
          </cell>
        </row>
        <row r="209">
          <cell r="P209" t="str">
            <v>321F0122BG1</v>
          </cell>
        </row>
        <row r="210">
          <cell r="B210" t="str">
            <v>A102BK</v>
          </cell>
        </row>
        <row r="210">
          <cell r="P210" t="str">
            <v>321F0102BK1</v>
          </cell>
        </row>
        <row r="211">
          <cell r="B211" t="str">
            <v>MSKU</v>
          </cell>
        </row>
        <row r="211">
          <cell r="P211" t="str">
            <v>erp对应SKU</v>
          </cell>
        </row>
        <row r="212">
          <cell r="B212" t="str">
            <v>0R-EXA5-YWRN</v>
          </cell>
        </row>
        <row r="212">
          <cell r="P212" t="str">
            <v>140F0098BN1</v>
          </cell>
        </row>
        <row r="213">
          <cell r="B213" t="str">
            <v>AZ-US-SOEBIZ-CFSLT-BN-01</v>
          </cell>
        </row>
        <row r="213">
          <cell r="P213" t="str">
            <v>420F0013BN5</v>
          </cell>
        </row>
        <row r="214">
          <cell r="B214" t="str">
            <v>1F-539O-6IHY</v>
          </cell>
        </row>
        <row r="214">
          <cell r="P214" t="str">
            <v>110F0098BN1</v>
          </cell>
        </row>
        <row r="215">
          <cell r="B215" t="str">
            <v>SZ-S-3314-BN-01</v>
          </cell>
        </row>
        <row r="215">
          <cell r="P215" t="str">
            <v>420F3314BN5</v>
          </cell>
        </row>
        <row r="216">
          <cell r="B216" t="str">
            <v>4A-H99U-YTGW</v>
          </cell>
        </row>
        <row r="216">
          <cell r="P216" t="str">
            <v>110F0088OB1</v>
          </cell>
        </row>
        <row r="217">
          <cell r="B217" t="str">
            <v>5201-BG</v>
          </cell>
        </row>
        <row r="217">
          <cell r="P217" t="str">
            <v>110F5201BG1</v>
          </cell>
        </row>
        <row r="218">
          <cell r="B218" t="str">
            <v>AZ-US-SOEBIZ-CFSLT-BK-02</v>
          </cell>
        </row>
        <row r="218">
          <cell r="P218" t="str">
            <v>420F0013BK1</v>
          </cell>
        </row>
        <row r="219">
          <cell r="B219" t="str">
            <v>5201-BK</v>
          </cell>
        </row>
        <row r="219">
          <cell r="P219" t="str">
            <v>110F5201BK1</v>
          </cell>
        </row>
        <row r="220">
          <cell r="B220" t="str">
            <v>AZ-US-SOEBIZ-CFSLT-GD-03</v>
          </cell>
        </row>
        <row r="220">
          <cell r="P220" t="str">
            <v>420F0013BG3</v>
          </cell>
        </row>
        <row r="221">
          <cell r="B221" t="str">
            <v>8804BGJB-1</v>
          </cell>
        </row>
        <row r="221">
          <cell r="P221" t="str">
            <v>140F0088BG1</v>
          </cell>
        </row>
        <row r="222">
          <cell r="B222" t="str">
            <v>HG-2304 ZZ01</v>
          </cell>
        </row>
        <row r="222">
          <cell r="P222" t="str">
            <v>140F0098BK1</v>
          </cell>
        </row>
        <row r="223">
          <cell r="B223" t="str">
            <v>KSD01-ORB</v>
          </cell>
        </row>
        <row r="223">
          <cell r="P223" t="str">
            <v>490F0022OB1</v>
          </cell>
        </row>
        <row r="224">
          <cell r="B224" t="str">
            <v>HG-2304BG ZZ01</v>
          </cell>
        </row>
        <row r="224">
          <cell r="P224" t="str">
            <v>140F0098BG1</v>
          </cell>
        </row>
        <row r="225">
          <cell r="B225" t="str">
            <v>WT-ZZ01CP01</v>
          </cell>
        </row>
        <row r="225">
          <cell r="P225" t="str">
            <v>390F0001CP1</v>
          </cell>
        </row>
        <row r="226">
          <cell r="B226" t="str">
            <v>KSD01-BN</v>
          </cell>
        </row>
        <row r="226">
          <cell r="P226" t="str">
            <v>490F0022BN1</v>
          </cell>
        </row>
        <row r="227">
          <cell r="B227" t="str">
            <v>SZ-S-3315-BN-01</v>
          </cell>
        </row>
        <row r="227">
          <cell r="P227" t="str">
            <v>420F3315BN5</v>
          </cell>
        </row>
        <row r="228">
          <cell r="B228" t="str">
            <v>KSD01-BG</v>
          </cell>
        </row>
        <row r="228">
          <cell r="P228" t="str">
            <v>490F0022BG1</v>
          </cell>
        </row>
        <row r="229">
          <cell r="B229" t="str">
            <v>8801BGJB-1</v>
          </cell>
        </row>
        <row r="229">
          <cell r="P229" t="str">
            <v>110F0088BG1</v>
          </cell>
        </row>
        <row r="230">
          <cell r="B230" t="str">
            <v>WT-9002BG</v>
          </cell>
        </row>
        <row r="230">
          <cell r="P230" t="str">
            <v>211F9002BG1</v>
          </cell>
        </row>
        <row r="231">
          <cell r="B231" t="str">
            <v>WT-ZZ01BK01</v>
          </cell>
        </row>
        <row r="231">
          <cell r="P231" t="str">
            <v>390F0001BK1</v>
          </cell>
        </row>
        <row r="232">
          <cell r="B232" t="str">
            <v>B2312-BG</v>
          </cell>
        </row>
        <row r="232">
          <cell r="P232" t="str">
            <v>320F0023BG1</v>
          </cell>
        </row>
        <row r="233">
          <cell r="B233" t="str">
            <v>5201-BN</v>
          </cell>
        </row>
        <row r="233">
          <cell r="P233" t="str">
            <v>110F5201BN2</v>
          </cell>
        </row>
        <row r="234">
          <cell r="B234" t="str">
            <v>5201-CP</v>
          </cell>
        </row>
        <row r="234">
          <cell r="P234" t="str">
            <v>110F5201CP1</v>
          </cell>
        </row>
        <row r="235">
          <cell r="B235" t="str">
            <v>WT-9812BG</v>
          </cell>
        </row>
        <row r="235">
          <cell r="P235" t="str">
            <v>320F0098BG1</v>
          </cell>
        </row>
        <row r="236">
          <cell r="B236" t="str">
            <v>3011BK-QC1</v>
          </cell>
        </row>
        <row r="236">
          <cell r="P236" t="str">
            <v>230F3011BK1</v>
          </cell>
        </row>
        <row r="237">
          <cell r="B237" t="str">
            <v>5201-ORB</v>
          </cell>
        </row>
        <row r="237">
          <cell r="P237" t="str">
            <v>110F5201OB1</v>
          </cell>
        </row>
        <row r="238">
          <cell r="B238" t="str">
            <v>B2212-BG</v>
          </cell>
        </row>
        <row r="238">
          <cell r="P238" t="str">
            <v>320F0022BG1</v>
          </cell>
        </row>
        <row r="239">
          <cell r="B239" t="str">
            <v>WT-9807BK02</v>
          </cell>
        </row>
        <row r="239">
          <cell r="P239" t="str">
            <v>221F0098BK1</v>
          </cell>
        </row>
        <row r="240">
          <cell r="B240" t="str">
            <v>HG-2304BK ZZ01</v>
          </cell>
        </row>
        <row r="240">
          <cell r="P240" t="str">
            <v>140F0098BK1</v>
          </cell>
        </row>
        <row r="241">
          <cell r="B241" t="str">
            <v>KSD01-CP</v>
          </cell>
        </row>
        <row r="241">
          <cell r="P241" t="str">
            <v>490F0022CP1</v>
          </cell>
        </row>
        <row r="242">
          <cell r="B242" t="str">
            <v>WT-3311-BK</v>
          </cell>
        </row>
        <row r="242">
          <cell r="P242" t="str">
            <v>211F0033BK2</v>
          </cell>
        </row>
        <row r="243">
          <cell r="B243" t="str">
            <v>WT-9002BN</v>
          </cell>
        </row>
        <row r="243">
          <cell r="P243" t="str">
            <v>211F9002BN2</v>
          </cell>
        </row>
        <row r="244">
          <cell r="B244" t="str">
            <v>6203-BG</v>
          </cell>
        </row>
        <row r="244">
          <cell r="P244" t="str">
            <v>130F6203BG1</v>
          </cell>
        </row>
        <row r="245">
          <cell r="B245" t="str">
            <v>8807BNJB-2</v>
          </cell>
        </row>
        <row r="245">
          <cell r="P245" t="str">
            <v>221F0088BN1</v>
          </cell>
        </row>
        <row r="246">
          <cell r="B246" t="str">
            <v>HG-2304BN ZZ01</v>
          </cell>
        </row>
        <row r="246">
          <cell r="P246" t="str">
            <v>140F0098BN1</v>
          </cell>
        </row>
        <row r="247">
          <cell r="B247" t="str">
            <v>QC-202511-BG01</v>
          </cell>
        </row>
        <row r="247">
          <cell r="P247" t="str">
            <v>211F0022BG1</v>
          </cell>
        </row>
        <row r="248">
          <cell r="B248" t="str">
            <v>QC-202508-ORB01</v>
          </cell>
        </row>
        <row r="248">
          <cell r="P248" t="str">
            <v>222F0022OB1</v>
          </cell>
        </row>
        <row r="249">
          <cell r="B249" t="str">
            <v>6203-BK</v>
          </cell>
        </row>
        <row r="249">
          <cell r="P249" t="str">
            <v>130F6203BK1</v>
          </cell>
        </row>
        <row r="250">
          <cell r="B250" t="str">
            <v>WT-9812BK</v>
          </cell>
        </row>
        <row r="250">
          <cell r="P250" t="str">
            <v>320F0098BK1</v>
          </cell>
        </row>
        <row r="251">
          <cell r="B251" t="str">
            <v>WT-9807BG02</v>
          </cell>
        </row>
        <row r="251">
          <cell r="P251" t="str">
            <v>221F0098BG1</v>
          </cell>
        </row>
        <row r="252">
          <cell r="B252" t="str">
            <v>WT-9812CP</v>
          </cell>
        </row>
        <row r="252">
          <cell r="P252" t="str">
            <v>320F0098CP1</v>
          </cell>
        </row>
        <row r="253">
          <cell r="B253" t="str">
            <v>3011BN QC1</v>
          </cell>
        </row>
        <row r="253">
          <cell r="P253" t="str">
            <v>230F3011BN2</v>
          </cell>
        </row>
        <row r="254">
          <cell r="B254" t="str">
            <v>K2213-BG</v>
          </cell>
        </row>
        <row r="254">
          <cell r="P254" t="str">
            <v>420F0022BG3</v>
          </cell>
        </row>
        <row r="255">
          <cell r="B255" t="str">
            <v>6203-BN</v>
          </cell>
        </row>
        <row r="255">
          <cell r="P255" t="str">
            <v>130F6203BN2</v>
          </cell>
        </row>
        <row r="256">
          <cell r="B256" t="str">
            <v>6203-CP</v>
          </cell>
        </row>
        <row r="256">
          <cell r="P256" t="str">
            <v>130F6203CP1</v>
          </cell>
        </row>
        <row r="257">
          <cell r="B257" t="str">
            <v>B2208-BN</v>
          </cell>
        </row>
        <row r="257">
          <cell r="P257" t="str">
            <v>222F0022BN1</v>
          </cell>
        </row>
        <row r="258">
          <cell r="B258" t="str">
            <v>6203-ORB</v>
          </cell>
        </row>
        <row r="258">
          <cell r="P258" t="str">
            <v>130F6203OB1</v>
          </cell>
        </row>
        <row r="259">
          <cell r="B259" t="str">
            <v>8001BN HM1</v>
          </cell>
        </row>
        <row r="259">
          <cell r="P259" t="str">
            <v>110F0088BN1</v>
          </cell>
        </row>
        <row r="260">
          <cell r="B260" t="str">
            <v>8001CP HM1</v>
          </cell>
        </row>
        <row r="260">
          <cell r="P260" t="str">
            <v>110F0088CP1</v>
          </cell>
        </row>
        <row r="261">
          <cell r="B261" t="str">
            <v>KZ-9607BK</v>
          </cell>
        </row>
        <row r="261">
          <cell r="P261" t="str">
            <v>221F0096BK1</v>
          </cell>
        </row>
        <row r="262">
          <cell r="B262" t="str">
            <v>WT-9812ORB</v>
          </cell>
        </row>
        <row r="262">
          <cell r="P262" t="str">
            <v>320F0098OB1</v>
          </cell>
        </row>
        <row r="263">
          <cell r="B263" t="str">
            <v>WT-9807BN</v>
          </cell>
        </row>
        <row r="263">
          <cell r="P263" t="str">
            <v>221F0098BN1</v>
          </cell>
        </row>
        <row r="264">
          <cell r="B264" t="str">
            <v>WT-9002BK</v>
          </cell>
        </row>
        <row r="264">
          <cell r="P264" t="str">
            <v>211F9002BK2</v>
          </cell>
        </row>
        <row r="265">
          <cell r="B265" t="str">
            <v>WT-9807ORB02</v>
          </cell>
        </row>
        <row r="265">
          <cell r="P265" t="str">
            <v>221F0098OB1</v>
          </cell>
        </row>
        <row r="266">
          <cell r="B266" t="str">
            <v>8801ORBJB-1</v>
          </cell>
        </row>
        <row r="266">
          <cell r="P266" t="str">
            <v>110F0088OB1</v>
          </cell>
        </row>
        <row r="267">
          <cell r="B267" t="str">
            <v>3012BK QC1</v>
          </cell>
        </row>
        <row r="267">
          <cell r="P267" t="str">
            <v>230F3012BK1</v>
          </cell>
        </row>
        <row r="268">
          <cell r="B268" t="str">
            <v>B2211-BG</v>
          </cell>
        </row>
        <row r="268">
          <cell r="P268" t="str">
            <v>211F0022BG1</v>
          </cell>
        </row>
        <row r="269">
          <cell r="B269" t="str">
            <v>B2207-ORB</v>
          </cell>
        </row>
        <row r="269">
          <cell r="P269" t="str">
            <v>221F0022OB1</v>
          </cell>
        </row>
        <row r="270">
          <cell r="B270" t="str">
            <v>8001ORB HM1</v>
          </cell>
        </row>
        <row r="270">
          <cell r="P270" t="str">
            <v>110F0088OB1</v>
          </cell>
        </row>
        <row r="271">
          <cell r="B271" t="str">
            <v>WT-9811BN</v>
          </cell>
        </row>
        <row r="271">
          <cell r="P271" t="str">
            <v>211F0098BN1</v>
          </cell>
        </row>
        <row r="272">
          <cell r="B272" t="str">
            <v>WT-9808CP02</v>
          </cell>
        </row>
        <row r="272">
          <cell r="P272" t="str">
            <v>222F0098CP1</v>
          </cell>
        </row>
        <row r="273">
          <cell r="B273" t="str">
            <v>WT-9808BK</v>
          </cell>
        </row>
        <row r="273">
          <cell r="P273" t="str">
            <v>222F0098BK1</v>
          </cell>
        </row>
        <row r="274">
          <cell r="B274" t="str">
            <v>B2311-BG</v>
          </cell>
        </row>
        <row r="274">
          <cell r="P274" t="str">
            <v>211F0023BG1</v>
          </cell>
        </row>
        <row r="275">
          <cell r="B275" t="str">
            <v>8804BNJB-1</v>
          </cell>
        </row>
        <row r="275">
          <cell r="P275" t="str">
            <v>140F0088BN1</v>
          </cell>
        </row>
        <row r="276">
          <cell r="B276" t="str">
            <v>8907BK QC1</v>
          </cell>
        </row>
        <row r="276">
          <cell r="P276" t="str">
            <v>221F0089BK1</v>
          </cell>
        </row>
        <row r="277">
          <cell r="B277" t="str">
            <v>LD8911BG</v>
          </cell>
        </row>
        <row r="277">
          <cell r="P277" t="str">
            <v>211F0089BG1</v>
          </cell>
        </row>
        <row r="278">
          <cell r="B278" t="str">
            <v>3004BG HM1</v>
          </cell>
        </row>
        <row r="278">
          <cell r="P278" t="str">
            <v>240F3004BG1</v>
          </cell>
        </row>
        <row r="279">
          <cell r="B279" t="str">
            <v>3003CP HM1</v>
          </cell>
        </row>
        <row r="279">
          <cell r="P279" t="str">
            <v>220F3003CP1</v>
          </cell>
        </row>
        <row r="280">
          <cell r="B280" t="str">
            <v>KZ-9609BN</v>
          </cell>
        </row>
        <row r="280">
          <cell r="P280" t="str">
            <v>223F0096BN1</v>
          </cell>
        </row>
        <row r="281">
          <cell r="B281" t="str">
            <v>AZ-US-SOEBIZ-13-BN</v>
          </cell>
        </row>
        <row r="281">
          <cell r="P281" t="str">
            <v>480F0001BN6</v>
          </cell>
        </row>
        <row r="282">
          <cell r="B282" t="str">
            <v>8801BN HM1</v>
          </cell>
        </row>
        <row r="282">
          <cell r="P282" t="str">
            <v>110F0088BN1</v>
          </cell>
        </row>
        <row r="283">
          <cell r="B283" t="str">
            <v>WT-9812BN</v>
          </cell>
        </row>
        <row r="283">
          <cell r="P283" t="str">
            <v>320F0098BN1</v>
          </cell>
        </row>
        <row r="284">
          <cell r="B284" t="str">
            <v>WT-9811ORB</v>
          </cell>
        </row>
        <row r="284">
          <cell r="P284" t="str">
            <v>211F0098OB1</v>
          </cell>
        </row>
        <row r="285">
          <cell r="B285" t="str">
            <v>WT-9808BN</v>
          </cell>
        </row>
        <row r="285">
          <cell r="P285" t="str">
            <v>222F0098BN1</v>
          </cell>
        </row>
        <row r="286">
          <cell r="B286" t="str">
            <v>QC-2025011-ZG01</v>
          </cell>
        </row>
        <row r="286">
          <cell r="P286" t="str">
            <v>211F0022BG3</v>
          </cell>
        </row>
        <row r="287">
          <cell r="B287" t="str">
            <v>HM-8807-BG</v>
          </cell>
        </row>
        <row r="287">
          <cell r="P287" t="str">
            <v>221F0088BG1</v>
          </cell>
        </row>
        <row r="288">
          <cell r="B288" t="str">
            <v>HM-8807-BK-zz</v>
          </cell>
        </row>
        <row r="288">
          <cell r="P288" t="str">
            <v>221F0088BK1</v>
          </cell>
        </row>
        <row r="289">
          <cell r="B289" t="str">
            <v>QC-202507-BG-02</v>
          </cell>
        </row>
        <row r="289">
          <cell r="P289" t="str">
            <v>221F0022BG1</v>
          </cell>
        </row>
        <row r="290">
          <cell r="B290" t="str">
            <v>8801CP HM1</v>
          </cell>
        </row>
        <row r="290">
          <cell r="P290" t="str">
            <v>110F0088CP1</v>
          </cell>
        </row>
        <row r="291">
          <cell r="B291" t="str">
            <v>8801ORB HM1</v>
          </cell>
        </row>
        <row r="291">
          <cell r="P291" t="str">
            <v>110F0088OB1</v>
          </cell>
        </row>
        <row r="292">
          <cell r="B292" t="str">
            <v>Amazon.Found.B0B6Q3CD5R</v>
          </cell>
        </row>
        <row r="292">
          <cell r="P292" t="str">
            <v>140F0022BG1</v>
          </cell>
        </row>
        <row r="293">
          <cell r="B293" t="str">
            <v>AP041BG</v>
          </cell>
        </row>
        <row r="293">
          <cell r="P293" t="str">
            <v>AP041BG1</v>
          </cell>
        </row>
        <row r="294">
          <cell r="B294" t="str">
            <v>B2207-BG</v>
          </cell>
        </row>
        <row r="294">
          <cell r="P294" t="str">
            <v>221F0022BG1</v>
          </cell>
        </row>
        <row r="295">
          <cell r="B295" t="str">
            <v>AP041BK</v>
          </cell>
        </row>
        <row r="295">
          <cell r="P295" t="str">
            <v>AP041BK1</v>
          </cell>
        </row>
        <row r="296">
          <cell r="B296" t="str">
            <v>AP041BK</v>
          </cell>
        </row>
        <row r="296">
          <cell r="P296" t="str">
            <v>AP041BK1</v>
          </cell>
        </row>
        <row r="297">
          <cell r="B297" t="str">
            <v>AP041BN</v>
          </cell>
        </row>
        <row r="297">
          <cell r="P297" t="str">
            <v>AP041BN1</v>
          </cell>
        </row>
        <row r="298">
          <cell r="B298" t="str">
            <v>AP041BN</v>
          </cell>
        </row>
        <row r="298">
          <cell r="P298" t="str">
            <v>AP041BN1</v>
          </cell>
        </row>
        <row r="299">
          <cell r="B299" t="str">
            <v>AP041CP</v>
          </cell>
        </row>
        <row r="299">
          <cell r="P299" t="str">
            <v>AP041CP1</v>
          </cell>
        </row>
        <row r="300">
          <cell r="B300" t="str">
            <v>AP041CP</v>
          </cell>
        </row>
        <row r="300">
          <cell r="P300" t="str">
            <v>AP041CP1</v>
          </cell>
        </row>
        <row r="301">
          <cell r="B301" t="str">
            <v>WT-9811CP</v>
          </cell>
        </row>
        <row r="301">
          <cell r="P301" t="str">
            <v>211F0098CP1</v>
          </cell>
        </row>
        <row r="302">
          <cell r="B302" t="str">
            <v>WT-9002BGZZ</v>
          </cell>
        </row>
        <row r="302">
          <cell r="P302" t="str">
            <v>211F9002BG3</v>
          </cell>
        </row>
        <row r="303">
          <cell r="B303" t="str">
            <v>WT-ZZ01BN01</v>
          </cell>
        </row>
        <row r="303">
          <cell r="P303" t="str">
            <v>390F0001BN1</v>
          </cell>
        </row>
        <row r="304">
          <cell r="B304" t="str">
            <v>WT-9808BG</v>
          </cell>
        </row>
        <row r="304">
          <cell r="P304" t="str">
            <v>222F0098BG1</v>
          </cell>
        </row>
        <row r="305">
          <cell r="B305" t="str">
            <v>WT-9809CP02</v>
          </cell>
        </row>
        <row r="305">
          <cell r="P305" t="str">
            <v>223F0098CP1</v>
          </cell>
        </row>
        <row r="306">
          <cell r="B306" t="str">
            <v>WT-9807CP02</v>
          </cell>
        </row>
        <row r="306">
          <cell r="P306" t="str">
            <v>221F0098CP1</v>
          </cell>
        </row>
        <row r="307">
          <cell r="B307" t="str">
            <v>WT-9806BG</v>
          </cell>
        </row>
        <row r="307">
          <cell r="P307" t="str">
            <v>230F0098BG1</v>
          </cell>
        </row>
        <row r="308">
          <cell r="B308" t="str">
            <v>B2312-ORB</v>
          </cell>
        </row>
        <row r="308">
          <cell r="P308" t="str">
            <v>320F0023OB1</v>
          </cell>
        </row>
        <row r="309">
          <cell r="B309" t="str">
            <v>B2312-BK</v>
          </cell>
        </row>
        <row r="309">
          <cell r="P309" t="str">
            <v>320F0023BK1</v>
          </cell>
        </row>
        <row r="310">
          <cell r="B310" t="str">
            <v>HG-2304CP ZZ01</v>
          </cell>
        </row>
        <row r="310">
          <cell r="P310" t="str">
            <v>140F0098CP1</v>
          </cell>
        </row>
        <row r="311">
          <cell r="B311" t="str">
            <v>B2306-BG</v>
          </cell>
        </row>
        <row r="311">
          <cell r="P311" t="str">
            <v>230F0023BG1</v>
          </cell>
        </row>
        <row r="312">
          <cell r="B312" t="str">
            <v>8907BN QC1</v>
          </cell>
        </row>
        <row r="312">
          <cell r="P312" t="str">
            <v>221F0089BN1</v>
          </cell>
        </row>
        <row r="313">
          <cell r="B313" t="str">
            <v>8808BN JB-1</v>
          </cell>
        </row>
        <row r="313">
          <cell r="P313" t="str">
            <v>222F0088BN1</v>
          </cell>
        </row>
        <row r="314">
          <cell r="B314" t="str">
            <v>LD8908BG</v>
          </cell>
        </row>
        <row r="314">
          <cell r="P314" t="str">
            <v>222F0089BG1</v>
          </cell>
        </row>
        <row r="315">
          <cell r="B315" t="str">
            <v>3012BN-QC1</v>
          </cell>
        </row>
        <row r="315">
          <cell r="P315" t="str">
            <v>230F3012BN2</v>
          </cell>
        </row>
        <row r="316">
          <cell r="B316" t="str">
            <v>3003BG HM1</v>
          </cell>
        </row>
        <row r="316">
          <cell r="P316" t="str">
            <v>220F3003BG1</v>
          </cell>
        </row>
        <row r="317">
          <cell r="B317" t="str">
            <v>3003BK HM1</v>
          </cell>
        </row>
        <row r="317">
          <cell r="P317" t="str">
            <v>220F3003BK1</v>
          </cell>
        </row>
        <row r="318">
          <cell r="B318" t="str">
            <v>3004BK HM1</v>
          </cell>
        </row>
        <row r="318">
          <cell r="P318" t="str">
            <v>240F3004BK1</v>
          </cell>
        </row>
        <row r="319">
          <cell r="B319" t="str">
            <v>3011ORB QC1</v>
          </cell>
        </row>
        <row r="319">
          <cell r="P319" t="str">
            <v>230F3011OB1</v>
          </cell>
        </row>
        <row r="320">
          <cell r="B320" t="str">
            <v>AP041ORB</v>
          </cell>
        </row>
        <row r="320">
          <cell r="P320" t="str">
            <v>AP041OB1</v>
          </cell>
        </row>
        <row r="321">
          <cell r="B321" t="str">
            <v>WT-9808RGBK</v>
          </cell>
        </row>
        <row r="321">
          <cell r="P321" t="str">
            <v>222F0098RB1</v>
          </cell>
        </row>
        <row r="322">
          <cell r="B322" t="str">
            <v>QC-202511-BN01</v>
          </cell>
        </row>
        <row r="322">
          <cell r="P322" t="str">
            <v>211F0022BN1</v>
          </cell>
        </row>
        <row r="323">
          <cell r="B323" t="str">
            <v>3004BG QC1</v>
          </cell>
        </row>
        <row r="323">
          <cell r="P323" t="str">
            <v>240F3004BG1</v>
          </cell>
        </row>
        <row r="324">
          <cell r="B324" t="str">
            <v>TT-9707ORB</v>
          </cell>
        </row>
        <row r="324">
          <cell r="P324" t="str">
            <v>221F0097OB1</v>
          </cell>
        </row>
        <row r="325">
          <cell r="B325" t="str">
            <v>B2207-BK</v>
          </cell>
        </row>
        <row r="325">
          <cell r="P325" t="str">
            <v>221F0022BK1</v>
          </cell>
        </row>
        <row r="326">
          <cell r="B326" t="str">
            <v>E2-3KRT-15T2</v>
          </cell>
        </row>
        <row r="326">
          <cell r="P326" t="str">
            <v>110F0088BN1</v>
          </cell>
        </row>
        <row r="327">
          <cell r="B327" t="str">
            <v>E2-SVVE-MAJQ</v>
          </cell>
        </row>
        <row r="327">
          <cell r="P327" t="str">
            <v>110F0098CP1</v>
          </cell>
        </row>
        <row r="328">
          <cell r="B328" t="str">
            <v>B2209-ORB</v>
          </cell>
        </row>
        <row r="328">
          <cell r="P328" t="str">
            <v>223F0022OB1</v>
          </cell>
        </row>
        <row r="329">
          <cell r="B329" t="str">
            <v>KZ-9608CP</v>
          </cell>
        </row>
        <row r="329">
          <cell r="P329" t="str">
            <v>222F0096CP1</v>
          </cell>
        </row>
        <row r="330">
          <cell r="B330" t="str">
            <v>EM-ZCQ9-3YML</v>
          </cell>
        </row>
        <row r="330">
          <cell r="P330" t="str">
            <v>140F0098BG1</v>
          </cell>
        </row>
        <row r="331">
          <cell r="B331" t="str">
            <v>NB2207-CP</v>
          </cell>
        </row>
        <row r="331">
          <cell r="P331" t="str">
            <v>221F0022CP1</v>
          </cell>
        </row>
        <row r="332">
          <cell r="B332" t="str">
            <v>JX-H71Z-4D4Y</v>
          </cell>
        </row>
        <row r="332">
          <cell r="P332" t="str">
            <v>140F0098CP1</v>
          </cell>
        </row>
        <row r="333">
          <cell r="B333" t="str">
            <v>L0001-BG</v>
          </cell>
        </row>
        <row r="333">
          <cell r="P333" t="str">
            <v>110F0001BG3</v>
          </cell>
        </row>
        <row r="334">
          <cell r="B334" t="str">
            <v>WT-9809BK</v>
          </cell>
        </row>
        <row r="334">
          <cell r="P334" t="str">
            <v>223F0098BK1</v>
          </cell>
        </row>
        <row r="335">
          <cell r="B335" t="str">
            <v>WT-9809BN02</v>
          </cell>
        </row>
        <row r="335">
          <cell r="P335" t="str">
            <v>223F0098BN1</v>
          </cell>
        </row>
        <row r="336">
          <cell r="B336" t="str">
            <v>WT-9806CP</v>
          </cell>
        </row>
        <row r="336">
          <cell r="P336" t="str">
            <v>230F0098CP1</v>
          </cell>
        </row>
        <row r="337">
          <cell r="B337" t="str">
            <v>WT-9806BN</v>
          </cell>
        </row>
        <row r="337">
          <cell r="P337" t="str">
            <v>230F0098BN1</v>
          </cell>
        </row>
        <row r="338">
          <cell r="B338" t="str">
            <v>WT-9809BK02</v>
          </cell>
        </row>
        <row r="338">
          <cell r="P338" t="str">
            <v>223F0098BK1</v>
          </cell>
        </row>
        <row r="339">
          <cell r="B339" t="str">
            <v>WT-9002ORB</v>
          </cell>
        </row>
        <row r="339">
          <cell r="P339" t="str">
            <v>211F9002OB1</v>
          </cell>
        </row>
        <row r="340">
          <cell r="B340" t="str">
            <v>WT-9806BK</v>
          </cell>
        </row>
        <row r="340">
          <cell r="P340" t="str">
            <v>230F0098BK1</v>
          </cell>
        </row>
        <row r="341">
          <cell r="B341" t="str">
            <v>WT-9811BK</v>
          </cell>
        </row>
        <row r="341">
          <cell r="P341" t="str">
            <v>211F0098BK2</v>
          </cell>
        </row>
        <row r="342">
          <cell r="B342" t="str">
            <v>WT-9807RGBK</v>
          </cell>
        </row>
        <row r="342">
          <cell r="P342" t="str">
            <v>221F0098RB1</v>
          </cell>
        </row>
        <row r="343">
          <cell r="B343" t="str">
            <v>HG-2304ORB ZZ01</v>
          </cell>
        </row>
        <row r="343">
          <cell r="P343" t="str">
            <v>140F0098OB1</v>
          </cell>
        </row>
        <row r="344">
          <cell r="B344" t="str">
            <v>HG-8901BG</v>
          </cell>
        </row>
        <row r="344">
          <cell r="P344" t="str">
            <v>110F0089BG1</v>
          </cell>
        </row>
        <row r="345">
          <cell r="B345" t="str">
            <v>HG-8901BG</v>
          </cell>
        </row>
        <row r="345">
          <cell r="P345" t="str">
            <v>110F0089BG1</v>
          </cell>
        </row>
        <row r="346">
          <cell r="B346" t="str">
            <v>B2309-ORB</v>
          </cell>
        </row>
        <row r="346">
          <cell r="P346" t="str">
            <v>223F0023OB1</v>
          </cell>
        </row>
        <row r="347">
          <cell r="B347" t="str">
            <v>HG-8901BK</v>
          </cell>
        </row>
        <row r="347">
          <cell r="P347" t="str">
            <v>110F0089BK1</v>
          </cell>
        </row>
        <row r="348">
          <cell r="B348" t="str">
            <v>B2307-ORB</v>
          </cell>
        </row>
        <row r="348">
          <cell r="P348" t="str">
            <v>221F0023OB1</v>
          </cell>
        </row>
        <row r="349">
          <cell r="B349" t="str">
            <v>B2307-BG</v>
          </cell>
        </row>
        <row r="349">
          <cell r="P349" t="str">
            <v>221F0023BG1</v>
          </cell>
        </row>
        <row r="350">
          <cell r="B350" t="str">
            <v>HG-8901BK</v>
          </cell>
        </row>
        <row r="350">
          <cell r="P350" t="str">
            <v>110F0089BK1</v>
          </cell>
        </row>
        <row r="351">
          <cell r="B351" t="str">
            <v>B2311-ORB</v>
          </cell>
        </row>
        <row r="351">
          <cell r="P351" t="str">
            <v>211F0023OB1</v>
          </cell>
        </row>
        <row r="352">
          <cell r="B352" t="str">
            <v>QC-202508-BK01</v>
          </cell>
        </row>
        <row r="352">
          <cell r="P352" t="str">
            <v>222F0022BK1</v>
          </cell>
        </row>
        <row r="353">
          <cell r="B353" t="str">
            <v>8811 BG01</v>
          </cell>
        </row>
        <row r="353">
          <cell r="P353" t="str">
            <v>211F0088BG1</v>
          </cell>
        </row>
        <row r="354">
          <cell r="B354" t="str">
            <v>HM-8808-ORB</v>
          </cell>
        </row>
        <row r="354">
          <cell r="P354" t="str">
            <v>222F0088OB1</v>
          </cell>
        </row>
        <row r="355">
          <cell r="B355" t="str">
            <v>HM-8808-CP</v>
          </cell>
        </row>
        <row r="355">
          <cell r="P355" t="str">
            <v>222F0088CP1</v>
          </cell>
        </row>
        <row r="356">
          <cell r="B356" t="str">
            <v>HM-8807-CP</v>
          </cell>
        </row>
        <row r="356">
          <cell r="P356" t="str">
            <v>221F0088CP1</v>
          </cell>
        </row>
        <row r="357">
          <cell r="B357" t="str">
            <v>8807BGJB-2</v>
          </cell>
        </row>
        <row r="357">
          <cell r="P357" t="str">
            <v>221F0088BG1</v>
          </cell>
        </row>
        <row r="358">
          <cell r="B358" t="str">
            <v>8908BG QC1</v>
          </cell>
        </row>
        <row r="358">
          <cell r="P358" t="str">
            <v>222F0089BG1</v>
          </cell>
        </row>
        <row r="359">
          <cell r="B359" t="str">
            <v>8908BN QC1</v>
          </cell>
        </row>
        <row r="359">
          <cell r="P359" t="str">
            <v>222F0089BN1</v>
          </cell>
        </row>
        <row r="360">
          <cell r="B360" t="str">
            <v>LD8911BK</v>
          </cell>
        </row>
        <row r="360">
          <cell r="P360" t="str">
            <v>211F0089BK2</v>
          </cell>
        </row>
        <row r="361">
          <cell r="B361" t="str">
            <v>LD8907ORB</v>
          </cell>
        </row>
        <row r="361">
          <cell r="P361" t="str">
            <v>221F0089OB1</v>
          </cell>
        </row>
        <row r="362">
          <cell r="B362" t="str">
            <v>LD8904BG</v>
          </cell>
        </row>
        <row r="362">
          <cell r="P362" t="str">
            <v>140F0089BG1</v>
          </cell>
        </row>
        <row r="363">
          <cell r="B363" t="str">
            <v>3004ORB HM1</v>
          </cell>
        </row>
        <row r="363">
          <cell r="P363" t="str">
            <v>240F3004OB1</v>
          </cell>
        </row>
        <row r="364">
          <cell r="B364" t="str">
            <v>3012BN QC1</v>
          </cell>
        </row>
        <row r="364">
          <cell r="P364" t="str">
            <v>230F3012BN2</v>
          </cell>
        </row>
        <row r="365">
          <cell r="B365" t="str">
            <v>L0001-BG</v>
          </cell>
        </row>
        <row r="365">
          <cell r="P365" t="str">
            <v>110F0001BG3</v>
          </cell>
        </row>
        <row r="366">
          <cell r="B366" t="str">
            <v>WT-9807BKZZ06</v>
          </cell>
        </row>
        <row r="366">
          <cell r="P366" t="str">
            <v>221F0098BK1</v>
          </cell>
        </row>
        <row r="367">
          <cell r="B367" t="str">
            <v>SZ-B9907BK</v>
          </cell>
        </row>
        <row r="367">
          <cell r="P367" t="str">
            <v>221F0099BK1</v>
          </cell>
        </row>
        <row r="368">
          <cell r="B368" t="str">
            <v>TT-9709BG</v>
          </cell>
        </row>
        <row r="368">
          <cell r="P368" t="str">
            <v>223F0097BG1</v>
          </cell>
        </row>
        <row r="369">
          <cell r="B369" t="str">
            <v>L0001-BK</v>
          </cell>
        </row>
        <row r="369">
          <cell r="P369" t="str">
            <v>110F0001BK1</v>
          </cell>
        </row>
        <row r="370">
          <cell r="B370" t="str">
            <v>L0001-BK</v>
          </cell>
        </row>
        <row r="370">
          <cell r="P370" t="str">
            <v>110F0001BK1</v>
          </cell>
        </row>
        <row r="371">
          <cell r="B371" t="str">
            <v>K2213-BK</v>
          </cell>
        </row>
        <row r="371">
          <cell r="P371" t="str">
            <v>420F0022BK1</v>
          </cell>
        </row>
        <row r="372">
          <cell r="B372" t="str">
            <v>B2208-ORB</v>
          </cell>
        </row>
        <row r="372">
          <cell r="P372" t="str">
            <v>222F0022OB1</v>
          </cell>
        </row>
        <row r="373">
          <cell r="B373" t="str">
            <v>B2207-CP</v>
          </cell>
        </row>
        <row r="373">
          <cell r="P373" t="str">
            <v>221F0022CP1</v>
          </cell>
        </row>
        <row r="374">
          <cell r="B374" t="str">
            <v>B2208-BK</v>
          </cell>
        </row>
        <row r="374">
          <cell r="P374" t="str">
            <v>222F0022BK1</v>
          </cell>
        </row>
        <row r="375">
          <cell r="B375" t="str">
            <v>B2211-BK</v>
          </cell>
        </row>
        <row r="375">
          <cell r="P375" t="str">
            <v>211F0022BK2</v>
          </cell>
        </row>
        <row r="376">
          <cell r="B376" t="str">
            <v>L0001-BKZZ01</v>
          </cell>
        </row>
        <row r="376">
          <cell r="P376" t="str">
            <v>110F0001BK1</v>
          </cell>
        </row>
        <row r="377">
          <cell r="B377" t="str">
            <v>B2209-BG</v>
          </cell>
        </row>
        <row r="377">
          <cell r="P377" t="str">
            <v>223F0022BG1</v>
          </cell>
        </row>
        <row r="378">
          <cell r="B378" t="str">
            <v>B2208-CP</v>
          </cell>
        </row>
        <row r="378">
          <cell r="P378" t="str">
            <v>222F0022CP1</v>
          </cell>
        </row>
        <row r="379">
          <cell r="B379" t="str">
            <v>B2208-BG</v>
          </cell>
        </row>
        <row r="379">
          <cell r="P379" t="str">
            <v>222F0022BG1</v>
          </cell>
        </row>
        <row r="380">
          <cell r="B380" t="str">
            <v>B2211-CP</v>
          </cell>
        </row>
        <row r="380">
          <cell r="P380" t="str">
            <v>211F0022CP1</v>
          </cell>
        </row>
        <row r="381">
          <cell r="B381" t="str">
            <v>B2209-BK</v>
          </cell>
        </row>
        <row r="381">
          <cell r="P381" t="str">
            <v>223F0022BK1</v>
          </cell>
        </row>
        <row r="382">
          <cell r="B382" t="str">
            <v>B2209-BN</v>
          </cell>
        </row>
        <row r="382">
          <cell r="P382" t="str">
            <v>223F0022BN1</v>
          </cell>
        </row>
        <row r="383">
          <cell r="B383" t="str">
            <v>B2211-ORB</v>
          </cell>
        </row>
        <row r="383">
          <cell r="P383" t="str">
            <v>211F0022OB1</v>
          </cell>
        </row>
        <row r="384">
          <cell r="B384" t="str">
            <v>B2207-BN</v>
          </cell>
        </row>
        <row r="384">
          <cell r="P384" t="str">
            <v>221F0022BN1</v>
          </cell>
        </row>
        <row r="385">
          <cell r="B385" t="str">
            <v>B2206-BK</v>
          </cell>
        </row>
        <row r="385">
          <cell r="P385" t="str">
            <v>230F0022BK1</v>
          </cell>
        </row>
        <row r="386">
          <cell r="B386" t="str">
            <v>L0001-BKZZ02</v>
          </cell>
        </row>
        <row r="386">
          <cell r="P386" t="str">
            <v>110F0001BK1</v>
          </cell>
        </row>
        <row r="387">
          <cell r="B387" t="str">
            <v>L0001-BKZZ03</v>
          </cell>
        </row>
        <row r="387">
          <cell r="P387" t="str">
            <v>110F0001BK1</v>
          </cell>
        </row>
        <row r="388">
          <cell r="B388" t="str">
            <v>KZ-9607BN</v>
          </cell>
        </row>
        <row r="388">
          <cell r="P388" t="str">
            <v>221F0096BN1</v>
          </cell>
        </row>
        <row r="389">
          <cell r="B389" t="str">
            <v>KZ-9607ORB</v>
          </cell>
        </row>
        <row r="389">
          <cell r="P389" t="str">
            <v>221F0096OB1</v>
          </cell>
        </row>
        <row r="390">
          <cell r="B390" t="str">
            <v>KZ-9608BN</v>
          </cell>
        </row>
        <row r="390">
          <cell r="P390" t="str">
            <v>222F0096BN1</v>
          </cell>
        </row>
        <row r="391">
          <cell r="B391" t="str">
            <v>KZ-9607BN</v>
          </cell>
        </row>
        <row r="391">
          <cell r="P391" t="str">
            <v>221F0096BN1</v>
          </cell>
        </row>
        <row r="392">
          <cell r="B392" t="str">
            <v>KZ-9608ORB</v>
          </cell>
        </row>
        <row r="392">
          <cell r="P392" t="str">
            <v>222F0096OB1</v>
          </cell>
        </row>
        <row r="393">
          <cell r="B393" t="str">
            <v>KZ-9609BK</v>
          </cell>
        </row>
        <row r="393">
          <cell r="P393" t="str">
            <v>223F0096BK1</v>
          </cell>
        </row>
        <row r="394">
          <cell r="B394" t="str">
            <v>KZ-9611CP</v>
          </cell>
        </row>
        <row r="394">
          <cell r="P394" t="str">
            <v>211F0096CP1</v>
          </cell>
        </row>
        <row r="395">
          <cell r="B395" t="str">
            <v>KZ-9609CP</v>
          </cell>
        </row>
        <row r="395">
          <cell r="P395" t="str">
            <v>223F0096CP1</v>
          </cell>
        </row>
        <row r="396">
          <cell r="B396" t="str">
            <v>KZ-9609ORB</v>
          </cell>
        </row>
        <row r="396">
          <cell r="P396" t="str">
            <v>223F0096OB1</v>
          </cell>
        </row>
        <row r="397">
          <cell r="B397" t="str">
            <v>KZ-9609BK</v>
          </cell>
        </row>
        <row r="397">
          <cell r="P397" t="str">
            <v>223F0096BK1</v>
          </cell>
        </row>
        <row r="398">
          <cell r="B398" t="str">
            <v>KZ-9608CP</v>
          </cell>
        </row>
        <row r="398">
          <cell r="P398" t="str">
            <v>222F0096CP1</v>
          </cell>
        </row>
        <row r="399">
          <cell r="B399" t="str">
            <v>KZ-9609BG</v>
          </cell>
        </row>
        <row r="399">
          <cell r="P399" t="str">
            <v>223F0096BG1</v>
          </cell>
        </row>
        <row r="400">
          <cell r="B400" t="str">
            <v>KZ-9607CP</v>
          </cell>
        </row>
        <row r="400">
          <cell r="P400" t="str">
            <v>221F0096CP1</v>
          </cell>
        </row>
        <row r="401">
          <cell r="B401" t="str">
            <v>WT-9812ORB</v>
          </cell>
        </row>
        <row r="401">
          <cell r="P401" t="str">
            <v>320F0098OB1</v>
          </cell>
        </row>
        <row r="402">
          <cell r="B402" t="str">
            <v>WT-9809ORB02</v>
          </cell>
        </row>
        <row r="402">
          <cell r="P402" t="str">
            <v>223F0098OB1</v>
          </cell>
        </row>
        <row r="403">
          <cell r="B403" t="str">
            <v>WT-9807BG</v>
          </cell>
        </row>
        <row r="403">
          <cell r="P403" t="str">
            <v>221F0098BG1</v>
          </cell>
        </row>
        <row r="404">
          <cell r="B404" t="str">
            <v>WT-9808ORB02</v>
          </cell>
        </row>
        <row r="404">
          <cell r="P404" t="str">
            <v>222F0098OB1</v>
          </cell>
        </row>
        <row r="405">
          <cell r="B405" t="str">
            <v>WT-9808BG02</v>
          </cell>
        </row>
        <row r="405">
          <cell r="P405" t="str">
            <v>222F0098BG1</v>
          </cell>
        </row>
        <row r="406">
          <cell r="B406" t="str">
            <v>WT-9809BG</v>
          </cell>
        </row>
        <row r="406">
          <cell r="P406" t="str">
            <v>223F0098BG1</v>
          </cell>
        </row>
        <row r="407">
          <cell r="B407" t="str">
            <v>WT-9809RGBK</v>
          </cell>
        </row>
        <row r="407">
          <cell r="P407" t="str">
            <v>223F0098RB1</v>
          </cell>
        </row>
        <row r="408">
          <cell r="B408" t="str">
            <v>WT-3311-BG</v>
          </cell>
        </row>
        <row r="408">
          <cell r="P408" t="str">
            <v>211F0033BG3</v>
          </cell>
        </row>
        <row r="409">
          <cell r="B409" t="str">
            <v>WT-3311-BN</v>
          </cell>
        </row>
        <row r="409">
          <cell r="P409" t="str">
            <v>211F0033BN1</v>
          </cell>
        </row>
        <row r="410">
          <cell r="B410" t="str">
            <v>PU-4540-MYN4</v>
          </cell>
        </row>
        <row r="410">
          <cell r="P410" t="str">
            <v>211F8000OB1</v>
          </cell>
        </row>
        <row r="411">
          <cell r="B411" t="str">
            <v>B2307-BN</v>
          </cell>
        </row>
        <row r="411">
          <cell r="P411" t="str">
            <v>221F0023BN1</v>
          </cell>
        </row>
        <row r="412">
          <cell r="B412" t="str">
            <v>B2306-BN</v>
          </cell>
        </row>
        <row r="412">
          <cell r="P412" t="str">
            <v>230F0023BN1</v>
          </cell>
        </row>
        <row r="413">
          <cell r="B413" t="str">
            <v>B2309-BN</v>
          </cell>
        </row>
        <row r="413">
          <cell r="P413" t="str">
            <v>223F0023BN1</v>
          </cell>
        </row>
        <row r="414">
          <cell r="B414" t="str">
            <v>HG-8901BN</v>
          </cell>
        </row>
        <row r="414">
          <cell r="P414" t="str">
            <v>110F0089BN1</v>
          </cell>
        </row>
        <row r="415">
          <cell r="B415" t="str">
            <v>B2311-BN</v>
          </cell>
        </row>
        <row r="415">
          <cell r="P415" t="str">
            <v>211F0023BN1</v>
          </cell>
        </row>
        <row r="416">
          <cell r="B416" t="str">
            <v>B2309-BG</v>
          </cell>
        </row>
        <row r="416">
          <cell r="P416" t="str">
            <v>223F0023BG1</v>
          </cell>
        </row>
        <row r="417">
          <cell r="B417" t="str">
            <v>B2307-BK</v>
          </cell>
        </row>
        <row r="417">
          <cell r="P417" t="str">
            <v>221F0023BK1</v>
          </cell>
        </row>
        <row r="418">
          <cell r="B418" t="str">
            <v>HG-8901BN</v>
          </cell>
        </row>
        <row r="418">
          <cell r="P418" t="str">
            <v>110F0089BN1</v>
          </cell>
        </row>
        <row r="419">
          <cell r="B419" t="str">
            <v>B2309-CP</v>
          </cell>
        </row>
        <row r="419">
          <cell r="P419" t="str">
            <v>223F0023CP1</v>
          </cell>
        </row>
        <row r="420">
          <cell r="B420" t="str">
            <v>HG-8901CP</v>
          </cell>
        </row>
        <row r="420">
          <cell r="P420" t="str">
            <v>110F0089CP1</v>
          </cell>
        </row>
        <row r="421">
          <cell r="B421" t="str">
            <v>HG-8901CP</v>
          </cell>
        </row>
        <row r="421">
          <cell r="P421" t="str">
            <v>110F0089CP1</v>
          </cell>
        </row>
        <row r="422">
          <cell r="B422" t="str">
            <v>QC-202508-BN01</v>
          </cell>
        </row>
        <row r="422">
          <cell r="P422" t="str">
            <v>222F0022BN1</v>
          </cell>
        </row>
        <row r="423">
          <cell r="B423" t="str">
            <v>QC-202508-BG01</v>
          </cell>
        </row>
        <row r="423">
          <cell r="P423" t="str">
            <v>222F0022BG1</v>
          </cell>
        </row>
        <row r="424">
          <cell r="B424" t="str">
            <v>8811 BN01</v>
          </cell>
        </row>
        <row r="424">
          <cell r="P424" t="str">
            <v>211F0088BN1</v>
          </cell>
        </row>
        <row r="425">
          <cell r="B425" t="str">
            <v>8811 CP01</v>
          </cell>
        </row>
        <row r="425">
          <cell r="P425" t="str">
            <v>211F0088CP1</v>
          </cell>
        </row>
        <row r="426">
          <cell r="B426" t="str">
            <v>8811 ORB01</v>
          </cell>
        </row>
        <row r="426">
          <cell r="P426" t="str">
            <v>211F0088OB1</v>
          </cell>
        </row>
        <row r="427">
          <cell r="B427" t="str">
            <v>HM-8811-BG</v>
          </cell>
        </row>
        <row r="427">
          <cell r="P427" t="str">
            <v>211F0088BG1</v>
          </cell>
        </row>
        <row r="428">
          <cell r="B428" t="str">
            <v>HM-8807-BN</v>
          </cell>
        </row>
        <row r="428">
          <cell r="P428" t="str">
            <v>221F0088BN1</v>
          </cell>
        </row>
        <row r="429">
          <cell r="B429" t="str">
            <v>8807BKJB-2</v>
          </cell>
        </row>
        <row r="429">
          <cell r="P429" t="str">
            <v>221F0088BK1</v>
          </cell>
        </row>
        <row r="430">
          <cell r="B430" t="str">
            <v>8801BKJB-1</v>
          </cell>
        </row>
        <row r="430">
          <cell r="P430" t="str">
            <v>110F0088BK1</v>
          </cell>
        </row>
        <row r="431">
          <cell r="B431" t="str">
            <v>8907BG-QC1</v>
          </cell>
        </row>
        <row r="431">
          <cell r="P431" t="str">
            <v>221F0089BG1</v>
          </cell>
        </row>
        <row r="432">
          <cell r="B432" t="str">
            <v>8908ORB QC1</v>
          </cell>
        </row>
        <row r="432">
          <cell r="P432" t="str">
            <v>222F0089OB1</v>
          </cell>
        </row>
        <row r="433">
          <cell r="B433" t="str">
            <v>8908BK QC1</v>
          </cell>
        </row>
        <row r="433">
          <cell r="P433" t="str">
            <v>222F0089BK1</v>
          </cell>
        </row>
        <row r="434">
          <cell r="B434" t="str">
            <v>8907ORB QC1</v>
          </cell>
        </row>
        <row r="434">
          <cell r="P434" t="str">
            <v>221F0089OB1</v>
          </cell>
        </row>
        <row r="435">
          <cell r="B435" t="str">
            <v>HM-8801-ORB2</v>
          </cell>
        </row>
        <row r="435">
          <cell r="P435" t="str">
            <v>110F0088OB1</v>
          </cell>
        </row>
        <row r="436">
          <cell r="B436" t="str">
            <v>8808BK JB-1</v>
          </cell>
        </row>
        <row r="436">
          <cell r="P436" t="str">
            <v>222F0088BK1</v>
          </cell>
        </row>
        <row r="437">
          <cell r="B437" t="str">
            <v>8809ORB JB-1</v>
          </cell>
        </row>
        <row r="437">
          <cell r="P437" t="str">
            <v>223F0088OB1</v>
          </cell>
        </row>
        <row r="438">
          <cell r="B438" t="str">
            <v>8808BG JB-1</v>
          </cell>
        </row>
        <row r="438">
          <cell r="P438" t="str">
            <v>222F0088BG1</v>
          </cell>
        </row>
        <row r="439">
          <cell r="B439" t="str">
            <v>LD8911BN</v>
          </cell>
        </row>
        <row r="439">
          <cell r="P439" t="str">
            <v>211F0089BN1</v>
          </cell>
        </row>
        <row r="440">
          <cell r="B440" t="str">
            <v>LD8909BG</v>
          </cell>
        </row>
        <row r="440">
          <cell r="P440" t="str">
            <v>223F0089BG1</v>
          </cell>
        </row>
        <row r="441">
          <cell r="B441" t="str">
            <v>LD8909BK</v>
          </cell>
        </row>
        <row r="441">
          <cell r="P441" t="str">
            <v>223F0089BK1</v>
          </cell>
        </row>
        <row r="442">
          <cell r="B442" t="str">
            <v>LD8909ORB</v>
          </cell>
        </row>
        <row r="442">
          <cell r="P442" t="str">
            <v>223F0089OB1</v>
          </cell>
        </row>
        <row r="443">
          <cell r="B443" t="str">
            <v>LD8907BN</v>
          </cell>
        </row>
        <row r="443">
          <cell r="P443" t="str">
            <v>221F0089BN1</v>
          </cell>
        </row>
        <row r="444">
          <cell r="B444" t="str">
            <v>LD8907BK</v>
          </cell>
        </row>
        <row r="444">
          <cell r="P444" t="str">
            <v>221F0089BK1</v>
          </cell>
        </row>
        <row r="445">
          <cell r="B445" t="str">
            <v>HM-8801-BK</v>
          </cell>
        </row>
        <row r="445">
          <cell r="P445" t="str">
            <v>110F0088BK1</v>
          </cell>
        </row>
        <row r="446">
          <cell r="B446" t="str">
            <v>3003ORB HM1</v>
          </cell>
        </row>
        <row r="446">
          <cell r="P446" t="str">
            <v>220F3003OB1</v>
          </cell>
        </row>
        <row r="447">
          <cell r="B447" t="str">
            <v>3004BN HM1</v>
          </cell>
        </row>
        <row r="447">
          <cell r="P447" t="str">
            <v>240F3004BN2</v>
          </cell>
        </row>
        <row r="448">
          <cell r="B448" t="str">
            <v>3004CP HM1</v>
          </cell>
        </row>
        <row r="448">
          <cell r="P448" t="str">
            <v>240F3004CP1</v>
          </cell>
        </row>
        <row r="449">
          <cell r="B449" t="str">
            <v>3012ORB QC1</v>
          </cell>
        </row>
        <row r="449">
          <cell r="P449" t="str">
            <v>230F3012OB1</v>
          </cell>
        </row>
        <row r="450">
          <cell r="B450" t="str">
            <v>3011CP QC1</v>
          </cell>
        </row>
        <row r="450">
          <cell r="P450" t="str">
            <v>230F3011CP1</v>
          </cell>
        </row>
        <row r="451">
          <cell r="B451" t="str">
            <v>TT-9711CP</v>
          </cell>
        </row>
        <row r="451">
          <cell r="P451" t="str">
            <v>211F0097CP1</v>
          </cell>
        </row>
        <row r="452">
          <cell r="B452" t="str">
            <v>CR-NOCP-Z21P</v>
          </cell>
        </row>
        <row r="452">
          <cell r="P452" t="str">
            <v>211F8000BG1</v>
          </cell>
        </row>
        <row r="453">
          <cell r="B453" t="str">
            <v>WT-1007-CPZZ</v>
          </cell>
        </row>
        <row r="453">
          <cell r="P453" t="str">
            <v>211F1007CP1</v>
          </cell>
        </row>
        <row r="454">
          <cell r="B454" t="str">
            <v>SZ-B9911CP</v>
          </cell>
        </row>
        <row r="454">
          <cell r="P454" t="str">
            <v>211F0099CP1</v>
          </cell>
        </row>
        <row r="455">
          <cell r="B455" t="str">
            <v>HG-8901ORB</v>
          </cell>
        </row>
        <row r="455">
          <cell r="P455" t="str">
            <v>110F0089OB1</v>
          </cell>
        </row>
        <row r="456">
          <cell r="B456" t="str">
            <v>HG-8901ORB</v>
          </cell>
        </row>
        <row r="456">
          <cell r="P456" t="str">
            <v>110F0089OB1</v>
          </cell>
        </row>
        <row r="457">
          <cell r="B457" t="str">
            <v>B2306-ORB</v>
          </cell>
        </row>
        <row r="457">
          <cell r="P457" t="str">
            <v>230F0023OB1</v>
          </cell>
        </row>
        <row r="458">
          <cell r="B458" t="str">
            <v>QC-202511-ORB01</v>
          </cell>
        </row>
        <row r="458">
          <cell r="P458" t="str">
            <v>211F0022OB1</v>
          </cell>
        </row>
        <row r="459">
          <cell r="B459" t="str">
            <v>LD-8908CPZZ</v>
          </cell>
        </row>
        <row r="459">
          <cell r="P459" t="str">
            <v>222F0089CP1</v>
          </cell>
        </row>
        <row r="460">
          <cell r="B460" t="str">
            <v>HM-8809-BG</v>
          </cell>
        </row>
        <row r="460">
          <cell r="P460" t="str">
            <v>223F0088BG1</v>
          </cell>
        </row>
        <row r="461">
          <cell r="B461" t="str">
            <v>HM-8804-CP1</v>
          </cell>
        </row>
        <row r="461">
          <cell r="P461" t="str">
            <v>140F0088CP1</v>
          </cell>
        </row>
        <row r="462">
          <cell r="B462" t="str">
            <v>3004BN QC1</v>
          </cell>
        </row>
        <row r="462">
          <cell r="P462" t="str">
            <v>240F3004BN2</v>
          </cell>
        </row>
        <row r="463">
          <cell r="B463" t="str">
            <v>3004ORB QC1-02</v>
          </cell>
        </row>
        <row r="463">
          <cell r="P463" t="str">
            <v>240F3004OB1</v>
          </cell>
        </row>
        <row r="464">
          <cell r="B464" t="str">
            <v>TT-9709BK</v>
          </cell>
        </row>
        <row r="464">
          <cell r="P464" t="str">
            <v>223F0097BK1</v>
          </cell>
        </row>
        <row r="465">
          <cell r="B465" t="str">
            <v>L0001-BKZZ04</v>
          </cell>
        </row>
        <row r="465">
          <cell r="P465" t="str">
            <v>110F0001BK1</v>
          </cell>
        </row>
        <row r="466">
          <cell r="B466" t="str">
            <v>L0001-BKZZ04</v>
          </cell>
        </row>
        <row r="466">
          <cell r="P466" t="str">
            <v>110F0001BK1</v>
          </cell>
        </row>
        <row r="467">
          <cell r="B467" t="str">
            <v>KSD01-BG</v>
          </cell>
        </row>
        <row r="467">
          <cell r="P467" t="str">
            <v>490F0022BG1</v>
          </cell>
        </row>
        <row r="468">
          <cell r="B468" t="str">
            <v>KSD01-ORB</v>
          </cell>
        </row>
        <row r="468">
          <cell r="P468" t="str">
            <v>490F0022OB1</v>
          </cell>
        </row>
        <row r="469">
          <cell r="B469" t="str">
            <v>B2209-CP</v>
          </cell>
        </row>
        <row r="469">
          <cell r="P469" t="str">
            <v>223F0022CP1</v>
          </cell>
        </row>
        <row r="470">
          <cell r="B470" t="str">
            <v>L0001-BKZZ05</v>
          </cell>
        </row>
        <row r="470">
          <cell r="P470" t="str">
            <v>110F0001BK1</v>
          </cell>
        </row>
        <row r="471">
          <cell r="B471" t="str">
            <v>B2208-BG</v>
          </cell>
        </row>
        <row r="471">
          <cell r="P471" t="str">
            <v>222F0022BG1</v>
          </cell>
        </row>
        <row r="472">
          <cell r="B472" t="str">
            <v>KSD01-BN</v>
          </cell>
        </row>
        <row r="472">
          <cell r="P472" t="str">
            <v>490F0022BN1</v>
          </cell>
        </row>
        <row r="473">
          <cell r="B473" t="str">
            <v>B2212-BN-NEW</v>
          </cell>
        </row>
        <row r="473">
          <cell r="P473" t="str">
            <v>320F0022BN1</v>
          </cell>
        </row>
        <row r="474">
          <cell r="B474" t="str">
            <v>B2212-BG</v>
          </cell>
        </row>
        <row r="474">
          <cell r="P474" t="str">
            <v>320F0022BG1</v>
          </cell>
        </row>
        <row r="475">
          <cell r="B475" t="str">
            <v>B2211-BG</v>
          </cell>
        </row>
        <row r="475">
          <cell r="P475" t="str">
            <v>211F0022BG1</v>
          </cell>
        </row>
        <row r="476">
          <cell r="B476" t="str">
            <v>B2206-ORB</v>
          </cell>
        </row>
        <row r="476">
          <cell r="P476" t="str">
            <v>230F0022OB1</v>
          </cell>
        </row>
        <row r="477">
          <cell r="B477" t="str">
            <v>L0001-BN</v>
          </cell>
        </row>
        <row r="477">
          <cell r="P477" t="str">
            <v>110F0001BN5</v>
          </cell>
        </row>
        <row r="478">
          <cell r="B478" t="str">
            <v>B2212-CP</v>
          </cell>
        </row>
        <row r="478">
          <cell r="P478" t="str">
            <v>320F0022CP1</v>
          </cell>
        </row>
        <row r="479">
          <cell r="B479" t="str">
            <v>L0001-BN</v>
          </cell>
        </row>
        <row r="479">
          <cell r="P479" t="str">
            <v>110F0001BN5</v>
          </cell>
        </row>
        <row r="480">
          <cell r="B480" t="str">
            <v>L0001-ORB</v>
          </cell>
        </row>
        <row r="480">
          <cell r="P480" t="str">
            <v>110F0001OB1</v>
          </cell>
        </row>
        <row r="481">
          <cell r="B481" t="str">
            <v>B2212-BK</v>
          </cell>
        </row>
        <row r="481">
          <cell r="P481" t="str">
            <v>320F0022BK1</v>
          </cell>
        </row>
        <row r="482">
          <cell r="B482" t="str">
            <v>L0001-ORB</v>
          </cell>
        </row>
        <row r="482">
          <cell r="P482" t="str">
            <v>110F0001OB1</v>
          </cell>
        </row>
        <row r="483">
          <cell r="B483" t="str">
            <v>L2201-BG</v>
          </cell>
        </row>
        <row r="483">
          <cell r="P483" t="str">
            <v>110F0022BG1</v>
          </cell>
        </row>
        <row r="484">
          <cell r="B484" t="str">
            <v>B2211-BN</v>
          </cell>
        </row>
        <row r="484">
          <cell r="P484" t="str">
            <v>211F0022BN1</v>
          </cell>
        </row>
        <row r="485">
          <cell r="B485" t="str">
            <v>L2201-BG</v>
          </cell>
        </row>
        <row r="485">
          <cell r="P485" t="str">
            <v>110F0022BG1</v>
          </cell>
        </row>
        <row r="486">
          <cell r="B486" t="str">
            <v>B2206-BN</v>
          </cell>
        </row>
        <row r="486">
          <cell r="P486" t="str">
            <v>230F0022BN1</v>
          </cell>
        </row>
        <row r="487">
          <cell r="B487" t="str">
            <v>L2201-BK</v>
          </cell>
        </row>
        <row r="487">
          <cell r="P487" t="str">
            <v>110F0022BK1</v>
          </cell>
        </row>
        <row r="488">
          <cell r="B488" t="str">
            <v>B2209-CP</v>
          </cell>
        </row>
        <row r="488">
          <cell r="P488" t="str">
            <v>223F0022CP1</v>
          </cell>
        </row>
        <row r="489">
          <cell r="B489" t="str">
            <v>K2213-ORB</v>
          </cell>
        </row>
        <row r="489">
          <cell r="P489" t="str">
            <v>420F0022OB1</v>
          </cell>
        </row>
        <row r="490">
          <cell r="B490" t="str">
            <v>KZ-9608BK</v>
          </cell>
        </row>
        <row r="490">
          <cell r="P490" t="str">
            <v>222F0096BK1</v>
          </cell>
        </row>
        <row r="491">
          <cell r="B491" t="str">
            <v>KZ-9611BN</v>
          </cell>
        </row>
        <row r="491">
          <cell r="P491" t="str">
            <v>211F0096BN1</v>
          </cell>
        </row>
        <row r="492">
          <cell r="B492" t="str">
            <v>KZ-9609ORB</v>
          </cell>
        </row>
        <row r="492">
          <cell r="P492" t="str">
            <v>223F0096OB1</v>
          </cell>
        </row>
        <row r="493">
          <cell r="B493" t="str">
            <v>KZ-9608BG</v>
          </cell>
        </row>
        <row r="493">
          <cell r="P493" t="str">
            <v>222F0096BG1</v>
          </cell>
        </row>
        <row r="494">
          <cell r="B494" t="str">
            <v>KZ-9608BK</v>
          </cell>
        </row>
        <row r="494">
          <cell r="P494" t="str">
            <v>222F0096BK1</v>
          </cell>
        </row>
        <row r="495">
          <cell r="B495" t="str">
            <v>KZ-9611BG</v>
          </cell>
        </row>
        <row r="495">
          <cell r="P495" t="str">
            <v>211F0096BG1</v>
          </cell>
        </row>
        <row r="496">
          <cell r="B496" t="str">
            <v>KZ-9607ORB</v>
          </cell>
        </row>
        <row r="496">
          <cell r="P496" t="str">
            <v>221F0096OB1</v>
          </cell>
        </row>
        <row r="497">
          <cell r="B497" t="str">
            <v>KZ-9611BN</v>
          </cell>
        </row>
        <row r="497">
          <cell r="P497" t="str">
            <v>211F0096BN1</v>
          </cell>
        </row>
        <row r="498">
          <cell r="B498" t="str">
            <v>KZ-9604BN</v>
          </cell>
        </row>
        <row r="498">
          <cell r="P498" t="str">
            <v>140F0096BN1</v>
          </cell>
        </row>
        <row r="499">
          <cell r="B499" t="str">
            <v>KZ-9608BG</v>
          </cell>
        </row>
        <row r="499">
          <cell r="P499" t="str">
            <v>222F0096BG1</v>
          </cell>
        </row>
        <row r="500">
          <cell r="B500" t="str">
            <v>KZ-9607BG</v>
          </cell>
        </row>
        <row r="500">
          <cell r="P500" t="str">
            <v>221F0096BG1</v>
          </cell>
        </row>
        <row r="501">
          <cell r="B501" t="str">
            <v>KZ-9607CP</v>
          </cell>
        </row>
        <row r="501">
          <cell r="P501" t="str">
            <v>221F0096CP1</v>
          </cell>
        </row>
        <row r="502">
          <cell r="B502" t="str">
            <v>KZ-9609BG</v>
          </cell>
        </row>
        <row r="502">
          <cell r="P502" t="str">
            <v>223F0096BG1</v>
          </cell>
        </row>
        <row r="503">
          <cell r="B503" t="str">
            <v>KZ-9608ORB</v>
          </cell>
        </row>
        <row r="503">
          <cell r="P503" t="str">
            <v>222F0096OB1</v>
          </cell>
        </row>
        <row r="504">
          <cell r="B504" t="str">
            <v>KZ-9611CP</v>
          </cell>
        </row>
        <row r="504">
          <cell r="P504" t="str">
            <v>211F0096CP1</v>
          </cell>
        </row>
        <row r="505">
          <cell r="B505" t="str">
            <v>KZ-9609CP</v>
          </cell>
        </row>
        <row r="505">
          <cell r="P505" t="str">
            <v>223F0096CP1</v>
          </cell>
        </row>
        <row r="506">
          <cell r="B506" t="str">
            <v>KZ-9608BN</v>
          </cell>
        </row>
        <row r="506">
          <cell r="P506" t="str">
            <v>222F0096BN1</v>
          </cell>
        </row>
        <row r="507">
          <cell r="B507" t="str">
            <v>L2201-BK</v>
          </cell>
        </row>
        <row r="507">
          <cell r="P507" t="str">
            <v>110F0022BK1</v>
          </cell>
        </row>
        <row r="508">
          <cell r="B508" t="str">
            <v>NB2207-BN</v>
          </cell>
        </row>
        <row r="508">
          <cell r="P508" t="str">
            <v>221F0022BN1</v>
          </cell>
        </row>
        <row r="509">
          <cell r="B509" t="str">
            <v>L2201-BN</v>
          </cell>
        </row>
        <row r="509">
          <cell r="P509" t="str">
            <v>110F0022BN1</v>
          </cell>
        </row>
        <row r="510">
          <cell r="B510" t="str">
            <v>NB2207-BK</v>
          </cell>
        </row>
        <row r="510">
          <cell r="P510" t="str">
            <v>221F0022BK1</v>
          </cell>
        </row>
        <row r="511">
          <cell r="B511" t="str">
            <v>12-BN-ZZ-1</v>
          </cell>
        </row>
        <row r="511">
          <cell r="P511" t="str">
            <v>320F0099BN1</v>
          </cell>
        </row>
        <row r="512">
          <cell r="B512" t="str">
            <v>WT-9812CP</v>
          </cell>
        </row>
        <row r="512">
          <cell r="P512" t="str">
            <v>320F0098CP1</v>
          </cell>
        </row>
        <row r="513">
          <cell r="B513" t="str">
            <v>WT-9002BG</v>
          </cell>
        </row>
        <row r="513">
          <cell r="P513" t="str">
            <v>211F9002BG1</v>
          </cell>
        </row>
        <row r="514">
          <cell r="B514" t="str">
            <v>WT-9812BN</v>
          </cell>
        </row>
        <row r="514">
          <cell r="P514" t="str">
            <v>320F0098BN1</v>
          </cell>
        </row>
        <row r="515">
          <cell r="B515" t="str">
            <v>WT-9002BN</v>
          </cell>
        </row>
        <row r="515">
          <cell r="P515" t="str">
            <v>211F9002BN2</v>
          </cell>
        </row>
        <row r="516">
          <cell r="B516" t="str">
            <v>WT-9002CP</v>
          </cell>
        </row>
        <row r="516">
          <cell r="P516" t="str">
            <v>211F9002CP1</v>
          </cell>
        </row>
        <row r="517">
          <cell r="B517" t="str">
            <v>WT-9002BGZZ</v>
          </cell>
        </row>
        <row r="517">
          <cell r="P517" t="str">
            <v>211F9002BG3</v>
          </cell>
        </row>
        <row r="518">
          <cell r="B518" t="str">
            <v>WT-9002BG</v>
          </cell>
        </row>
        <row r="518">
          <cell r="P518" t="str">
            <v>211F9002BG1</v>
          </cell>
        </row>
        <row r="519">
          <cell r="B519" t="str">
            <v>WT-9002BK</v>
          </cell>
        </row>
        <row r="519">
          <cell r="P519" t="str">
            <v>211F9002BK2</v>
          </cell>
        </row>
        <row r="520">
          <cell r="B520" t="str">
            <v>PU-4540-MYN4</v>
          </cell>
        </row>
        <row r="520">
          <cell r="P520" t="str">
            <v>211F8000OB1</v>
          </cell>
        </row>
        <row r="521">
          <cell r="B521" t="str">
            <v>WT-9812BK</v>
          </cell>
        </row>
        <row r="521">
          <cell r="P521" t="str">
            <v>320F0098BK1</v>
          </cell>
        </row>
        <row r="522">
          <cell r="B522" t="str">
            <v>WT-9811CP</v>
          </cell>
        </row>
        <row r="522">
          <cell r="P522" t="str">
            <v>211F0098CP1</v>
          </cell>
        </row>
        <row r="523">
          <cell r="B523" t="str">
            <v>AX-1FZA-UKWS</v>
          </cell>
        </row>
        <row r="523">
          <cell r="P523" t="str">
            <v>211F8000CP1</v>
          </cell>
        </row>
        <row r="524">
          <cell r="B524" t="str">
            <v>WT-9812BG</v>
          </cell>
        </row>
        <row r="524">
          <cell r="P524" t="str">
            <v>320F0098BG1</v>
          </cell>
        </row>
        <row r="525">
          <cell r="B525" t="str">
            <v>1L-Q4XB-YLA2</v>
          </cell>
        </row>
        <row r="525">
          <cell r="P525" t="str">
            <v>211F8000BN1</v>
          </cell>
        </row>
        <row r="526">
          <cell r="B526" t="str">
            <v>WT-9809BG02</v>
          </cell>
        </row>
        <row r="526">
          <cell r="P526" t="str">
            <v>223F0098BG1</v>
          </cell>
        </row>
        <row r="527">
          <cell r="B527" t="str">
            <v>WT-9002CP</v>
          </cell>
        </row>
        <row r="527">
          <cell r="P527" t="str">
            <v>211F9002CP1</v>
          </cell>
        </row>
        <row r="528">
          <cell r="B528" t="str">
            <v>1L-Q4XB-YLA2</v>
          </cell>
        </row>
        <row r="528">
          <cell r="P528" t="str">
            <v>211F8000BN1</v>
          </cell>
        </row>
        <row r="529">
          <cell r="B529" t="str">
            <v>AX-1FZA-UKWS</v>
          </cell>
        </row>
        <row r="529">
          <cell r="P529" t="str">
            <v>211F8000CP1</v>
          </cell>
        </row>
        <row r="530">
          <cell r="B530" t="str">
            <v>WT-9811BNZZ</v>
          </cell>
        </row>
        <row r="530">
          <cell r="P530" t="str">
            <v>211F0098BN1</v>
          </cell>
        </row>
        <row r="531">
          <cell r="B531" t="str">
            <v>WT-9806ORB</v>
          </cell>
        </row>
        <row r="531">
          <cell r="P531" t="str">
            <v>230F0098OB1</v>
          </cell>
        </row>
        <row r="532">
          <cell r="B532" t="str">
            <v>WT-9811RGBK</v>
          </cell>
        </row>
        <row r="532">
          <cell r="P532" t="str">
            <v>211F0098RB1</v>
          </cell>
        </row>
        <row r="533">
          <cell r="B533" t="str">
            <v>WT-9808BK02</v>
          </cell>
        </row>
        <row r="533">
          <cell r="P533" t="str">
            <v>222F0098BK1</v>
          </cell>
        </row>
        <row r="534">
          <cell r="B534" t="str">
            <v>WT-9811BG</v>
          </cell>
        </row>
        <row r="534">
          <cell r="P534" t="str">
            <v>211F0098BG1</v>
          </cell>
        </row>
        <row r="535">
          <cell r="B535" t="str">
            <v>AZ-US-SOEBIZ-CFSLT-GD-03</v>
          </cell>
        </row>
        <row r="535">
          <cell r="P535" t="str">
            <v>420F0013BG3</v>
          </cell>
        </row>
        <row r="536">
          <cell r="B536" t="str">
            <v>AZ-US-SOEBIZ-CFSLT-BN-01</v>
          </cell>
        </row>
        <row r="536">
          <cell r="P536" t="str">
            <v>420F0013BN5</v>
          </cell>
        </row>
        <row r="537">
          <cell r="B537" t="str">
            <v>SZ-B9911ORB</v>
          </cell>
        </row>
        <row r="537">
          <cell r="P537" t="str">
            <v>211F0099OB1</v>
          </cell>
        </row>
        <row r="538">
          <cell r="B538" t="str">
            <v>L2201-BN</v>
          </cell>
        </row>
        <row r="538">
          <cell r="P538" t="str">
            <v>110F0022BN1</v>
          </cell>
        </row>
        <row r="539">
          <cell r="B539" t="str">
            <v>L2201-CP</v>
          </cell>
        </row>
        <row r="539">
          <cell r="P539" t="str">
            <v>110F0022CP1</v>
          </cell>
        </row>
        <row r="540">
          <cell r="B540" t="str">
            <v>L2201-CP</v>
          </cell>
        </row>
        <row r="540">
          <cell r="P540" t="str">
            <v>110F0022CP1</v>
          </cell>
        </row>
        <row r="541">
          <cell r="B541" t="str">
            <v>B2309-ORB</v>
          </cell>
        </row>
        <row r="541">
          <cell r="P541" t="str">
            <v>223F0023OB1</v>
          </cell>
        </row>
        <row r="542">
          <cell r="B542" t="str">
            <v>B2311-BK</v>
          </cell>
        </row>
        <row r="542">
          <cell r="P542" t="str">
            <v>211F0023BK2</v>
          </cell>
        </row>
        <row r="543">
          <cell r="B543" t="str">
            <v>HG-8904BG</v>
          </cell>
        </row>
        <row r="543">
          <cell r="P543" t="str">
            <v>140F0089BG1</v>
          </cell>
        </row>
        <row r="544">
          <cell r="B544" t="str">
            <v>L2201-HBG</v>
          </cell>
        </row>
        <row r="544">
          <cell r="P544" t="str">
            <v>110F0022BG3</v>
          </cell>
        </row>
        <row r="545">
          <cell r="B545" t="str">
            <v>HG-8904BG</v>
          </cell>
        </row>
        <row r="545">
          <cell r="P545" t="str">
            <v>140F0089BG1</v>
          </cell>
        </row>
        <row r="546">
          <cell r="B546" t="str">
            <v>B2306-CP</v>
          </cell>
        </row>
        <row r="546">
          <cell r="P546" t="str">
            <v>230F0023CP1</v>
          </cell>
        </row>
        <row r="547">
          <cell r="B547" t="str">
            <v>HG-8904BK</v>
          </cell>
        </row>
        <row r="547">
          <cell r="P547" t="str">
            <v>140F0089BK1</v>
          </cell>
        </row>
        <row r="548">
          <cell r="B548" t="str">
            <v>HG-8904BK</v>
          </cell>
        </row>
        <row r="548">
          <cell r="P548" t="str">
            <v>140F0089BK1</v>
          </cell>
        </row>
        <row r="549">
          <cell r="B549" t="str">
            <v>HG-8904BN</v>
          </cell>
        </row>
        <row r="549">
          <cell r="P549" t="str">
            <v>140F0089BN1</v>
          </cell>
        </row>
        <row r="550">
          <cell r="B550" t="str">
            <v>B2309-BK-NEW</v>
          </cell>
        </row>
        <row r="550">
          <cell r="P550" t="str">
            <v>223F0023BK1</v>
          </cell>
        </row>
        <row r="551">
          <cell r="B551" t="str">
            <v>HG-8904BN</v>
          </cell>
        </row>
        <row r="551">
          <cell r="P551" t="str">
            <v>140F0089BN1</v>
          </cell>
        </row>
        <row r="552">
          <cell r="B552" t="str">
            <v>HG-8904CP</v>
          </cell>
        </row>
        <row r="552">
          <cell r="P552" t="str">
            <v>140F0089CP1</v>
          </cell>
        </row>
        <row r="553">
          <cell r="B553" t="str">
            <v>HG-8904CP</v>
          </cell>
        </row>
        <row r="553">
          <cell r="P553" t="str">
            <v>140F0089CP1</v>
          </cell>
        </row>
        <row r="554">
          <cell r="B554" t="str">
            <v>B2311-BK</v>
          </cell>
        </row>
        <row r="554">
          <cell r="P554" t="str">
            <v>211F0023BK2</v>
          </cell>
        </row>
        <row r="555">
          <cell r="B555" t="str">
            <v>HG-8904ORB</v>
          </cell>
        </row>
        <row r="555">
          <cell r="P555" t="str">
            <v>140F0089OB1</v>
          </cell>
        </row>
        <row r="556">
          <cell r="B556" t="str">
            <v>HG-8904ORB</v>
          </cell>
        </row>
        <row r="556">
          <cell r="P556" t="str">
            <v>140F0089OB1</v>
          </cell>
        </row>
        <row r="557">
          <cell r="B557" t="str">
            <v>B2307-CP</v>
          </cell>
        </row>
        <row r="557">
          <cell r="P557" t="str">
            <v>221F0023CP1</v>
          </cell>
        </row>
        <row r="558">
          <cell r="B558" t="str">
            <v>L2201-HBG</v>
          </cell>
        </row>
        <row r="558">
          <cell r="P558" t="str">
            <v>110F0022BG3</v>
          </cell>
        </row>
        <row r="559">
          <cell r="B559" t="str">
            <v>L2301-BG</v>
          </cell>
        </row>
        <row r="559">
          <cell r="P559" t="str">
            <v>110F0023BG1</v>
          </cell>
        </row>
        <row r="560">
          <cell r="B560" t="str">
            <v>B2311-CP</v>
          </cell>
        </row>
        <row r="560">
          <cell r="P560" t="str">
            <v>211F0023CP1</v>
          </cell>
        </row>
        <row r="561">
          <cell r="B561" t="str">
            <v>L2301-BG</v>
          </cell>
        </row>
        <row r="561">
          <cell r="P561" t="str">
            <v>110F0023BG1</v>
          </cell>
        </row>
        <row r="562">
          <cell r="B562" t="str">
            <v>B2306-BK</v>
          </cell>
        </row>
        <row r="562">
          <cell r="P562" t="str">
            <v>230F0023BK1</v>
          </cell>
        </row>
        <row r="563">
          <cell r="B563" t="str">
            <v>HM-1005-BNZZ</v>
          </cell>
        </row>
        <row r="563">
          <cell r="P563" t="str">
            <v>211F1005BN3</v>
          </cell>
        </row>
        <row r="564">
          <cell r="B564" t="str">
            <v>HM-8811-BG</v>
          </cell>
        </row>
        <row r="564">
          <cell r="P564" t="str">
            <v>211F0088BG1</v>
          </cell>
        </row>
        <row r="565">
          <cell r="B565" t="str">
            <v>HM-8807-BG</v>
          </cell>
        </row>
        <row r="565">
          <cell r="P565" t="str">
            <v>221F0088BG1</v>
          </cell>
        </row>
        <row r="566">
          <cell r="B566" t="str">
            <v>QC-202507-CP01</v>
          </cell>
        </row>
        <row r="566">
          <cell r="P566" t="str">
            <v>221F0022CP1</v>
          </cell>
        </row>
        <row r="567">
          <cell r="B567" t="str">
            <v>QC-202511-BK01</v>
          </cell>
        </row>
        <row r="567">
          <cell r="P567" t="str">
            <v>211F0022BK2</v>
          </cell>
        </row>
        <row r="568">
          <cell r="B568" t="str">
            <v>QC-202511-CPZZ01</v>
          </cell>
        </row>
        <row r="568">
          <cell r="P568" t="str">
            <v>211F0022CP1</v>
          </cell>
        </row>
        <row r="569">
          <cell r="B569" t="str">
            <v>HM-1005-BN</v>
          </cell>
        </row>
        <row r="569">
          <cell r="P569" t="str">
            <v>211F1005BN3</v>
          </cell>
        </row>
        <row r="570">
          <cell r="B570" t="str">
            <v>8811 BK01</v>
          </cell>
        </row>
        <row r="570">
          <cell r="P570" t="str">
            <v>211F0088BK2</v>
          </cell>
        </row>
        <row r="571">
          <cell r="B571" t="str">
            <v>HM-8811-CP-zz</v>
          </cell>
        </row>
        <row r="571">
          <cell r="P571" t="str">
            <v>211F0088CP1</v>
          </cell>
        </row>
        <row r="572">
          <cell r="B572" t="str">
            <v>LD-8908BKZZ</v>
          </cell>
        </row>
        <row r="572">
          <cell r="P572" t="str">
            <v>222F0089BK1</v>
          </cell>
        </row>
        <row r="573">
          <cell r="B573" t="str">
            <v>HM-8811-BK</v>
          </cell>
        </row>
        <row r="573">
          <cell r="P573" t="str">
            <v>211F0088BK2</v>
          </cell>
        </row>
        <row r="574">
          <cell r="B574" t="str">
            <v>HM-8811-CP</v>
          </cell>
        </row>
        <row r="574">
          <cell r="P574" t="str">
            <v>211F0088CP1</v>
          </cell>
        </row>
        <row r="575">
          <cell r="B575" t="str">
            <v>HM-8811-ORB</v>
          </cell>
        </row>
        <row r="575">
          <cell r="P575" t="str">
            <v>211F0088OB1</v>
          </cell>
        </row>
        <row r="576">
          <cell r="B576" t="str">
            <v>HM-8811-BN</v>
          </cell>
        </row>
        <row r="576">
          <cell r="P576" t="str">
            <v>211F0088BN1</v>
          </cell>
        </row>
        <row r="577">
          <cell r="B577" t="str">
            <v>JB-101CP</v>
          </cell>
        </row>
        <row r="577">
          <cell r="P577" t="str">
            <v>110F0101CP1</v>
          </cell>
        </row>
        <row r="578">
          <cell r="B578" t="str">
            <v>HM-8808-BN</v>
          </cell>
        </row>
        <row r="578">
          <cell r="P578" t="str">
            <v>222F0088BN1</v>
          </cell>
        </row>
        <row r="579">
          <cell r="B579" t="str">
            <v>HM-8808-BG</v>
          </cell>
        </row>
        <row r="579">
          <cell r="P579" t="str">
            <v>222F0088BG1</v>
          </cell>
        </row>
        <row r="580">
          <cell r="B580" t="str">
            <v>HM-8808-BK</v>
          </cell>
        </row>
        <row r="580">
          <cell r="P580" t="str">
            <v>222F0088BK1</v>
          </cell>
        </row>
        <row r="581">
          <cell r="B581" t="str">
            <v>HM-8809-BK</v>
          </cell>
        </row>
        <row r="581">
          <cell r="P581" t="str">
            <v>223F0088BK1</v>
          </cell>
        </row>
        <row r="582">
          <cell r="B582" t="str">
            <v>HM-8807-ORB</v>
          </cell>
        </row>
        <row r="582">
          <cell r="P582" t="str">
            <v>221F0088OB1</v>
          </cell>
        </row>
        <row r="583">
          <cell r="B583" t="str">
            <v>8804BKJB-1</v>
          </cell>
        </row>
        <row r="583">
          <cell r="P583" t="str">
            <v>140F0088BK1</v>
          </cell>
        </row>
        <row r="584">
          <cell r="B584" t="str">
            <v>8807CPJB-2</v>
          </cell>
        </row>
        <row r="584">
          <cell r="P584" t="str">
            <v>221F0088CP1</v>
          </cell>
        </row>
        <row r="585">
          <cell r="B585" t="str">
            <v>8807ORBJB-2</v>
          </cell>
        </row>
        <row r="585">
          <cell r="P585" t="str">
            <v>221F0088OB1</v>
          </cell>
        </row>
        <row r="586">
          <cell r="B586" t="str">
            <v>8804ORBJB-1</v>
          </cell>
        </row>
        <row r="586">
          <cell r="P586" t="str">
            <v>140F0088OB1</v>
          </cell>
        </row>
        <row r="587">
          <cell r="B587" t="str">
            <v>8804CPJB-1</v>
          </cell>
        </row>
        <row r="587">
          <cell r="P587" t="str">
            <v>140F0088CP1</v>
          </cell>
        </row>
        <row r="588">
          <cell r="B588" t="str">
            <v>8801BNJB-1</v>
          </cell>
        </row>
        <row r="588">
          <cell r="P588" t="str">
            <v>110F0088BN1</v>
          </cell>
        </row>
        <row r="589">
          <cell r="B589" t="str">
            <v>HM-8804-BG1</v>
          </cell>
        </row>
        <row r="589">
          <cell r="P589" t="str">
            <v>140F0088BG1</v>
          </cell>
        </row>
        <row r="590">
          <cell r="B590" t="str">
            <v>8904BK QC1</v>
          </cell>
        </row>
        <row r="590">
          <cell r="P590" t="str">
            <v>140F0089BK1</v>
          </cell>
        </row>
        <row r="591">
          <cell r="B591" t="str">
            <v>8904BN QC1</v>
          </cell>
        </row>
        <row r="591">
          <cell r="P591" t="str">
            <v>140F0089BN1</v>
          </cell>
        </row>
        <row r="592">
          <cell r="B592" t="str">
            <v>8908CP QC1</v>
          </cell>
        </row>
        <row r="592">
          <cell r="P592" t="str">
            <v>222F0089CP1</v>
          </cell>
        </row>
        <row r="593">
          <cell r="B593" t="str">
            <v>8909CP QC1</v>
          </cell>
        </row>
        <row r="593">
          <cell r="P593" t="str">
            <v>223F0089CP1</v>
          </cell>
        </row>
        <row r="594">
          <cell r="B594" t="str">
            <v>8909ORB QC1</v>
          </cell>
        </row>
        <row r="594">
          <cell r="P594" t="str">
            <v>223F0089OB1</v>
          </cell>
        </row>
        <row r="595">
          <cell r="B595" t="str">
            <v>8907CP QC1</v>
          </cell>
        </row>
        <row r="595">
          <cell r="P595" t="str">
            <v>221F0089CP1</v>
          </cell>
        </row>
        <row r="596">
          <cell r="B596" t="str">
            <v>3011BK-QC1</v>
          </cell>
        </row>
        <row r="596">
          <cell r="P596" t="str">
            <v>230F3011BK1</v>
          </cell>
        </row>
        <row r="597">
          <cell r="B597" t="str">
            <v>3012BG QC1</v>
          </cell>
        </row>
        <row r="597">
          <cell r="P597" t="str">
            <v>230F3012BG1</v>
          </cell>
        </row>
        <row r="598">
          <cell r="B598" t="str">
            <v>3012ORB QC1</v>
          </cell>
        </row>
        <row r="598">
          <cell r="P598" t="str">
            <v>230F3012OB1</v>
          </cell>
        </row>
        <row r="599">
          <cell r="B599" t="str">
            <v>3012CP QC1</v>
          </cell>
        </row>
        <row r="599">
          <cell r="P599" t="str">
            <v>230F3012CP1</v>
          </cell>
        </row>
        <row r="600">
          <cell r="B600" t="str">
            <v>3011CP QC1</v>
          </cell>
        </row>
        <row r="600">
          <cell r="P600" t="str">
            <v>230F3011CP1</v>
          </cell>
        </row>
        <row r="601">
          <cell r="B601" t="str">
            <v>3011BN QC1</v>
          </cell>
        </row>
        <row r="601">
          <cell r="P601" t="str">
            <v>230F3011BN2</v>
          </cell>
        </row>
        <row r="602">
          <cell r="B602" t="str">
            <v>8809BK JB-1</v>
          </cell>
        </row>
        <row r="602">
          <cell r="P602" t="str">
            <v>223F0088BK1</v>
          </cell>
        </row>
        <row r="603">
          <cell r="B603" t="str">
            <v>8808CP JB-1</v>
          </cell>
        </row>
        <row r="603">
          <cell r="P603" t="str">
            <v>222F0088CP1</v>
          </cell>
        </row>
        <row r="604">
          <cell r="B604" t="str">
            <v>8808ORB JB-1</v>
          </cell>
        </row>
        <row r="604">
          <cell r="P604" t="str">
            <v>222F0088OB1</v>
          </cell>
        </row>
        <row r="605">
          <cell r="B605" t="str">
            <v>3003BK HM1</v>
          </cell>
        </row>
        <row r="605">
          <cell r="P605" t="str">
            <v>220F3003BK1</v>
          </cell>
        </row>
        <row r="606">
          <cell r="B606" t="str">
            <v>LD8911CP</v>
          </cell>
        </row>
        <row r="606">
          <cell r="P606" t="str">
            <v>211F0089CP1</v>
          </cell>
        </row>
        <row r="607">
          <cell r="B607" t="str">
            <v>LD8911ORB</v>
          </cell>
        </row>
        <row r="607">
          <cell r="P607" t="str">
            <v>211F0089OB1</v>
          </cell>
        </row>
        <row r="608">
          <cell r="B608" t="str">
            <v>LD8909CP</v>
          </cell>
        </row>
        <row r="608">
          <cell r="P608" t="str">
            <v>223F0089CP1</v>
          </cell>
        </row>
        <row r="609">
          <cell r="B609" t="str">
            <v>LD8909BN</v>
          </cell>
        </row>
        <row r="609">
          <cell r="P609" t="str">
            <v>223F0089BN1</v>
          </cell>
        </row>
        <row r="610">
          <cell r="B610" t="str">
            <v>LD8908BK</v>
          </cell>
        </row>
        <row r="610">
          <cell r="P610" t="str">
            <v>222F0089BK1</v>
          </cell>
        </row>
        <row r="611">
          <cell r="B611" t="str">
            <v>LD8908CP</v>
          </cell>
        </row>
        <row r="611">
          <cell r="P611" t="str">
            <v>222F0089CP1</v>
          </cell>
        </row>
        <row r="612">
          <cell r="B612" t="str">
            <v>HM-8801-BG</v>
          </cell>
        </row>
        <row r="612">
          <cell r="P612" t="str">
            <v>110F0088BG1</v>
          </cell>
        </row>
        <row r="613">
          <cell r="B613" t="str">
            <v>LD8904CP</v>
          </cell>
        </row>
        <row r="613">
          <cell r="P613" t="str">
            <v>140F0089CP1</v>
          </cell>
        </row>
        <row r="614">
          <cell r="B614" t="str">
            <v>LD8904BK</v>
          </cell>
        </row>
        <row r="614">
          <cell r="P614" t="str">
            <v>140F0089BK1</v>
          </cell>
        </row>
        <row r="615">
          <cell r="B615" t="str">
            <v>LD8904BN</v>
          </cell>
        </row>
        <row r="615">
          <cell r="P615" t="str">
            <v>140F0089BN1</v>
          </cell>
        </row>
        <row r="616">
          <cell r="B616" t="str">
            <v>LD890CP</v>
          </cell>
        </row>
        <row r="616">
          <cell r="P616" t="str">
            <v>110F0089CP1</v>
          </cell>
        </row>
        <row r="617">
          <cell r="B617" t="str">
            <v>3004CP QC1</v>
          </cell>
        </row>
        <row r="617">
          <cell r="P617" t="str">
            <v>240F3004CP1</v>
          </cell>
        </row>
        <row r="618">
          <cell r="B618" t="str">
            <v>3004BK QC1</v>
          </cell>
        </row>
        <row r="618">
          <cell r="P618" t="str">
            <v>240F3004BK1</v>
          </cell>
        </row>
        <row r="619">
          <cell r="B619" t="str">
            <v>MP101CP LD1</v>
          </cell>
        </row>
        <row r="619">
          <cell r="P619" t="str">
            <v>110F0101CP1</v>
          </cell>
        </row>
        <row r="620">
          <cell r="B620" t="str">
            <v>MP106CP LD1</v>
          </cell>
        </row>
        <row r="620">
          <cell r="P620" t="str">
            <v>130F0106CP1</v>
          </cell>
        </row>
        <row r="621">
          <cell r="B621" t="str">
            <v>MP105ORB LD1</v>
          </cell>
        </row>
        <row r="621">
          <cell r="P621" t="str">
            <v>130F0105OB1</v>
          </cell>
        </row>
        <row r="622">
          <cell r="B622" t="str">
            <v>MP107CP LD1</v>
          </cell>
        </row>
        <row r="622">
          <cell r="P622" t="str">
            <v>140F0107CP1</v>
          </cell>
        </row>
        <row r="623">
          <cell r="B623" t="str">
            <v>MP103ORB LD1</v>
          </cell>
        </row>
        <row r="623">
          <cell r="P623" t="str">
            <v>130F0103OB1</v>
          </cell>
        </row>
        <row r="624">
          <cell r="B624" t="str">
            <v>3002CP--HM1</v>
          </cell>
        </row>
        <row r="624">
          <cell r="P624" t="str">
            <v>221F3002CP1</v>
          </cell>
        </row>
        <row r="625">
          <cell r="B625" t="str">
            <v>3003BN HM1</v>
          </cell>
        </row>
        <row r="625">
          <cell r="P625" t="str">
            <v>220F3003BN2</v>
          </cell>
        </row>
        <row r="626">
          <cell r="B626" t="str">
            <v>3002BN--HM1</v>
          </cell>
        </row>
        <row r="626">
          <cell r="P626" t="str">
            <v>221F3002BN3</v>
          </cell>
        </row>
        <row r="627">
          <cell r="B627" t="str">
            <v>3012BG QC1</v>
          </cell>
        </row>
        <row r="627">
          <cell r="P627" t="str">
            <v>230F3012BG1</v>
          </cell>
        </row>
        <row r="628">
          <cell r="B628" t="str">
            <v>3011BG QC1</v>
          </cell>
        </row>
        <row r="628">
          <cell r="P628" t="str">
            <v>230F3011BG1</v>
          </cell>
        </row>
        <row r="629">
          <cell r="B629" t="str">
            <v>3012CP QC1</v>
          </cell>
        </row>
        <row r="629">
          <cell r="P629" t="str">
            <v>230F3012CP1</v>
          </cell>
        </row>
        <row r="630">
          <cell r="B630" t="str">
            <v>WT-B830BNZZ05</v>
          </cell>
        </row>
        <row r="630">
          <cell r="P630" t="str">
            <v>211F8000BN1</v>
          </cell>
        </row>
        <row r="631">
          <cell r="B631" t="str">
            <v>L2201-ORB</v>
          </cell>
        </row>
        <row r="631">
          <cell r="P631" t="str">
            <v>110F0022OB1</v>
          </cell>
        </row>
        <row r="632">
          <cell r="B632" t="str">
            <v>L2201-ORB</v>
          </cell>
        </row>
        <row r="632">
          <cell r="P632" t="str">
            <v>110F0022OB1</v>
          </cell>
        </row>
        <row r="633">
          <cell r="B633" t="str">
            <v>TT-9709ORB</v>
          </cell>
        </row>
        <row r="633">
          <cell r="P633" t="str">
            <v>223F0097OB1</v>
          </cell>
        </row>
        <row r="634">
          <cell r="B634" t="str">
            <v>TT-9711BG</v>
          </cell>
        </row>
        <row r="634">
          <cell r="P634" t="str">
            <v>211F0097BG1</v>
          </cell>
        </row>
        <row r="635">
          <cell r="B635" t="str">
            <v>TT-9711RGBK</v>
          </cell>
        </row>
        <row r="635">
          <cell r="P635" t="str">
            <v>211F0097RB1</v>
          </cell>
        </row>
        <row r="636">
          <cell r="B636" t="str">
            <v>TT-9708RGBK-ZZ</v>
          </cell>
        </row>
        <row r="636">
          <cell r="P636" t="str">
            <v>222F0097RB1</v>
          </cell>
        </row>
        <row r="637">
          <cell r="B637" t="str">
            <v>TT-9708BG</v>
          </cell>
        </row>
        <row r="637">
          <cell r="P637" t="str">
            <v>222F0097BG1</v>
          </cell>
        </row>
        <row r="638">
          <cell r="B638" t="str">
            <v>TT-9708BN</v>
          </cell>
        </row>
        <row r="638">
          <cell r="P638" t="str">
            <v>222F0097BN1</v>
          </cell>
        </row>
        <row r="639">
          <cell r="B639" t="str">
            <v>TT-9711BN</v>
          </cell>
        </row>
        <row r="639">
          <cell r="P639" t="str">
            <v>211F0097BN1</v>
          </cell>
        </row>
        <row r="640">
          <cell r="B640" t="str">
            <v>L2202-BG</v>
          </cell>
        </row>
        <row r="640">
          <cell r="P640" t="str">
            <v>120F0022BG1</v>
          </cell>
        </row>
        <row r="641">
          <cell r="B641" t="str">
            <v>TT-9708BK</v>
          </cell>
        </row>
        <row r="641">
          <cell r="P641" t="str">
            <v>222F0097BK1</v>
          </cell>
        </row>
        <row r="642">
          <cell r="B642" t="str">
            <v>TT-9707CP</v>
          </cell>
        </row>
        <row r="642">
          <cell r="P642" t="str">
            <v>221F0097CP1</v>
          </cell>
        </row>
        <row r="643">
          <cell r="B643" t="str">
            <v>TT-9708CP</v>
          </cell>
        </row>
        <row r="643">
          <cell r="P643" t="str">
            <v>222F0097CP1</v>
          </cell>
        </row>
        <row r="644">
          <cell r="B644" t="str">
            <v>TT-9709BN</v>
          </cell>
        </row>
        <row r="644">
          <cell r="P644" t="str">
            <v>223F0097BN1</v>
          </cell>
        </row>
        <row r="645">
          <cell r="B645" t="str">
            <v>TT-9707BK</v>
          </cell>
        </row>
        <row r="645">
          <cell r="P645" t="str">
            <v>221F0097BK1</v>
          </cell>
        </row>
        <row r="646">
          <cell r="B646" t="str">
            <v>L2202-BG</v>
          </cell>
        </row>
        <row r="646">
          <cell r="P646" t="str">
            <v>120F0022BG1</v>
          </cell>
        </row>
        <row r="647">
          <cell r="B647" t="str">
            <v>TT-9708RGBK</v>
          </cell>
        </row>
        <row r="647">
          <cell r="P647" t="str">
            <v>222F0097RB1</v>
          </cell>
        </row>
        <row r="648">
          <cell r="B648" t="str">
            <v>L2202-BK</v>
          </cell>
        </row>
        <row r="648">
          <cell r="P648" t="str">
            <v>120F0022BK1</v>
          </cell>
        </row>
        <row r="649">
          <cell r="B649" t="str">
            <v>TT-9711ORB</v>
          </cell>
        </row>
        <row r="649">
          <cell r="P649" t="str">
            <v>211F0097OB1</v>
          </cell>
        </row>
        <row r="650">
          <cell r="B650" t="str">
            <v>TT-9709CP</v>
          </cell>
        </row>
        <row r="650">
          <cell r="P650" t="str">
            <v>223F0097CP1</v>
          </cell>
        </row>
        <row r="651">
          <cell r="B651" t="str">
            <v>L2202-BK</v>
          </cell>
        </row>
        <row r="651">
          <cell r="P651" t="str">
            <v>120F0022BK1</v>
          </cell>
        </row>
        <row r="652">
          <cell r="B652" t="str">
            <v>TT-9707RGBK</v>
          </cell>
        </row>
        <row r="652">
          <cell r="P652" t="str">
            <v>221F0097RB1</v>
          </cell>
        </row>
        <row r="653">
          <cell r="B653" t="str">
            <v>TT-9708ORB</v>
          </cell>
        </row>
        <row r="653">
          <cell r="P653" t="str">
            <v>222F0097OB1</v>
          </cell>
        </row>
        <row r="654">
          <cell r="B654" t="str">
            <v>TT-9709BK-ZZ</v>
          </cell>
        </row>
        <row r="654">
          <cell r="P654" t="str">
            <v>223F0097BK1</v>
          </cell>
        </row>
        <row r="655">
          <cell r="B655" t="str">
            <v>L2202-BN</v>
          </cell>
        </row>
        <row r="655">
          <cell r="P655" t="str">
            <v>120F0022BN1</v>
          </cell>
        </row>
        <row r="656">
          <cell r="B656" t="str">
            <v>TT-9709RGBK</v>
          </cell>
        </row>
        <row r="656">
          <cell r="P656" t="str">
            <v>223F0097RB1</v>
          </cell>
        </row>
        <row r="657">
          <cell r="B657" t="str">
            <v>K2213-CP</v>
          </cell>
        </row>
        <row r="657">
          <cell r="P657" t="str">
            <v>420F0022CP1</v>
          </cell>
        </row>
        <row r="658">
          <cell r="B658" t="str">
            <v>K2213-BG</v>
          </cell>
        </row>
        <row r="658">
          <cell r="P658" t="str">
            <v>420F0022BG3</v>
          </cell>
        </row>
        <row r="659">
          <cell r="B659" t="str">
            <v>L2202-BN</v>
          </cell>
        </row>
        <row r="659">
          <cell r="P659" t="str">
            <v>120F0022BN1</v>
          </cell>
        </row>
        <row r="660">
          <cell r="B660" t="str">
            <v>B2212-ORB</v>
          </cell>
        </row>
        <row r="660">
          <cell r="P660" t="str">
            <v>320F0022OB1</v>
          </cell>
        </row>
        <row r="661">
          <cell r="B661" t="str">
            <v>K2213-BN</v>
          </cell>
        </row>
        <row r="661">
          <cell r="P661" t="str">
            <v>420F0022BN1</v>
          </cell>
        </row>
        <row r="662">
          <cell r="B662" t="str">
            <v>B2206-BG</v>
          </cell>
        </row>
        <row r="662">
          <cell r="P662" t="str">
            <v>230F0022BG1</v>
          </cell>
        </row>
        <row r="663">
          <cell r="B663" t="str">
            <v>B2206-CP</v>
          </cell>
        </row>
        <row r="663">
          <cell r="P663" t="str">
            <v>230F0022CP1</v>
          </cell>
        </row>
        <row r="664">
          <cell r="B664" t="str">
            <v>KSD01-BK</v>
          </cell>
        </row>
        <row r="664">
          <cell r="P664" t="str">
            <v>490F0022BK1</v>
          </cell>
        </row>
        <row r="665">
          <cell r="B665" t="str">
            <v>L2202-CP</v>
          </cell>
        </row>
        <row r="665">
          <cell r="P665" t="str">
            <v>120F0022CP1</v>
          </cell>
        </row>
        <row r="666">
          <cell r="B666" t="str">
            <v>L2202-CP</v>
          </cell>
        </row>
        <row r="666">
          <cell r="P666" t="str">
            <v>120F0022CP1</v>
          </cell>
        </row>
        <row r="667">
          <cell r="B667" t="str">
            <v>KZ-9609BN</v>
          </cell>
        </row>
        <row r="667">
          <cell r="P667" t="str">
            <v>223F0096BN1</v>
          </cell>
        </row>
        <row r="668">
          <cell r="B668" t="str">
            <v>KZ-9601CP</v>
          </cell>
        </row>
        <row r="668">
          <cell r="P668" t="str">
            <v>110F0096CP1</v>
          </cell>
        </row>
        <row r="669">
          <cell r="B669" t="str">
            <v>KZ-9604BG</v>
          </cell>
        </row>
        <row r="669">
          <cell r="P669" t="str">
            <v>140F0096BG1</v>
          </cell>
        </row>
        <row r="670">
          <cell r="B670" t="str">
            <v>KZ-9601ORB</v>
          </cell>
        </row>
        <row r="670">
          <cell r="P670" t="str">
            <v>110F0096OB1</v>
          </cell>
        </row>
        <row r="671">
          <cell r="B671" t="str">
            <v>KZ-9604ORB</v>
          </cell>
        </row>
        <row r="671">
          <cell r="P671" t="str">
            <v>140F0096OB1</v>
          </cell>
        </row>
        <row r="672">
          <cell r="B672" t="str">
            <v>KZ-9601BG</v>
          </cell>
        </row>
        <row r="672">
          <cell r="P672" t="str">
            <v>110F0096BG1</v>
          </cell>
        </row>
        <row r="673">
          <cell r="B673" t="str">
            <v>LY08083MB</v>
          </cell>
        </row>
        <row r="673">
          <cell r="P673" t="str">
            <v>321F0122BK1</v>
          </cell>
        </row>
        <row r="674">
          <cell r="B674" t="str">
            <v>KZ-9604CP</v>
          </cell>
        </row>
        <row r="674">
          <cell r="P674" t="str">
            <v>140F0096CP1</v>
          </cell>
        </row>
        <row r="675">
          <cell r="B675" t="str">
            <v>LY08081BN</v>
          </cell>
        </row>
        <row r="675">
          <cell r="P675" t="str">
            <v>320F0121BN2</v>
          </cell>
        </row>
        <row r="676">
          <cell r="B676" t="str">
            <v>KZ-9604BK</v>
          </cell>
        </row>
        <row r="676">
          <cell r="P676" t="str">
            <v>140F0096BK1</v>
          </cell>
        </row>
        <row r="677">
          <cell r="B677" t="str">
            <v>YG6353ORB</v>
          </cell>
        </row>
        <row r="677">
          <cell r="P677" t="str">
            <v>223F5300OB1</v>
          </cell>
        </row>
        <row r="678">
          <cell r="B678" t="str">
            <v>KZ-9604BK</v>
          </cell>
        </row>
        <row r="678">
          <cell r="P678" t="str">
            <v>140F0096BK1</v>
          </cell>
        </row>
        <row r="679">
          <cell r="B679" t="str">
            <v>YG6353BN</v>
          </cell>
        </row>
        <row r="679">
          <cell r="P679" t="str">
            <v>223F5300BN2</v>
          </cell>
        </row>
        <row r="680">
          <cell r="B680" t="str">
            <v>KZ-9601BK</v>
          </cell>
        </row>
        <row r="680">
          <cell r="P680" t="str">
            <v>110F0096BK1</v>
          </cell>
        </row>
        <row r="681">
          <cell r="B681" t="str">
            <v>LY08081BG</v>
          </cell>
        </row>
        <row r="681">
          <cell r="P681" t="str">
            <v>320F0121BG1</v>
          </cell>
        </row>
        <row r="682">
          <cell r="B682" t="str">
            <v>KZ-9601BN</v>
          </cell>
        </row>
        <row r="682">
          <cell r="P682" t="str">
            <v>110F0096BN1</v>
          </cell>
        </row>
        <row r="683">
          <cell r="B683" t="str">
            <v>KZ-9611ORB</v>
          </cell>
        </row>
        <row r="683">
          <cell r="P683" t="str">
            <v>211F0096OB1</v>
          </cell>
        </row>
        <row r="684">
          <cell r="B684" t="str">
            <v>LY08082BG</v>
          </cell>
        </row>
        <row r="684">
          <cell r="P684" t="str">
            <v>320F9082BG1</v>
          </cell>
        </row>
        <row r="685">
          <cell r="B685" t="str">
            <v>KZ-9601BN</v>
          </cell>
        </row>
        <row r="685">
          <cell r="P685" t="str">
            <v>110F0096BN1</v>
          </cell>
        </row>
        <row r="686">
          <cell r="B686" t="str">
            <v>KZ-9611BK</v>
          </cell>
        </row>
        <row r="686">
          <cell r="P686" t="str">
            <v>211F0096BK2</v>
          </cell>
        </row>
        <row r="687">
          <cell r="B687" t="str">
            <v>PF02BN</v>
          </cell>
        </row>
        <row r="687">
          <cell r="P687" t="str">
            <v>430F0800BN2</v>
          </cell>
        </row>
        <row r="688">
          <cell r="B688" t="str">
            <v>YG6302ORB</v>
          </cell>
        </row>
        <row r="688">
          <cell r="P688" t="str">
            <v>221F6301OB1</v>
          </cell>
        </row>
        <row r="689">
          <cell r="B689" t="str">
            <v>NB2207-ORB</v>
          </cell>
        </row>
        <row r="689">
          <cell r="P689" t="str">
            <v>221F0022OB1</v>
          </cell>
        </row>
        <row r="690">
          <cell r="B690" t="str">
            <v>NB2207-BG</v>
          </cell>
        </row>
        <row r="690">
          <cell r="P690" t="str">
            <v>221F0022BG1</v>
          </cell>
        </row>
        <row r="691">
          <cell r="B691" t="str">
            <v>12-BK-ZZ-1</v>
          </cell>
        </row>
        <row r="691">
          <cell r="P691" t="str">
            <v>320F0099BK1</v>
          </cell>
        </row>
        <row r="692">
          <cell r="B692" t="str">
            <v>L2202-ORB</v>
          </cell>
        </row>
        <row r="692">
          <cell r="P692" t="str">
            <v>120F0022OB1</v>
          </cell>
        </row>
        <row r="693">
          <cell r="B693" t="str">
            <v>B6206-BK</v>
          </cell>
        </row>
        <row r="693">
          <cell r="P693" t="str">
            <v>230F3005BK1</v>
          </cell>
        </row>
        <row r="694">
          <cell r="B694" t="str">
            <v>12-BK-ZZ-2</v>
          </cell>
        </row>
        <row r="694">
          <cell r="P694" t="str">
            <v>320F0099BK1</v>
          </cell>
        </row>
        <row r="695">
          <cell r="B695" t="str">
            <v>12-ORB-ZZ-1</v>
          </cell>
        </row>
        <row r="695">
          <cell r="P695" t="str">
            <v>320F0099OB1</v>
          </cell>
        </row>
        <row r="696">
          <cell r="B696" t="str">
            <v>NB2208-BG</v>
          </cell>
        </row>
        <row r="696">
          <cell r="P696" t="str">
            <v>222F0022BG1</v>
          </cell>
        </row>
        <row r="697">
          <cell r="B697" t="str">
            <v>NB2208-CP</v>
          </cell>
        </row>
        <row r="697">
          <cell r="P697" t="str">
            <v>222F0022CP1</v>
          </cell>
        </row>
        <row r="698">
          <cell r="B698" t="str">
            <v>NB2208-ORB</v>
          </cell>
        </row>
        <row r="698">
          <cell r="P698" t="str">
            <v>222F0022OB1</v>
          </cell>
        </row>
        <row r="699">
          <cell r="B699" t="str">
            <v>WT-9808BNZZ</v>
          </cell>
        </row>
        <row r="699">
          <cell r="P699" t="str">
            <v>222F0098BN1</v>
          </cell>
        </row>
        <row r="700">
          <cell r="B700" t="str">
            <v>WT-9907CP</v>
          </cell>
        </row>
        <row r="700">
          <cell r="P700" t="str">
            <v>221F0099CP1</v>
          </cell>
        </row>
        <row r="701">
          <cell r="B701" t="str">
            <v>WT-9804ORB</v>
          </cell>
        </row>
        <row r="701">
          <cell r="P701" t="str">
            <v>140F0098OB1</v>
          </cell>
        </row>
        <row r="702">
          <cell r="B702" t="str">
            <v>WT-9807BNZZ03</v>
          </cell>
        </row>
        <row r="702">
          <cell r="P702" t="str">
            <v>221F0098BN1</v>
          </cell>
        </row>
        <row r="703">
          <cell r="B703" t="str">
            <v>WT-9907BN</v>
          </cell>
        </row>
        <row r="703">
          <cell r="P703" t="str">
            <v>221F0099BN1</v>
          </cell>
        </row>
        <row r="704">
          <cell r="B704" t="str">
            <v>WT-B830BNZZ05</v>
          </cell>
        </row>
        <row r="704">
          <cell r="P704" t="str">
            <v>211F8000BN1</v>
          </cell>
        </row>
        <row r="705">
          <cell r="B705" t="str">
            <v>WT-9806CPZZ02</v>
          </cell>
        </row>
        <row r="705">
          <cell r="P705" t="str">
            <v>230F0098CP1</v>
          </cell>
        </row>
        <row r="706">
          <cell r="B706" t="str">
            <v>WT-9811BGZZ02</v>
          </cell>
        </row>
        <row r="706">
          <cell r="P706" t="str">
            <v>211F0098BG1</v>
          </cell>
        </row>
        <row r="707">
          <cell r="B707" t="str">
            <v>WT-9802RGBK</v>
          </cell>
        </row>
        <row r="707">
          <cell r="P707" t="str">
            <v>120F0098RB1</v>
          </cell>
        </row>
        <row r="708">
          <cell r="B708" t="str">
            <v>WT-9802BN</v>
          </cell>
        </row>
        <row r="708">
          <cell r="P708" t="str">
            <v>120F0098BN1</v>
          </cell>
        </row>
        <row r="709">
          <cell r="B709" t="str">
            <v>WT-9907ORB</v>
          </cell>
        </row>
        <row r="709">
          <cell r="P709" t="str">
            <v>221F0099OB1</v>
          </cell>
        </row>
        <row r="710">
          <cell r="B710" t="str">
            <v>WT-9808BN02</v>
          </cell>
        </row>
        <row r="710">
          <cell r="P710" t="str">
            <v>222F0098BN1</v>
          </cell>
        </row>
        <row r="711">
          <cell r="B711" t="str">
            <v>WT-9805CP</v>
          </cell>
        </row>
        <row r="711">
          <cell r="P711" t="str">
            <v>150F0098CP1</v>
          </cell>
        </row>
        <row r="712">
          <cell r="B712" t="str">
            <v>WT-9808BNZZ</v>
          </cell>
        </row>
        <row r="712">
          <cell r="P712" t="str">
            <v>222F0098BN1</v>
          </cell>
        </row>
        <row r="713">
          <cell r="B713" t="str">
            <v>WT-1007-ORBZZ</v>
          </cell>
        </row>
        <row r="713">
          <cell r="P713" t="str">
            <v>211F1007OB1</v>
          </cell>
        </row>
        <row r="714">
          <cell r="B714" t="str">
            <v>WT-9804ORB</v>
          </cell>
        </row>
        <row r="714">
          <cell r="P714" t="str">
            <v>140F0098OB1</v>
          </cell>
        </row>
        <row r="715">
          <cell r="B715" t="str">
            <v>WT-9811ORBZZ</v>
          </cell>
        </row>
        <row r="715">
          <cell r="P715" t="str">
            <v>211F0098OB1</v>
          </cell>
        </row>
        <row r="716">
          <cell r="B716" t="str">
            <v>WT-1005-CPZZ</v>
          </cell>
        </row>
        <row r="716">
          <cell r="P716" t="str">
            <v>211F1005CP1</v>
          </cell>
        </row>
        <row r="717">
          <cell r="B717" t="str">
            <v>M3-QVQ8-BKW4</v>
          </cell>
        </row>
        <row r="717">
          <cell r="P717" t="str">
            <v>211F8000BK2</v>
          </cell>
        </row>
        <row r="718">
          <cell r="B718" t="str">
            <v>WT-9802BG</v>
          </cell>
        </row>
        <row r="718">
          <cell r="P718" t="str">
            <v>120F0098BG1</v>
          </cell>
        </row>
        <row r="719">
          <cell r="B719" t="str">
            <v>WT-9807BKZZ05</v>
          </cell>
        </row>
        <row r="719">
          <cell r="P719" t="str">
            <v>221F0098BK1</v>
          </cell>
        </row>
        <row r="720">
          <cell r="B720" t="str">
            <v>WT-9805BG</v>
          </cell>
        </row>
        <row r="720">
          <cell r="P720" t="str">
            <v>150F0098BG1</v>
          </cell>
        </row>
        <row r="721">
          <cell r="B721" t="str">
            <v>WT-9806BGZZ02</v>
          </cell>
        </row>
        <row r="721">
          <cell r="P721" t="str">
            <v>230F0098BG1</v>
          </cell>
        </row>
        <row r="722">
          <cell r="B722" t="str">
            <v>WT-9802CP</v>
          </cell>
        </row>
        <row r="722">
          <cell r="P722" t="str">
            <v>120F0098CP1</v>
          </cell>
        </row>
        <row r="723">
          <cell r="B723" t="str">
            <v>WT-9801RGBK01</v>
          </cell>
        </row>
        <row r="723">
          <cell r="P723" t="str">
            <v>110F0098RB1</v>
          </cell>
        </row>
        <row r="724">
          <cell r="B724" t="str">
            <v>WT-9804RGBK</v>
          </cell>
        </row>
        <row r="724">
          <cell r="P724" t="str">
            <v>140F0098RB1</v>
          </cell>
        </row>
        <row r="725">
          <cell r="B725" t="str">
            <v>WT-9812RGBK</v>
          </cell>
        </row>
        <row r="725">
          <cell r="P725" t="str">
            <v>320F0098RB1</v>
          </cell>
        </row>
        <row r="726">
          <cell r="B726" t="str">
            <v>WT-9907CP</v>
          </cell>
        </row>
        <row r="726">
          <cell r="P726" t="str">
            <v>221F0099CP1</v>
          </cell>
        </row>
        <row r="727">
          <cell r="B727" t="str">
            <v>WT-9805ORB</v>
          </cell>
        </row>
        <row r="727">
          <cell r="P727" t="str">
            <v>150F0098OB1</v>
          </cell>
        </row>
        <row r="728">
          <cell r="B728" t="str">
            <v>WT-9804BK</v>
          </cell>
        </row>
        <row r="728">
          <cell r="P728" t="str">
            <v>140F0098BK1</v>
          </cell>
        </row>
        <row r="729">
          <cell r="B729" t="str">
            <v>WT-1005-BGZZ</v>
          </cell>
        </row>
        <row r="729">
          <cell r="P729" t="str">
            <v>211F1005BG4</v>
          </cell>
        </row>
        <row r="730">
          <cell r="B730" t="str">
            <v>WT-B830BNZZ06</v>
          </cell>
        </row>
        <row r="730">
          <cell r="P730" t="str">
            <v>211F8000BN1</v>
          </cell>
        </row>
        <row r="731">
          <cell r="B731" t="str">
            <v>WT-9811BKZZ02</v>
          </cell>
        </row>
        <row r="731">
          <cell r="P731" t="str">
            <v>211F0098BK2</v>
          </cell>
        </row>
        <row r="732">
          <cell r="B732" t="str">
            <v>WT-9801BN</v>
          </cell>
        </row>
        <row r="732">
          <cell r="P732" t="str">
            <v>110F0098BN1</v>
          </cell>
        </row>
        <row r="733">
          <cell r="B733" t="str">
            <v>WT-9807ORB</v>
          </cell>
        </row>
        <row r="733">
          <cell r="P733" t="str">
            <v>221F0098OB1</v>
          </cell>
        </row>
        <row r="734">
          <cell r="B734" t="str">
            <v>WT-9807BNZZ02</v>
          </cell>
        </row>
        <row r="734">
          <cell r="P734" t="str">
            <v>221F0098BN1</v>
          </cell>
        </row>
        <row r="735">
          <cell r="B735" t="str">
            <v>WT-9801BK01</v>
          </cell>
        </row>
        <row r="735">
          <cell r="P735" t="str">
            <v>110F0098BK1</v>
          </cell>
        </row>
        <row r="736">
          <cell r="B736" t="str">
            <v>WT-1007-BNZZ</v>
          </cell>
        </row>
        <row r="736">
          <cell r="P736" t="str">
            <v>211F1007BN3</v>
          </cell>
        </row>
        <row r="737">
          <cell r="B737" t="str">
            <v>WT-9907BG</v>
          </cell>
        </row>
        <row r="737">
          <cell r="P737" t="str">
            <v>221F0099BG1</v>
          </cell>
        </row>
        <row r="738">
          <cell r="B738" t="str">
            <v>WT-9804CP</v>
          </cell>
        </row>
        <row r="738">
          <cell r="P738" t="str">
            <v>140F0098CP1</v>
          </cell>
        </row>
        <row r="739">
          <cell r="B739" t="str">
            <v>WT-9801CP</v>
          </cell>
        </row>
        <row r="739">
          <cell r="P739" t="str">
            <v>110F0098CP1</v>
          </cell>
        </row>
        <row r="740">
          <cell r="B740" t="str">
            <v>WT-9802ORB</v>
          </cell>
        </row>
        <row r="740">
          <cell r="P740" t="str">
            <v>120F0098OB1</v>
          </cell>
        </row>
        <row r="741">
          <cell r="B741" t="str">
            <v>WT-9802CPZZ</v>
          </cell>
        </row>
        <row r="741">
          <cell r="P741" t="str">
            <v>120F0098CP1</v>
          </cell>
        </row>
        <row r="742">
          <cell r="B742" t="str">
            <v>WT-9806RGBK</v>
          </cell>
        </row>
        <row r="742">
          <cell r="P742" t="str">
            <v>230F0098RB1</v>
          </cell>
        </row>
        <row r="743">
          <cell r="B743" t="str">
            <v>WT-9907BK</v>
          </cell>
        </row>
        <row r="743">
          <cell r="P743" t="str">
            <v>221F0099BK1</v>
          </cell>
        </row>
        <row r="744">
          <cell r="B744" t="str">
            <v>WT-9805RGBK</v>
          </cell>
        </row>
        <row r="744">
          <cell r="P744" t="str">
            <v>150F0098RB1</v>
          </cell>
        </row>
        <row r="745">
          <cell r="B745" t="str">
            <v>WT-1005-BKZZ</v>
          </cell>
        </row>
        <row r="745">
          <cell r="P745" t="str">
            <v>211F1005BK2</v>
          </cell>
        </row>
        <row r="746">
          <cell r="B746" t="str">
            <v>WT-9811CPZZ</v>
          </cell>
        </row>
        <row r="746">
          <cell r="P746" t="str">
            <v>211F0098CP1</v>
          </cell>
        </row>
        <row r="747">
          <cell r="B747" t="str">
            <v>WT-9805BN</v>
          </cell>
        </row>
        <row r="747">
          <cell r="P747" t="str">
            <v>150F0098BN1</v>
          </cell>
        </row>
        <row r="748">
          <cell r="B748" t="str">
            <v>SZ-B9907CP</v>
          </cell>
        </row>
        <row r="748">
          <cell r="P748" t="str">
            <v>221F0099CP1</v>
          </cell>
        </row>
        <row r="749">
          <cell r="B749" t="str">
            <v>SZ-B9911BN</v>
          </cell>
        </row>
        <row r="749">
          <cell r="P749" t="str">
            <v>211F0099BN1</v>
          </cell>
        </row>
        <row r="750">
          <cell r="B750" t="str">
            <v>L2202-ORB</v>
          </cell>
        </row>
        <row r="750">
          <cell r="P750" t="str">
            <v>120F0022OB1</v>
          </cell>
        </row>
        <row r="751">
          <cell r="B751" t="str">
            <v>SZ-B9911BN</v>
          </cell>
        </row>
        <row r="751">
          <cell r="P751" t="str">
            <v>211F0099BN1</v>
          </cell>
        </row>
        <row r="752">
          <cell r="B752" t="str">
            <v>SZ-B9908BN</v>
          </cell>
        </row>
        <row r="752">
          <cell r="P752" t="str">
            <v>222F0099BN1</v>
          </cell>
        </row>
        <row r="753">
          <cell r="B753" t="str">
            <v>L2203-BG</v>
          </cell>
        </row>
        <row r="753">
          <cell r="P753" t="str">
            <v>130F0022BG1</v>
          </cell>
        </row>
        <row r="754">
          <cell r="B754" t="str">
            <v>SZ-S-3314-BN-001</v>
          </cell>
        </row>
        <row r="754">
          <cell r="P754" t="str">
            <v>420F3314BN5</v>
          </cell>
        </row>
        <row r="755">
          <cell r="B755" t="str">
            <v>SZ-B9908CP</v>
          </cell>
        </row>
        <row r="755">
          <cell r="P755" t="str">
            <v>222F0099CP1</v>
          </cell>
        </row>
        <row r="756">
          <cell r="B756" t="str">
            <v>SZ-B9909ORB</v>
          </cell>
        </row>
        <row r="756">
          <cell r="P756" t="str">
            <v>223F0099OB1</v>
          </cell>
        </row>
        <row r="757">
          <cell r="B757" t="str">
            <v>SZ-B9909BN</v>
          </cell>
        </row>
        <row r="757">
          <cell r="P757" t="str">
            <v>223F0099BN1</v>
          </cell>
        </row>
        <row r="758">
          <cell r="B758" t="str">
            <v>L2203-BG</v>
          </cell>
        </row>
        <row r="758">
          <cell r="P758" t="str">
            <v>130F0022BG1</v>
          </cell>
        </row>
        <row r="759">
          <cell r="B759" t="str">
            <v>SZ-B9906BG</v>
          </cell>
        </row>
        <row r="759">
          <cell r="P759" t="str">
            <v>230F0099BG1</v>
          </cell>
        </row>
        <row r="760">
          <cell r="B760" t="str">
            <v>L2203-BK</v>
          </cell>
        </row>
        <row r="760">
          <cell r="P760" t="str">
            <v>130F0022BK1</v>
          </cell>
        </row>
        <row r="761">
          <cell r="B761" t="str">
            <v>SZ-B9906BN</v>
          </cell>
        </row>
        <row r="761">
          <cell r="P761" t="str">
            <v>230F0099BN1</v>
          </cell>
        </row>
        <row r="762">
          <cell r="B762" t="str">
            <v>L2203-BK</v>
          </cell>
        </row>
        <row r="762">
          <cell r="P762" t="str">
            <v>130F0022BK1</v>
          </cell>
        </row>
        <row r="763">
          <cell r="B763" t="str">
            <v>L2203-BN</v>
          </cell>
        </row>
        <row r="763">
          <cell r="P763" t="str">
            <v>130F0022BN1</v>
          </cell>
        </row>
        <row r="764">
          <cell r="B764" t="str">
            <v>SZ-B9908ORB</v>
          </cell>
        </row>
        <row r="764">
          <cell r="P764" t="str">
            <v>222F0099OB1</v>
          </cell>
        </row>
        <row r="765">
          <cell r="B765" t="str">
            <v>L2203-BN</v>
          </cell>
        </row>
        <row r="765">
          <cell r="P765" t="str">
            <v>130F0022BN1</v>
          </cell>
        </row>
        <row r="766">
          <cell r="B766" t="str">
            <v>SZ-B9909CP</v>
          </cell>
        </row>
        <row r="766">
          <cell r="P766" t="str">
            <v>223F0099CP1</v>
          </cell>
        </row>
        <row r="767">
          <cell r="B767" t="str">
            <v>SZ-B9906BK</v>
          </cell>
        </row>
        <row r="767">
          <cell r="P767" t="str">
            <v>230F0099BK1</v>
          </cell>
        </row>
        <row r="768">
          <cell r="B768" t="str">
            <v>SZ-B9909BG</v>
          </cell>
        </row>
        <row r="768">
          <cell r="P768" t="str">
            <v>223F0099BG1</v>
          </cell>
        </row>
        <row r="769">
          <cell r="B769" t="str">
            <v>SZ-B9908BK</v>
          </cell>
        </row>
        <row r="769">
          <cell r="P769" t="str">
            <v>222F0099BK1</v>
          </cell>
        </row>
        <row r="770">
          <cell r="B770" t="str">
            <v>SZ-B9908BG</v>
          </cell>
        </row>
        <row r="770">
          <cell r="P770" t="str">
            <v>222F0099BG1</v>
          </cell>
        </row>
        <row r="771">
          <cell r="B771" t="str">
            <v>SZ-B9906ORB</v>
          </cell>
        </row>
        <row r="771">
          <cell r="P771" t="str">
            <v>230F0099OB1</v>
          </cell>
        </row>
        <row r="772">
          <cell r="B772" t="str">
            <v>L2203-CP</v>
          </cell>
        </row>
        <row r="772">
          <cell r="P772" t="str">
            <v>130F0022CP1</v>
          </cell>
        </row>
        <row r="773">
          <cell r="B773" t="str">
            <v>SZ-B9911BN</v>
          </cell>
        </row>
        <row r="773">
          <cell r="P773" t="str">
            <v>211F0099BN1</v>
          </cell>
        </row>
        <row r="774">
          <cell r="B774" t="str">
            <v>L2203-CP</v>
          </cell>
        </row>
        <row r="774">
          <cell r="P774" t="str">
            <v>130F0022CP1</v>
          </cell>
        </row>
        <row r="775">
          <cell r="B775" t="str">
            <v>L2203-ORB</v>
          </cell>
        </row>
        <row r="775">
          <cell r="P775" t="str">
            <v>130F0022OB1</v>
          </cell>
        </row>
        <row r="776">
          <cell r="B776" t="str">
            <v>SZ-B9907ORB</v>
          </cell>
        </row>
        <row r="776">
          <cell r="P776" t="str">
            <v>221F0099OB1</v>
          </cell>
        </row>
        <row r="777">
          <cell r="B777" t="str">
            <v>L2203-ORB</v>
          </cell>
        </row>
        <row r="777">
          <cell r="P777" t="str">
            <v>130F0022OB1</v>
          </cell>
        </row>
        <row r="778">
          <cell r="B778" t="str">
            <v>SZ-B9909BK</v>
          </cell>
        </row>
        <row r="778">
          <cell r="P778" t="str">
            <v>223F0099BK1</v>
          </cell>
        </row>
        <row r="779">
          <cell r="B779" t="str">
            <v>L2204-BG</v>
          </cell>
        </row>
        <row r="779">
          <cell r="P779" t="str">
            <v>140F0022BG1</v>
          </cell>
        </row>
        <row r="780">
          <cell r="B780" t="str">
            <v>SZ-B9911BG</v>
          </cell>
        </row>
        <row r="780">
          <cell r="P780" t="str">
            <v>211F0099BG1</v>
          </cell>
        </row>
        <row r="781">
          <cell r="B781" t="str">
            <v>SZ-B9907BN</v>
          </cell>
        </row>
        <row r="781">
          <cell r="P781" t="str">
            <v>221F0099BN1</v>
          </cell>
        </row>
        <row r="782">
          <cell r="B782" t="str">
            <v>SZ-B9907BG</v>
          </cell>
        </row>
        <row r="782">
          <cell r="P782" t="str">
            <v>221F0099BG1</v>
          </cell>
        </row>
        <row r="783">
          <cell r="B783" t="str">
            <v>L2301-BK</v>
          </cell>
        </row>
        <row r="783">
          <cell r="P783" t="str">
            <v>110F0023BK1</v>
          </cell>
        </row>
        <row r="784">
          <cell r="B784" t="str">
            <v>L2301-BK</v>
          </cell>
        </row>
        <row r="784">
          <cell r="P784" t="str">
            <v>110F0023BK1</v>
          </cell>
        </row>
        <row r="785">
          <cell r="B785" t="str">
            <v>L2301-BN</v>
          </cell>
        </row>
        <row r="785">
          <cell r="P785" t="str">
            <v>110F0023BN1</v>
          </cell>
        </row>
        <row r="786">
          <cell r="B786" t="str">
            <v>L2301-BN</v>
          </cell>
        </row>
        <row r="786">
          <cell r="P786" t="str">
            <v>110F0023BN1</v>
          </cell>
        </row>
        <row r="787">
          <cell r="B787" t="str">
            <v>B2312-BN</v>
          </cell>
        </row>
        <row r="787">
          <cell r="P787" t="str">
            <v>320F0023BN1</v>
          </cell>
        </row>
        <row r="788">
          <cell r="B788" t="str">
            <v>L2301-CP</v>
          </cell>
        </row>
        <row r="788">
          <cell r="P788" t="str">
            <v>110F0023CP1</v>
          </cell>
        </row>
        <row r="789">
          <cell r="B789" t="str">
            <v>L2301-CP</v>
          </cell>
        </row>
        <row r="789">
          <cell r="P789" t="str">
            <v>110F0023CP1</v>
          </cell>
        </row>
        <row r="790">
          <cell r="B790" t="str">
            <v>B2312-CP</v>
          </cell>
        </row>
        <row r="790">
          <cell r="P790" t="str">
            <v>320F0023CP1</v>
          </cell>
        </row>
        <row r="791">
          <cell r="B791" t="str">
            <v>B2306-ORB2</v>
          </cell>
        </row>
        <row r="791">
          <cell r="P791" t="str">
            <v>230F0023OB1</v>
          </cell>
        </row>
        <row r="792">
          <cell r="B792" t="str">
            <v>L2301-ORB</v>
          </cell>
        </row>
        <row r="792">
          <cell r="P792" t="str">
            <v>110F0023OB1</v>
          </cell>
        </row>
        <row r="793">
          <cell r="B793" t="str">
            <v>L2204-BG</v>
          </cell>
        </row>
        <row r="793">
          <cell r="P793" t="str">
            <v>140F0022BG1</v>
          </cell>
        </row>
        <row r="794">
          <cell r="B794" t="str">
            <v>QC-3012BNZZ01</v>
          </cell>
        </row>
        <row r="794">
          <cell r="P794" t="str">
            <v>230F3012BN2</v>
          </cell>
        </row>
        <row r="795">
          <cell r="B795" t="str">
            <v>QC-3012BGZZ</v>
          </cell>
        </row>
        <row r="795">
          <cell r="P795" t="str">
            <v>230F3012BG1</v>
          </cell>
        </row>
        <row r="796">
          <cell r="B796" t="str">
            <v>QC-3012BNZZ02</v>
          </cell>
        </row>
        <row r="796">
          <cell r="P796" t="str">
            <v>230F3012BN2</v>
          </cell>
        </row>
        <row r="797">
          <cell r="B797" t="str">
            <v>QC-3012ORBZZ</v>
          </cell>
        </row>
        <row r="797">
          <cell r="P797" t="str">
            <v>230F3012OB1</v>
          </cell>
        </row>
        <row r="798">
          <cell r="B798" t="str">
            <v>8811BK JB-ZZ</v>
          </cell>
        </row>
        <row r="798">
          <cell r="P798" t="str">
            <v>211F0088BK2</v>
          </cell>
        </row>
        <row r="799">
          <cell r="B799" t="str">
            <v>HM-1005-BGZZ</v>
          </cell>
        </row>
        <row r="799">
          <cell r="P799" t="str">
            <v>211F1005BG4</v>
          </cell>
        </row>
        <row r="800">
          <cell r="B800" t="str">
            <v>HM-9911-BGZZ</v>
          </cell>
        </row>
        <row r="800">
          <cell r="P800" t="str">
            <v>211F0099BG1</v>
          </cell>
        </row>
        <row r="801">
          <cell r="B801" t="str">
            <v>HM-8809-CP</v>
          </cell>
        </row>
        <row r="801">
          <cell r="P801" t="str">
            <v>223F0088CP1</v>
          </cell>
        </row>
        <row r="802">
          <cell r="B802" t="str">
            <v>QC-202507-BG01</v>
          </cell>
        </row>
        <row r="802">
          <cell r="P802" t="str">
            <v>221F0022BG1</v>
          </cell>
        </row>
        <row r="803">
          <cell r="B803" t="str">
            <v>QC-202507-ORB01</v>
          </cell>
        </row>
        <row r="803">
          <cell r="P803" t="str">
            <v>221F0022OB1</v>
          </cell>
        </row>
        <row r="804">
          <cell r="B804" t="str">
            <v>QC-202507-BN01</v>
          </cell>
        </row>
        <row r="804">
          <cell r="P804" t="str">
            <v>221F0022BN1</v>
          </cell>
        </row>
        <row r="805">
          <cell r="B805" t="str">
            <v>QC-202507-BK01</v>
          </cell>
        </row>
        <row r="805">
          <cell r="P805" t="str">
            <v>221F0022BK1</v>
          </cell>
        </row>
        <row r="806">
          <cell r="B806" t="str">
            <v>QC-202508-CP01</v>
          </cell>
        </row>
        <row r="806">
          <cell r="P806" t="str">
            <v>222F0022CP1</v>
          </cell>
        </row>
        <row r="807">
          <cell r="B807" t="str">
            <v>QC-202511-CP01</v>
          </cell>
        </row>
        <row r="807">
          <cell r="P807" t="str">
            <v>211F0022CP1</v>
          </cell>
        </row>
        <row r="808">
          <cell r="B808" t="str">
            <v>QC-202508-BNZZ01</v>
          </cell>
        </row>
        <row r="808">
          <cell r="P808" t="str">
            <v>222F0022BN1</v>
          </cell>
        </row>
        <row r="809">
          <cell r="B809" t="str">
            <v>QC-202508-BKZZ01</v>
          </cell>
        </row>
        <row r="809">
          <cell r="P809" t="str">
            <v>222F0022BK1</v>
          </cell>
        </row>
        <row r="810">
          <cell r="B810" t="str">
            <v>QC-202511-BNZZ01</v>
          </cell>
        </row>
        <row r="810">
          <cell r="P810" t="str">
            <v>211F0022BN1</v>
          </cell>
        </row>
        <row r="811">
          <cell r="B811" t="str">
            <v>QC-202507-BGZZ01</v>
          </cell>
        </row>
        <row r="811">
          <cell r="P811" t="str">
            <v>221F0022BG1</v>
          </cell>
        </row>
        <row r="812">
          <cell r="B812" t="str">
            <v>QC-202511-BKZZ01</v>
          </cell>
        </row>
        <row r="812">
          <cell r="P812" t="str">
            <v>211F0022BK2</v>
          </cell>
        </row>
        <row r="813">
          <cell r="B813" t="str">
            <v>QC-202511-BGZZ01</v>
          </cell>
        </row>
        <row r="813">
          <cell r="P813" t="str">
            <v>211F0022BG1</v>
          </cell>
        </row>
        <row r="814">
          <cell r="B814" t="str">
            <v>QC-202507-BNZZ01</v>
          </cell>
        </row>
        <row r="814">
          <cell r="P814" t="str">
            <v>221F0022BN1</v>
          </cell>
        </row>
        <row r="815">
          <cell r="B815" t="str">
            <v>8811BK JB-ZZ</v>
          </cell>
        </row>
        <row r="815">
          <cell r="P815" t="str">
            <v>211F0088BK2</v>
          </cell>
        </row>
        <row r="816">
          <cell r="B816" t="str">
            <v>8901CP QC1BY1</v>
          </cell>
        </row>
        <row r="816">
          <cell r="P816" t="str">
            <v>110F0089CP1</v>
          </cell>
        </row>
        <row r="817">
          <cell r="B817" t="str">
            <v>8901ORB QC1BY1</v>
          </cell>
        </row>
        <row r="817">
          <cell r="P817" t="str">
            <v>110F0089OB1</v>
          </cell>
        </row>
        <row r="818">
          <cell r="B818" t="str">
            <v>8901BN QC1BY1</v>
          </cell>
        </row>
        <row r="818">
          <cell r="P818" t="str">
            <v>110F0089BN1</v>
          </cell>
        </row>
        <row r="819">
          <cell r="B819" t="str">
            <v>8901BG QC1BY1</v>
          </cell>
        </row>
        <row r="819">
          <cell r="P819" t="str">
            <v>110F0089BG1</v>
          </cell>
        </row>
        <row r="820">
          <cell r="B820" t="str">
            <v>8901BK QC1BY1</v>
          </cell>
        </row>
        <row r="820">
          <cell r="P820" t="str">
            <v>110F0089BK1</v>
          </cell>
        </row>
        <row r="821">
          <cell r="B821" t="str">
            <v>LD-2311CP-ZZ</v>
          </cell>
        </row>
        <row r="821">
          <cell r="P821" t="str">
            <v>211F0023CP1</v>
          </cell>
        </row>
        <row r="822">
          <cell r="B822" t="str">
            <v>8811BN JBZZ01</v>
          </cell>
        </row>
        <row r="822">
          <cell r="P822" t="str">
            <v>211F0088BN1</v>
          </cell>
        </row>
        <row r="823">
          <cell r="B823" t="str">
            <v>HM-1005-BK</v>
          </cell>
        </row>
        <row r="823">
          <cell r="P823" t="str">
            <v>211F1005BK2</v>
          </cell>
        </row>
        <row r="824">
          <cell r="B824" t="str">
            <v>HM-1005-ORB</v>
          </cell>
        </row>
        <row r="824">
          <cell r="P824" t="str">
            <v>211F1005OB1</v>
          </cell>
        </row>
        <row r="825">
          <cell r="B825" t="str">
            <v>8807CP JB-ZZ01</v>
          </cell>
        </row>
        <row r="825">
          <cell r="P825" t="str">
            <v>221F0088CP1</v>
          </cell>
        </row>
        <row r="826">
          <cell r="B826" t="str">
            <v>8807BN JB-ZZ01</v>
          </cell>
        </row>
        <row r="826">
          <cell r="P826" t="str">
            <v>221F0088BN1</v>
          </cell>
        </row>
        <row r="827">
          <cell r="B827" t="str">
            <v>8807BK JB-ZZ01</v>
          </cell>
        </row>
        <row r="827">
          <cell r="P827" t="str">
            <v>221F0088BK1</v>
          </cell>
        </row>
        <row r="828">
          <cell r="B828" t="str">
            <v>8811ORB JB-ZZ</v>
          </cell>
        </row>
        <row r="828">
          <cell r="P828" t="str">
            <v>211F0088OB1</v>
          </cell>
        </row>
        <row r="829">
          <cell r="B829" t="str">
            <v>HM-1005-CP</v>
          </cell>
        </row>
        <row r="829">
          <cell r="P829" t="str">
            <v>211F1005CP1</v>
          </cell>
        </row>
        <row r="830">
          <cell r="B830" t="str">
            <v>8811BK JB-ZZ</v>
          </cell>
        </row>
        <row r="830">
          <cell r="P830" t="str">
            <v>211F0088BK2</v>
          </cell>
        </row>
        <row r="831">
          <cell r="B831" t="str">
            <v>LD-B2311BN-ZZ</v>
          </cell>
        </row>
        <row r="831">
          <cell r="P831" t="str">
            <v>211F0023BN2</v>
          </cell>
        </row>
        <row r="832">
          <cell r="B832" t="str">
            <v>L2204-BK</v>
          </cell>
        </row>
        <row r="832">
          <cell r="P832" t="str">
            <v>140F0022BK1</v>
          </cell>
        </row>
        <row r="833">
          <cell r="B833" t="str">
            <v>L2204-BK</v>
          </cell>
        </row>
        <row r="833">
          <cell r="P833" t="str">
            <v>140F0022BK1</v>
          </cell>
        </row>
        <row r="834">
          <cell r="B834" t="str">
            <v>L2204-BN</v>
          </cell>
        </row>
        <row r="834">
          <cell r="P834" t="str">
            <v>140F0022BN1</v>
          </cell>
        </row>
        <row r="835">
          <cell r="B835" t="str">
            <v>L2204-BN</v>
          </cell>
        </row>
        <row r="835">
          <cell r="P835" t="str">
            <v>140F0022BN1</v>
          </cell>
        </row>
        <row r="836">
          <cell r="B836" t="str">
            <v>3004BG HM1-ZZ</v>
          </cell>
        </row>
        <row r="836">
          <cell r="P836" t="str">
            <v>240F3004BG1</v>
          </cell>
        </row>
        <row r="837">
          <cell r="B837" t="str">
            <v>3004CP HM1-Z</v>
          </cell>
        </row>
        <row r="837">
          <cell r="P837" t="str">
            <v>240F3004CP1</v>
          </cell>
        </row>
        <row r="838">
          <cell r="B838" t="str">
            <v>3004BK HM1-ZZ</v>
          </cell>
        </row>
        <row r="838">
          <cell r="P838" t="str">
            <v>240F3004BK1</v>
          </cell>
        </row>
        <row r="839">
          <cell r="B839" t="str">
            <v>3004BK HM1-ZZZ</v>
          </cell>
        </row>
        <row r="839">
          <cell r="P839" t="str">
            <v>240F3004BK1</v>
          </cell>
        </row>
        <row r="840">
          <cell r="B840" t="str">
            <v>3004BK HM1-ZZZZ</v>
          </cell>
        </row>
        <row r="840">
          <cell r="P840" t="str">
            <v>240F3004BK1</v>
          </cell>
        </row>
        <row r="841">
          <cell r="B841" t="str">
            <v>3004BK HM1-Z</v>
          </cell>
        </row>
        <row r="841">
          <cell r="P841" t="str">
            <v>240F3004BK1</v>
          </cell>
        </row>
        <row r="842">
          <cell r="B842" t="str">
            <v>3004BG HM1-Z</v>
          </cell>
        </row>
        <row r="842">
          <cell r="P842" t="str">
            <v>240F3004BG1</v>
          </cell>
        </row>
        <row r="843">
          <cell r="B843" t="str">
            <v>3003BN HM1-Z</v>
          </cell>
        </row>
        <row r="843">
          <cell r="P843" t="str">
            <v>220F3003BN2</v>
          </cell>
        </row>
        <row r="844">
          <cell r="B844" t="str">
            <v>3003BK HM1-ZZ</v>
          </cell>
        </row>
        <row r="844">
          <cell r="P844" t="str">
            <v>220F3003BK1</v>
          </cell>
        </row>
        <row r="845">
          <cell r="B845" t="str">
            <v>3003BN HM1-ZZ</v>
          </cell>
        </row>
        <row r="845">
          <cell r="P845" t="str">
            <v>220F3003BN2</v>
          </cell>
        </row>
        <row r="846">
          <cell r="B846" t="str">
            <v>3003BK HM1-ZZZ</v>
          </cell>
        </row>
        <row r="846">
          <cell r="P846" t="str">
            <v>220F3003BK1</v>
          </cell>
        </row>
        <row r="847">
          <cell r="B847" t="str">
            <v>LD-8909BGZZ</v>
          </cell>
        </row>
        <row r="847">
          <cell r="P847" t="str">
            <v>223F0089BG1</v>
          </cell>
        </row>
        <row r="848">
          <cell r="B848" t="str">
            <v>LD-8909ORBZZ</v>
          </cell>
        </row>
        <row r="848">
          <cell r="P848" t="str">
            <v>223F0089OB1</v>
          </cell>
        </row>
        <row r="849">
          <cell r="B849" t="str">
            <v>LD-8909CPZZ</v>
          </cell>
        </row>
        <row r="849">
          <cell r="P849" t="str">
            <v>223F0089CP1</v>
          </cell>
        </row>
        <row r="850">
          <cell r="B850" t="str">
            <v>LD-8909BKZZ</v>
          </cell>
        </row>
        <row r="850">
          <cell r="P850" t="str">
            <v>223F0089BK1</v>
          </cell>
        </row>
        <row r="851">
          <cell r="B851" t="str">
            <v>LD-8909BNZZ</v>
          </cell>
        </row>
        <row r="851">
          <cell r="P851" t="str">
            <v>223F0089BN1</v>
          </cell>
        </row>
        <row r="852">
          <cell r="B852" t="str">
            <v>8801 ORB-ZZ</v>
          </cell>
        </row>
        <row r="852">
          <cell r="P852" t="str">
            <v>110F0088OB1</v>
          </cell>
        </row>
        <row r="853">
          <cell r="B853" t="str">
            <v>8801 BK-ZZ</v>
          </cell>
        </row>
        <row r="853">
          <cell r="P853" t="str">
            <v>110F0088BK1</v>
          </cell>
        </row>
        <row r="854">
          <cell r="B854" t="str">
            <v>HM-9804-BN-ZZ</v>
          </cell>
        </row>
        <row r="854">
          <cell r="P854" t="str">
            <v>140F0098BN1</v>
          </cell>
        </row>
        <row r="855">
          <cell r="B855" t="str">
            <v>HM-9801-BG-ZZ</v>
          </cell>
        </row>
        <row r="855">
          <cell r="P855" t="str">
            <v>110F0098BG1</v>
          </cell>
        </row>
        <row r="856">
          <cell r="B856" t="str">
            <v>HM-9801-BN-ZZ</v>
          </cell>
        </row>
        <row r="856">
          <cell r="P856" t="str">
            <v>110F0098BN1</v>
          </cell>
        </row>
        <row r="857">
          <cell r="B857" t="str">
            <v>HM-9804-BK-ZZ</v>
          </cell>
        </row>
        <row r="857">
          <cell r="P857" t="str">
            <v>140F0098BK1</v>
          </cell>
        </row>
        <row r="858">
          <cell r="B858" t="str">
            <v>HM-9801-CP-ZZ</v>
          </cell>
        </row>
        <row r="858">
          <cell r="P858" t="str">
            <v>110F0098CP1</v>
          </cell>
        </row>
        <row r="859">
          <cell r="B859" t="str">
            <v>HM-9804-BG-ZZ</v>
          </cell>
        </row>
        <row r="859">
          <cell r="P859" t="str">
            <v>140F0098BG1</v>
          </cell>
        </row>
        <row r="860">
          <cell r="B860" t="str">
            <v>HM-9801-BK-ZZ</v>
          </cell>
        </row>
        <row r="860">
          <cell r="P860" t="str">
            <v>110F0098BK1</v>
          </cell>
        </row>
        <row r="861">
          <cell r="B861" t="str">
            <v>HM-9804-CP-ZZ</v>
          </cell>
        </row>
        <row r="861">
          <cell r="P861" t="str">
            <v>140F0098CP1</v>
          </cell>
        </row>
        <row r="862">
          <cell r="B862" t="str">
            <v>8807ORBJB-ZZ</v>
          </cell>
        </row>
        <row r="862">
          <cell r="P862" t="str">
            <v>221F0088OB1</v>
          </cell>
        </row>
        <row r="863">
          <cell r="B863" t="str">
            <v>8807BNJB-ZZ</v>
          </cell>
        </row>
        <row r="863">
          <cell r="P863" t="str">
            <v>221F0088BN1</v>
          </cell>
        </row>
        <row r="864">
          <cell r="B864" t="str">
            <v>8807BGJB-ZZ</v>
          </cell>
        </row>
        <row r="864">
          <cell r="P864" t="str">
            <v>221F0088BG1</v>
          </cell>
        </row>
        <row r="865">
          <cell r="B865" t="str">
            <v>8807BKJB-ZZ</v>
          </cell>
        </row>
        <row r="865">
          <cell r="P865" t="str">
            <v>221F0088BK1</v>
          </cell>
        </row>
        <row r="866">
          <cell r="B866" t="str">
            <v>LD-8908BNZZ</v>
          </cell>
        </row>
        <row r="866">
          <cell r="P866" t="str">
            <v>222F0089BN1</v>
          </cell>
        </row>
        <row r="867">
          <cell r="B867" t="str">
            <v>LD-8908ORBZZ</v>
          </cell>
        </row>
        <row r="867">
          <cell r="P867" t="str">
            <v>222F0089OB1</v>
          </cell>
        </row>
        <row r="868">
          <cell r="B868" t="str">
            <v>LD-8907ORBZZ</v>
          </cell>
        </row>
        <row r="868">
          <cell r="P868" t="str">
            <v>221F0089OB1</v>
          </cell>
        </row>
        <row r="869">
          <cell r="B869" t="str">
            <v>LD-8907BKZZ</v>
          </cell>
        </row>
        <row r="869">
          <cell r="P869" t="str">
            <v>221F0089BK1</v>
          </cell>
        </row>
        <row r="870">
          <cell r="B870" t="str">
            <v>LD-8907BGZZ</v>
          </cell>
        </row>
        <row r="870">
          <cell r="P870" t="str">
            <v>221F0089BG1</v>
          </cell>
        </row>
        <row r="871">
          <cell r="B871" t="str">
            <v>LD-8907CPZZ</v>
          </cell>
        </row>
        <row r="871">
          <cell r="P871" t="str">
            <v>221F0089CP1</v>
          </cell>
        </row>
        <row r="872">
          <cell r="B872" t="str">
            <v>LD-8907BNZZ</v>
          </cell>
        </row>
        <row r="872">
          <cell r="P872" t="str">
            <v>221F0089BN1</v>
          </cell>
        </row>
        <row r="873">
          <cell r="B873" t="str">
            <v>LD-8908BGZZ</v>
          </cell>
        </row>
        <row r="873">
          <cell r="P873" t="str">
            <v>222F0089BG1</v>
          </cell>
        </row>
        <row r="874">
          <cell r="B874" t="str">
            <v>8909BK-QC1ZZZZ</v>
          </cell>
        </row>
        <row r="874">
          <cell r="P874" t="str">
            <v>223F0089BK1</v>
          </cell>
        </row>
        <row r="875">
          <cell r="B875" t="str">
            <v>8909BN-QC1ZZZZ</v>
          </cell>
        </row>
        <row r="875">
          <cell r="P875" t="str">
            <v>223F0089BN1</v>
          </cell>
        </row>
        <row r="876">
          <cell r="B876" t="str">
            <v>8909BG-QC1ZZZZ</v>
          </cell>
        </row>
        <row r="876">
          <cell r="P876" t="str">
            <v>223F0089BG1</v>
          </cell>
        </row>
        <row r="877">
          <cell r="B877" t="str">
            <v>8909CP-QC1ZZZZ</v>
          </cell>
        </row>
        <row r="877">
          <cell r="P877" t="str">
            <v>223F0089CP1</v>
          </cell>
        </row>
        <row r="878">
          <cell r="B878" t="str">
            <v>8907BK-QC1ZZ</v>
          </cell>
        </row>
        <row r="878">
          <cell r="P878" t="str">
            <v>221F0089BK1</v>
          </cell>
        </row>
        <row r="879">
          <cell r="B879" t="str">
            <v>8907BG-QC1ZZ</v>
          </cell>
        </row>
        <row r="879">
          <cell r="P879" t="str">
            <v>221F0089BG1</v>
          </cell>
        </row>
        <row r="880">
          <cell r="B880" t="str">
            <v>8907BN-QC1ZZ</v>
          </cell>
        </row>
        <row r="880">
          <cell r="P880" t="str">
            <v>221F0089BN1</v>
          </cell>
        </row>
        <row r="881">
          <cell r="B881" t="str">
            <v>8907ORB-QC1ZZ</v>
          </cell>
        </row>
        <row r="881">
          <cell r="P881" t="str">
            <v>221F0089OB1</v>
          </cell>
        </row>
        <row r="882">
          <cell r="B882" t="str">
            <v>8907CP-QC1ZZ</v>
          </cell>
        </row>
        <row r="882">
          <cell r="P882" t="str">
            <v>221F0089CP1</v>
          </cell>
        </row>
        <row r="883">
          <cell r="B883" t="str">
            <v>8908CP-QCZZ</v>
          </cell>
        </row>
        <row r="883">
          <cell r="P883" t="str">
            <v>222F0089CP1</v>
          </cell>
        </row>
        <row r="884">
          <cell r="B884" t="str">
            <v>8908BK-QCZZ</v>
          </cell>
        </row>
        <row r="884">
          <cell r="P884" t="str">
            <v>222F0089BK1</v>
          </cell>
        </row>
        <row r="885">
          <cell r="B885" t="str">
            <v>8908BN-QCZZ</v>
          </cell>
        </row>
        <row r="885">
          <cell r="P885" t="str">
            <v>222F0089BN1</v>
          </cell>
        </row>
        <row r="886">
          <cell r="B886" t="str">
            <v>8908BG-QCZZ</v>
          </cell>
        </row>
        <row r="886">
          <cell r="P886" t="str">
            <v>222F0089BG1</v>
          </cell>
        </row>
        <row r="887">
          <cell r="B887" t="str">
            <v>HM-8804-CP1</v>
          </cell>
        </row>
        <row r="887">
          <cell r="P887" t="str">
            <v>140F0088CP1</v>
          </cell>
        </row>
        <row r="888">
          <cell r="B888" t="str">
            <v>HM-8811-BK-zz</v>
          </cell>
        </row>
        <row r="888">
          <cell r="P888" t="str">
            <v>211F0088BK2</v>
          </cell>
        </row>
        <row r="889">
          <cell r="B889" t="str">
            <v>HM-8801-CP2</v>
          </cell>
        </row>
        <row r="889">
          <cell r="P889" t="str">
            <v>110F0088CP1</v>
          </cell>
        </row>
        <row r="890">
          <cell r="B890" t="str">
            <v>HM-8809-ORB</v>
          </cell>
        </row>
        <row r="890">
          <cell r="P890" t="str">
            <v>223F0088OB1</v>
          </cell>
        </row>
        <row r="891">
          <cell r="B891" t="str">
            <v>HM-8809-BN</v>
          </cell>
        </row>
        <row r="891">
          <cell r="P891" t="str">
            <v>223F0088BN1</v>
          </cell>
        </row>
        <row r="892">
          <cell r="B892" t="str">
            <v>HM-8809-CP</v>
          </cell>
        </row>
        <row r="892">
          <cell r="P892" t="str">
            <v>223F0088CP1</v>
          </cell>
        </row>
        <row r="893">
          <cell r="B893" t="str">
            <v>HM-105-ORB-ZZ</v>
          </cell>
        </row>
        <row r="893">
          <cell r="P893" t="str">
            <v>130F0105OB1</v>
          </cell>
        </row>
        <row r="894">
          <cell r="B894" t="str">
            <v>8801CPJB-1</v>
          </cell>
        </row>
        <row r="894">
          <cell r="P894" t="str">
            <v>110F0088CP1</v>
          </cell>
        </row>
        <row r="895">
          <cell r="B895" t="str">
            <v>HM-8804-ORB1</v>
          </cell>
        </row>
        <row r="895">
          <cell r="P895" t="str">
            <v>140F0088OB1</v>
          </cell>
        </row>
        <row r="896">
          <cell r="B896" t="str">
            <v>HM-8804-BK1</v>
          </cell>
        </row>
        <row r="896">
          <cell r="P896" t="str">
            <v>140F0088BK1</v>
          </cell>
        </row>
        <row r="897">
          <cell r="B897" t="str">
            <v>HM-105-BN-ZZ</v>
          </cell>
        </row>
        <row r="897">
          <cell r="P897" t="str">
            <v>130F0105BN1</v>
          </cell>
        </row>
        <row r="898">
          <cell r="B898" t="str">
            <v>HM-105-ORB-ZZ</v>
          </cell>
        </row>
        <row r="898">
          <cell r="P898" t="str">
            <v>130F0105OB1</v>
          </cell>
        </row>
        <row r="899">
          <cell r="B899" t="str">
            <v>HM-8804-BN1</v>
          </cell>
        </row>
        <row r="899">
          <cell r="P899" t="str">
            <v>140F0088BN1</v>
          </cell>
        </row>
        <row r="900">
          <cell r="B900" t="str">
            <v>8901BK-QC1</v>
          </cell>
        </row>
        <row r="900">
          <cell r="P900" t="str">
            <v>110F0089BK1</v>
          </cell>
        </row>
        <row r="901">
          <cell r="B901" t="str">
            <v>8901CP-QC1</v>
          </cell>
        </row>
        <row r="901">
          <cell r="P901" t="str">
            <v>110F0089CP1</v>
          </cell>
        </row>
        <row r="902">
          <cell r="B902" t="str">
            <v>8901ORB-QC1</v>
          </cell>
        </row>
        <row r="902">
          <cell r="P902" t="str">
            <v>110F0089OB1</v>
          </cell>
        </row>
        <row r="903">
          <cell r="B903" t="str">
            <v>8901BG-QC1</v>
          </cell>
        </row>
        <row r="903">
          <cell r="P903" t="str">
            <v>110F0089BG1</v>
          </cell>
        </row>
        <row r="904">
          <cell r="B904" t="str">
            <v>8901BG QC1</v>
          </cell>
        </row>
        <row r="904">
          <cell r="P904" t="str">
            <v>110F0089BG1</v>
          </cell>
        </row>
        <row r="905">
          <cell r="B905" t="str">
            <v>8901ORB QC1</v>
          </cell>
        </row>
        <row r="905">
          <cell r="P905" t="str">
            <v>110F0089OB1</v>
          </cell>
        </row>
        <row r="906">
          <cell r="B906" t="str">
            <v>8901BK QC1</v>
          </cell>
        </row>
        <row r="906">
          <cell r="P906" t="str">
            <v>110F0089BK1</v>
          </cell>
        </row>
        <row r="907">
          <cell r="B907" t="str">
            <v>8901BN QC1</v>
          </cell>
        </row>
        <row r="907">
          <cell r="P907" t="str">
            <v>110F0089BN1</v>
          </cell>
        </row>
        <row r="908">
          <cell r="B908" t="str">
            <v>8901CP QC1</v>
          </cell>
        </row>
        <row r="908">
          <cell r="P908" t="str">
            <v>110F0089CP1</v>
          </cell>
        </row>
        <row r="909">
          <cell r="B909" t="str">
            <v>8904ORB QC1</v>
          </cell>
        </row>
        <row r="909">
          <cell r="P909" t="str">
            <v>140F0089OB1</v>
          </cell>
        </row>
        <row r="910">
          <cell r="B910" t="str">
            <v>8904CP QC1</v>
          </cell>
        </row>
        <row r="910">
          <cell r="P910" t="str">
            <v>140F0089CP1</v>
          </cell>
        </row>
        <row r="911">
          <cell r="B911" t="str">
            <v>8904BG QC1</v>
          </cell>
        </row>
        <row r="911">
          <cell r="P911" t="str">
            <v>140F0089BG1</v>
          </cell>
        </row>
        <row r="912">
          <cell r="B912" t="str">
            <v>8909BK QC1</v>
          </cell>
        </row>
        <row r="912">
          <cell r="P912" t="str">
            <v>223F0089BK1</v>
          </cell>
        </row>
        <row r="913">
          <cell r="B913" t="str">
            <v>8909BG QC1</v>
          </cell>
        </row>
        <row r="913">
          <cell r="P913" t="str">
            <v>223F0089BG1</v>
          </cell>
        </row>
        <row r="914">
          <cell r="B914" t="str">
            <v>8909BN QC1</v>
          </cell>
        </row>
        <row r="914">
          <cell r="P914" t="str">
            <v>223F0089BN1</v>
          </cell>
        </row>
        <row r="915">
          <cell r="B915" t="str">
            <v>HM-8808-ORB-zz</v>
          </cell>
        </row>
        <row r="915">
          <cell r="P915" t="str">
            <v>222F0088OB1</v>
          </cell>
        </row>
        <row r="916">
          <cell r="B916" t="str">
            <v>HM-8808-BK-zz</v>
          </cell>
        </row>
        <row r="916">
          <cell r="P916" t="str">
            <v>222F0088BK1</v>
          </cell>
        </row>
        <row r="917">
          <cell r="B917" t="str">
            <v>HM-8807-BG-zz</v>
          </cell>
        </row>
        <row r="917">
          <cell r="P917" t="str">
            <v>221F0088BG1</v>
          </cell>
        </row>
        <row r="918">
          <cell r="B918" t="str">
            <v>HM-8808-BG-zz</v>
          </cell>
        </row>
        <row r="918">
          <cell r="P918" t="str">
            <v>222F0088BG1</v>
          </cell>
        </row>
        <row r="919">
          <cell r="B919" t="str">
            <v>HM-8801-BN2</v>
          </cell>
        </row>
        <row r="919">
          <cell r="P919" t="str">
            <v>110F0088BN1</v>
          </cell>
        </row>
        <row r="920">
          <cell r="B920" t="str">
            <v>HM-8801-CP2</v>
          </cell>
        </row>
        <row r="920">
          <cell r="P920" t="str">
            <v>110F0088CP1</v>
          </cell>
        </row>
        <row r="921">
          <cell r="B921" t="str">
            <v>3003BN QC1</v>
          </cell>
        </row>
        <row r="921">
          <cell r="P921" t="str">
            <v>220F3003BN2</v>
          </cell>
        </row>
        <row r="922">
          <cell r="B922" t="str">
            <v>3003BK QC1</v>
          </cell>
        </row>
        <row r="922">
          <cell r="P922" t="str">
            <v>220F3003BK1</v>
          </cell>
        </row>
        <row r="923">
          <cell r="B923" t="str">
            <v>3003CP QC1</v>
          </cell>
        </row>
        <row r="923">
          <cell r="P923" t="str">
            <v>220F3003CP1</v>
          </cell>
        </row>
        <row r="924">
          <cell r="B924" t="str">
            <v>3003BG QC1</v>
          </cell>
        </row>
        <row r="924">
          <cell r="P924" t="str">
            <v>220F3003BG1</v>
          </cell>
        </row>
        <row r="925">
          <cell r="B925" t="str">
            <v>3003ORB QC1</v>
          </cell>
        </row>
        <row r="925">
          <cell r="P925" t="str">
            <v>220F3003OB1</v>
          </cell>
        </row>
        <row r="926">
          <cell r="B926" t="str">
            <v>5002BK QC1</v>
          </cell>
        </row>
        <row r="926">
          <cell r="P926" t="str">
            <v>231F5002BK1</v>
          </cell>
        </row>
        <row r="927">
          <cell r="B927" t="str">
            <v>1006ORB QC1</v>
          </cell>
        </row>
        <row r="927">
          <cell r="P927" t="str">
            <v>211F1006OB1</v>
          </cell>
        </row>
        <row r="928">
          <cell r="B928" t="str">
            <v>1006CP QC1</v>
          </cell>
        </row>
        <row r="928">
          <cell r="P928" t="str">
            <v>211F1006CP1</v>
          </cell>
        </row>
        <row r="929">
          <cell r="B929" t="str">
            <v>1006BG QC1</v>
          </cell>
        </row>
        <row r="929">
          <cell r="P929" t="str">
            <v>211F1006BG1</v>
          </cell>
        </row>
        <row r="930">
          <cell r="B930" t="str">
            <v>1006BK QC1</v>
          </cell>
        </row>
        <row r="930">
          <cell r="P930" t="str">
            <v>211F1006BK2</v>
          </cell>
        </row>
        <row r="931">
          <cell r="B931" t="str">
            <v>1006BN QC1</v>
          </cell>
        </row>
        <row r="931">
          <cell r="P931" t="str">
            <v>211F1006BN2</v>
          </cell>
        </row>
        <row r="932">
          <cell r="B932" t="str">
            <v>1007BN QC1</v>
          </cell>
        </row>
        <row r="932">
          <cell r="P932" t="str">
            <v>211F1007BN3</v>
          </cell>
        </row>
        <row r="933">
          <cell r="B933" t="str">
            <v>1005BK QC1</v>
          </cell>
        </row>
        <row r="933">
          <cell r="P933" t="str">
            <v>211F1005BK2</v>
          </cell>
        </row>
        <row r="934">
          <cell r="B934" t="str">
            <v>1005BG QC1</v>
          </cell>
        </row>
        <row r="934">
          <cell r="P934" t="str">
            <v>211F1005BG4</v>
          </cell>
        </row>
        <row r="935">
          <cell r="B935" t="str">
            <v>1005ORB QC1</v>
          </cell>
        </row>
        <row r="935">
          <cell r="P935" t="str">
            <v>211F1005OB1</v>
          </cell>
        </row>
        <row r="936">
          <cell r="B936" t="str">
            <v>3007BN QC1</v>
          </cell>
        </row>
        <row r="936">
          <cell r="P936" t="str">
            <v>230F3007BN3</v>
          </cell>
        </row>
        <row r="937">
          <cell r="B937" t="str">
            <v>3007BK QC1</v>
          </cell>
        </row>
        <row r="937">
          <cell r="P937" t="str">
            <v>230F3007BK1</v>
          </cell>
        </row>
        <row r="938">
          <cell r="B938" t="str">
            <v>3007BG QC1</v>
          </cell>
        </row>
        <row r="938">
          <cell r="P938" t="str">
            <v>230F3007BG4</v>
          </cell>
        </row>
        <row r="939">
          <cell r="B939" t="str">
            <v>8809BN JB-1</v>
          </cell>
        </row>
        <row r="939">
          <cell r="P939" t="str">
            <v>223F0088BN1</v>
          </cell>
        </row>
        <row r="940">
          <cell r="B940" t="str">
            <v>8809BG JB-1</v>
          </cell>
        </row>
        <row r="940">
          <cell r="P940" t="str">
            <v>223F0088BG1</v>
          </cell>
        </row>
        <row r="941">
          <cell r="B941" t="str">
            <v>8809CP JB-1</v>
          </cell>
        </row>
        <row r="941">
          <cell r="P941" t="str">
            <v>223F0088CP1</v>
          </cell>
        </row>
        <row r="942">
          <cell r="B942" t="str">
            <v>LD8908BN</v>
          </cell>
        </row>
        <row r="942">
          <cell r="P942" t="str">
            <v>222F0089BN1</v>
          </cell>
        </row>
        <row r="943">
          <cell r="B943" t="str">
            <v>LD8908ORB</v>
          </cell>
        </row>
        <row r="943">
          <cell r="P943" t="str">
            <v>222F0089OB1</v>
          </cell>
        </row>
        <row r="944">
          <cell r="B944" t="str">
            <v>LD8907CP</v>
          </cell>
        </row>
        <row r="944">
          <cell r="P944" t="str">
            <v>221F0089CP1</v>
          </cell>
        </row>
        <row r="945">
          <cell r="B945" t="str">
            <v>LD8907BG</v>
          </cell>
        </row>
        <row r="945">
          <cell r="P945" t="str">
            <v>221F0089BG1</v>
          </cell>
        </row>
        <row r="946">
          <cell r="B946" t="str">
            <v>HM-8801-ORB</v>
          </cell>
        </row>
        <row r="946">
          <cell r="P946" t="str">
            <v>110F0088OB1</v>
          </cell>
        </row>
        <row r="947">
          <cell r="B947" t="str">
            <v>HM-8801-BN</v>
          </cell>
        </row>
        <row r="947">
          <cell r="P947" t="str">
            <v>110F0088BN1</v>
          </cell>
        </row>
        <row r="948">
          <cell r="B948" t="str">
            <v>HM-8801-CP</v>
          </cell>
        </row>
        <row r="948">
          <cell r="P948" t="str">
            <v>110F0088CP1</v>
          </cell>
        </row>
        <row r="949">
          <cell r="B949" t="str">
            <v>LD8904ORB</v>
          </cell>
        </row>
        <row r="949">
          <cell r="P949" t="str">
            <v>140F0089OB1</v>
          </cell>
        </row>
        <row r="950">
          <cell r="B950" t="str">
            <v>LD890ORB</v>
          </cell>
        </row>
        <row r="950">
          <cell r="P950" t="str">
            <v>110F0089OB1</v>
          </cell>
        </row>
        <row r="951">
          <cell r="B951" t="str">
            <v>LD890BN</v>
          </cell>
        </row>
        <row r="951">
          <cell r="P951" t="str">
            <v>110F0089BN1</v>
          </cell>
        </row>
        <row r="952">
          <cell r="B952" t="str">
            <v>LD890BK</v>
          </cell>
        </row>
        <row r="952">
          <cell r="P952" t="str">
            <v>110F0089BK1</v>
          </cell>
        </row>
        <row r="953">
          <cell r="B953" t="str">
            <v>LD890BG</v>
          </cell>
        </row>
        <row r="953">
          <cell r="P953" t="str">
            <v>110F0089BG1</v>
          </cell>
        </row>
        <row r="954">
          <cell r="B954" t="str">
            <v>3003BG QC1</v>
          </cell>
        </row>
        <row r="954">
          <cell r="P954" t="str">
            <v>220F3003BG1</v>
          </cell>
        </row>
        <row r="955">
          <cell r="B955" t="str">
            <v>3003BN QC1</v>
          </cell>
        </row>
        <row r="955">
          <cell r="P955" t="str">
            <v>220F3003BN2</v>
          </cell>
        </row>
        <row r="956">
          <cell r="B956" t="str">
            <v>3003CP QC1</v>
          </cell>
        </row>
        <row r="956">
          <cell r="P956" t="str">
            <v>220F3003CP1</v>
          </cell>
        </row>
        <row r="957">
          <cell r="B957" t="str">
            <v>3003BK QC1</v>
          </cell>
        </row>
        <row r="957">
          <cell r="P957" t="str">
            <v>220F3003BK1</v>
          </cell>
        </row>
        <row r="958">
          <cell r="B958" t="str">
            <v>3003ORB QC1</v>
          </cell>
        </row>
        <row r="958">
          <cell r="P958" t="str">
            <v>220F3003OB1</v>
          </cell>
        </row>
        <row r="959">
          <cell r="B959" t="str">
            <v>3004ORB QC1</v>
          </cell>
        </row>
        <row r="959">
          <cell r="P959" t="str">
            <v>240F3004OB1</v>
          </cell>
        </row>
        <row r="960">
          <cell r="B960" t="str">
            <v>MP107BG LD1</v>
          </cell>
        </row>
        <row r="960">
          <cell r="P960" t="str">
            <v>140F0107BG1</v>
          </cell>
        </row>
        <row r="961">
          <cell r="B961" t="str">
            <v>MP104BG LD1</v>
          </cell>
        </row>
        <row r="961">
          <cell r="P961" t="str">
            <v>130F0104BG1</v>
          </cell>
        </row>
        <row r="962">
          <cell r="B962" t="str">
            <v>MP103CP  LD1</v>
          </cell>
        </row>
        <row r="962">
          <cell r="P962" t="str">
            <v>130F0103CP1</v>
          </cell>
        </row>
        <row r="963">
          <cell r="B963" t="str">
            <v>MP103BN LD1</v>
          </cell>
        </row>
        <row r="963">
          <cell r="P963" t="str">
            <v>130F0103BN1</v>
          </cell>
        </row>
        <row r="964">
          <cell r="B964" t="str">
            <v>MP102CP LD1</v>
          </cell>
        </row>
        <row r="964">
          <cell r="P964" t="str">
            <v>120F0102CP1</v>
          </cell>
        </row>
        <row r="965">
          <cell r="B965" t="str">
            <v>MP102ORB LD1</v>
          </cell>
        </row>
        <row r="965">
          <cell r="P965" t="str">
            <v>120F0102OB1</v>
          </cell>
        </row>
        <row r="966">
          <cell r="B966" t="str">
            <v>MP104ORB LD1</v>
          </cell>
        </row>
        <row r="966">
          <cell r="P966" t="str">
            <v>130F0104OB1</v>
          </cell>
        </row>
        <row r="967">
          <cell r="B967" t="str">
            <v>MP107ORB LD1</v>
          </cell>
        </row>
        <row r="967">
          <cell r="P967" t="str">
            <v>140F0107OB1</v>
          </cell>
        </row>
        <row r="968">
          <cell r="B968" t="str">
            <v>MP102BK LD1</v>
          </cell>
        </row>
        <row r="968">
          <cell r="P968" t="str">
            <v>120F0102BK1</v>
          </cell>
        </row>
        <row r="969">
          <cell r="B969" t="str">
            <v>MP103BK LD1</v>
          </cell>
        </row>
        <row r="969">
          <cell r="P969" t="str">
            <v>130F0103BK1</v>
          </cell>
        </row>
        <row r="970">
          <cell r="B970" t="str">
            <v>MP104CP LD1</v>
          </cell>
        </row>
        <row r="970">
          <cell r="P970" t="str">
            <v>130F0104CP1</v>
          </cell>
        </row>
        <row r="971">
          <cell r="B971" t="str">
            <v>MP106BN LD1</v>
          </cell>
        </row>
        <row r="971">
          <cell r="P971" t="str">
            <v>130F0106BN2</v>
          </cell>
        </row>
        <row r="972">
          <cell r="B972" t="str">
            <v>MP106ORB LD1</v>
          </cell>
        </row>
        <row r="972">
          <cell r="P972" t="str">
            <v>130F0106OB1</v>
          </cell>
        </row>
        <row r="973">
          <cell r="B973" t="str">
            <v>MP106BG LD1</v>
          </cell>
        </row>
        <row r="973">
          <cell r="P973" t="str">
            <v>130F0106BG1</v>
          </cell>
        </row>
        <row r="974">
          <cell r="B974" t="str">
            <v>MP107BN LD1</v>
          </cell>
        </row>
        <row r="974">
          <cell r="P974" t="str">
            <v>140F0107BN2</v>
          </cell>
        </row>
        <row r="975">
          <cell r="B975" t="str">
            <v>MP101ORB LD1</v>
          </cell>
        </row>
        <row r="975">
          <cell r="P975" t="str">
            <v>110F0101OB1</v>
          </cell>
        </row>
        <row r="976">
          <cell r="B976" t="str">
            <v>MP101BK LD1</v>
          </cell>
        </row>
        <row r="976">
          <cell r="P976" t="str">
            <v>110F0101BK1</v>
          </cell>
        </row>
        <row r="977">
          <cell r="B977" t="str">
            <v>MP106BK LD1</v>
          </cell>
        </row>
        <row r="977">
          <cell r="P977" t="str">
            <v>130F0106BK1</v>
          </cell>
        </row>
        <row r="978">
          <cell r="B978" t="str">
            <v>MP105BN LD1</v>
          </cell>
        </row>
        <row r="978">
          <cell r="P978" t="str">
            <v>130F0105BN1</v>
          </cell>
        </row>
        <row r="979">
          <cell r="B979" t="str">
            <v>MP101BG LD1</v>
          </cell>
        </row>
        <row r="979">
          <cell r="P979" t="str">
            <v>110F0101BG1</v>
          </cell>
        </row>
        <row r="980">
          <cell r="B980" t="str">
            <v>MP104BK LD1</v>
          </cell>
        </row>
        <row r="980">
          <cell r="P980" t="str">
            <v>130F0104BK1</v>
          </cell>
        </row>
        <row r="981">
          <cell r="B981" t="str">
            <v>MP103BG LD1</v>
          </cell>
        </row>
        <row r="981">
          <cell r="P981" t="str">
            <v>130F0103BG1</v>
          </cell>
        </row>
        <row r="982">
          <cell r="B982" t="str">
            <v>MP102BG LD1</v>
          </cell>
        </row>
        <row r="982">
          <cell r="P982" t="str">
            <v>120F0102BG1</v>
          </cell>
        </row>
        <row r="983">
          <cell r="B983" t="str">
            <v>MP105BG LD1</v>
          </cell>
        </row>
        <row r="983">
          <cell r="P983" t="str">
            <v>130F0105BG1</v>
          </cell>
        </row>
        <row r="984">
          <cell r="B984" t="str">
            <v>MP105BK LD1</v>
          </cell>
        </row>
        <row r="984">
          <cell r="P984" t="str">
            <v>130F0105BK1</v>
          </cell>
        </row>
        <row r="985">
          <cell r="B985" t="str">
            <v>MP104BN LD1</v>
          </cell>
        </row>
        <row r="985">
          <cell r="P985" t="str">
            <v>130F0104BN1</v>
          </cell>
        </row>
        <row r="986">
          <cell r="B986" t="str">
            <v>MP102BN LD1</v>
          </cell>
        </row>
        <row r="986">
          <cell r="P986" t="str">
            <v>120F0102BN2</v>
          </cell>
        </row>
        <row r="987">
          <cell r="B987" t="str">
            <v>MP105CP LD1</v>
          </cell>
        </row>
        <row r="987">
          <cell r="P987" t="str">
            <v>130F0105CP1</v>
          </cell>
        </row>
        <row r="988">
          <cell r="B988" t="str">
            <v>MP107BK LD1</v>
          </cell>
        </row>
        <row r="988">
          <cell r="P988" t="str">
            <v>140F0107BK1</v>
          </cell>
        </row>
        <row r="989">
          <cell r="B989" t="str">
            <v>MP101BN LD1</v>
          </cell>
        </row>
        <row r="989">
          <cell r="P989" t="str">
            <v>110F0101BN2</v>
          </cell>
        </row>
        <row r="990">
          <cell r="B990" t="str">
            <v>3006BN JB1</v>
          </cell>
        </row>
        <row r="990">
          <cell r="P990" t="str">
            <v>231F3006BN2</v>
          </cell>
        </row>
        <row r="991">
          <cell r="B991" t="str">
            <v>3006CP JB1</v>
          </cell>
        </row>
        <row r="991">
          <cell r="P991" t="str">
            <v>231F3006CP1</v>
          </cell>
        </row>
        <row r="992">
          <cell r="B992" t="str">
            <v>3006ORB JB1</v>
          </cell>
        </row>
        <row r="992">
          <cell r="P992" t="str">
            <v>231F3006OB1</v>
          </cell>
        </row>
        <row r="993">
          <cell r="B993" t="str">
            <v>MP104BK JB1</v>
          </cell>
        </row>
        <row r="993">
          <cell r="P993" t="str">
            <v>130F0104BK1</v>
          </cell>
        </row>
        <row r="994">
          <cell r="B994" t="str">
            <v>3006BG JB1</v>
          </cell>
        </row>
        <row r="994">
          <cell r="P994" t="str">
            <v>231F3006BG1</v>
          </cell>
        </row>
        <row r="995">
          <cell r="B995" t="str">
            <v>MP105BK JB1</v>
          </cell>
        </row>
        <row r="995">
          <cell r="P995" t="str">
            <v>130F0105BK1</v>
          </cell>
        </row>
        <row r="996">
          <cell r="B996" t="str">
            <v>MP104BN JB1</v>
          </cell>
        </row>
        <row r="996">
          <cell r="P996" t="str">
            <v>130F0104BN1</v>
          </cell>
        </row>
        <row r="997">
          <cell r="B997" t="str">
            <v>MP105BN JB1</v>
          </cell>
        </row>
        <row r="997">
          <cell r="P997" t="str">
            <v>130F0105BN1</v>
          </cell>
        </row>
        <row r="998">
          <cell r="B998" t="str">
            <v>3006BK JB1</v>
          </cell>
        </row>
        <row r="998">
          <cell r="P998" t="str">
            <v>231F3006BK1</v>
          </cell>
        </row>
        <row r="999">
          <cell r="B999" t="str">
            <v>MP104CP JB1</v>
          </cell>
        </row>
        <row r="999">
          <cell r="P999" t="str">
            <v>130F0104CP1</v>
          </cell>
        </row>
        <row r="1000">
          <cell r="B1000" t="str">
            <v>MP105CP JB1</v>
          </cell>
        </row>
        <row r="1000">
          <cell r="P1000" t="str">
            <v>130F0105CP1</v>
          </cell>
        </row>
        <row r="1001">
          <cell r="B1001" t="str">
            <v>3002BG HM1</v>
          </cell>
        </row>
        <row r="1001">
          <cell r="P1001" t="str">
            <v>221F3002BG4</v>
          </cell>
        </row>
        <row r="1002">
          <cell r="B1002" t="str">
            <v>5001BK HM1</v>
          </cell>
        </row>
        <row r="1002">
          <cell r="P1002" t="str">
            <v>223F5001BK1</v>
          </cell>
        </row>
        <row r="1003">
          <cell r="B1003" t="str">
            <v>5001ORB HM1</v>
          </cell>
        </row>
        <row r="1003">
          <cell r="P1003" t="str">
            <v>223F5001OB1</v>
          </cell>
        </row>
        <row r="1004">
          <cell r="B1004" t="str">
            <v>3002ORB HM1</v>
          </cell>
        </row>
        <row r="1004">
          <cell r="P1004" t="str">
            <v>221F3002OB1</v>
          </cell>
        </row>
        <row r="1005">
          <cell r="B1005" t="str">
            <v>5001CP HM1</v>
          </cell>
        </row>
        <row r="1005">
          <cell r="P1005" t="str">
            <v>223F5001CP1</v>
          </cell>
        </row>
        <row r="1006">
          <cell r="B1006" t="str">
            <v>5001BN HM1</v>
          </cell>
        </row>
        <row r="1006">
          <cell r="P1006" t="str">
            <v>223F5001BN3</v>
          </cell>
        </row>
        <row r="1007">
          <cell r="B1007" t="str">
            <v>5001BG HM1</v>
          </cell>
        </row>
        <row r="1007">
          <cell r="P1007" t="str">
            <v>223F5001BG4</v>
          </cell>
        </row>
        <row r="1008">
          <cell r="B1008" t="str">
            <v>3002BK HM1</v>
          </cell>
        </row>
        <row r="1008">
          <cell r="P1008" t="str">
            <v>221F3002BK1</v>
          </cell>
        </row>
        <row r="1009">
          <cell r="B1009" t="str">
            <v>1006ORB QC1</v>
          </cell>
        </row>
        <row r="1009">
          <cell r="P1009" t="str">
            <v>211F1006OB1</v>
          </cell>
        </row>
        <row r="1010">
          <cell r="B1010" t="str">
            <v>1005BG QC1</v>
          </cell>
        </row>
        <row r="1010">
          <cell r="P1010" t="str">
            <v>211F1005BG4</v>
          </cell>
        </row>
        <row r="1011">
          <cell r="B1011" t="str">
            <v>5002ORB QC1</v>
          </cell>
        </row>
        <row r="1011">
          <cell r="P1011" t="str">
            <v>231F5002OB1</v>
          </cell>
        </row>
        <row r="1012">
          <cell r="B1012" t="str">
            <v>1007BK QC1</v>
          </cell>
        </row>
        <row r="1012">
          <cell r="P1012" t="str">
            <v>211F1007BK2</v>
          </cell>
        </row>
        <row r="1013">
          <cell r="B1013" t="str">
            <v>1006BG QC1</v>
          </cell>
        </row>
        <row r="1013">
          <cell r="P1013" t="str">
            <v>211F1006BG1</v>
          </cell>
        </row>
        <row r="1014">
          <cell r="B1014" t="str">
            <v>5002BK QC1</v>
          </cell>
        </row>
        <row r="1014">
          <cell r="P1014" t="str">
            <v>231F5002BK1</v>
          </cell>
        </row>
        <row r="1015">
          <cell r="B1015" t="str">
            <v>1005BK QC1</v>
          </cell>
        </row>
        <row r="1015">
          <cell r="P1015" t="str">
            <v>211F1005BK2</v>
          </cell>
        </row>
        <row r="1016">
          <cell r="B1016" t="str">
            <v>1006BK QC1</v>
          </cell>
        </row>
        <row r="1016">
          <cell r="P1016" t="str">
            <v>211F1006BK2</v>
          </cell>
        </row>
        <row r="1017">
          <cell r="B1017" t="str">
            <v>3008BK QC1</v>
          </cell>
        </row>
        <row r="1017">
          <cell r="P1017" t="str">
            <v>230F3008BK1</v>
          </cell>
        </row>
        <row r="1018">
          <cell r="B1018" t="str">
            <v>5002CP QC1</v>
          </cell>
        </row>
        <row r="1018">
          <cell r="P1018" t="str">
            <v>231F5002CP1</v>
          </cell>
        </row>
        <row r="1019">
          <cell r="B1019" t="str">
            <v>3007BK QC1</v>
          </cell>
        </row>
        <row r="1019">
          <cell r="P1019" t="str">
            <v>230F3007BK1</v>
          </cell>
        </row>
        <row r="1020">
          <cell r="B1020" t="str">
            <v>3007BG QC1</v>
          </cell>
        </row>
        <row r="1020">
          <cell r="P1020" t="str">
            <v>230F3007BG4</v>
          </cell>
        </row>
        <row r="1021">
          <cell r="B1021" t="str">
            <v>1005BN QC1</v>
          </cell>
        </row>
        <row r="1021">
          <cell r="P1021" t="str">
            <v>211F1005BN3</v>
          </cell>
        </row>
        <row r="1022">
          <cell r="B1022" t="str">
            <v>1006BN QC1</v>
          </cell>
        </row>
        <row r="1022">
          <cell r="P1022" t="str">
            <v>211F1006BN2</v>
          </cell>
        </row>
        <row r="1023">
          <cell r="B1023" t="str">
            <v>3007CP QC1</v>
          </cell>
        </row>
        <row r="1023">
          <cell r="P1023" t="str">
            <v>230F3007CP1</v>
          </cell>
        </row>
        <row r="1024">
          <cell r="B1024" t="str">
            <v>3008CP QC1</v>
          </cell>
        </row>
        <row r="1024">
          <cell r="P1024" t="str">
            <v>230F3008CP1</v>
          </cell>
        </row>
        <row r="1025">
          <cell r="B1025" t="str">
            <v>3008BG QC1</v>
          </cell>
        </row>
        <row r="1025">
          <cell r="P1025" t="str">
            <v>230F3008BG4</v>
          </cell>
        </row>
        <row r="1026">
          <cell r="B1026" t="str">
            <v>1007BN QC1</v>
          </cell>
        </row>
        <row r="1026">
          <cell r="P1026" t="str">
            <v>211F1007BN3</v>
          </cell>
        </row>
        <row r="1027">
          <cell r="B1027" t="str">
            <v>3011BK QC1</v>
          </cell>
        </row>
        <row r="1027">
          <cell r="P1027" t="str">
            <v>230F3011BK1</v>
          </cell>
        </row>
        <row r="1028">
          <cell r="B1028" t="str">
            <v>1007ORB QC1</v>
          </cell>
        </row>
        <row r="1028">
          <cell r="P1028" t="str">
            <v>211F1007OB1</v>
          </cell>
        </row>
        <row r="1029">
          <cell r="B1029" t="str">
            <v>1006CP QC1</v>
          </cell>
        </row>
        <row r="1029">
          <cell r="P1029" t="str">
            <v>211F1006CP1</v>
          </cell>
        </row>
        <row r="1030">
          <cell r="B1030" t="str">
            <v>1007BG QC1</v>
          </cell>
        </row>
        <row r="1030">
          <cell r="P1030" t="str">
            <v>211F1007BG4</v>
          </cell>
        </row>
        <row r="1031">
          <cell r="B1031" t="str">
            <v>1005CP QC1</v>
          </cell>
        </row>
        <row r="1031">
          <cell r="P1031" t="str">
            <v>211F1005CP1</v>
          </cell>
        </row>
        <row r="1032">
          <cell r="B1032" t="str">
            <v>3008BN QC1</v>
          </cell>
        </row>
        <row r="1032">
          <cell r="P1032" t="str">
            <v>230F3008BN3</v>
          </cell>
        </row>
        <row r="1033">
          <cell r="B1033" t="str">
            <v>5002BG QC1</v>
          </cell>
        </row>
        <row r="1033">
          <cell r="P1033" t="str">
            <v>231F5002BG4</v>
          </cell>
        </row>
        <row r="1034">
          <cell r="B1034" t="str">
            <v>3007BN QC1</v>
          </cell>
        </row>
        <row r="1034">
          <cell r="P1034" t="str">
            <v>230F3007BN3</v>
          </cell>
        </row>
        <row r="1035">
          <cell r="B1035" t="str">
            <v>3008ORB QC1</v>
          </cell>
        </row>
        <row r="1035">
          <cell r="P1035" t="str">
            <v>230F3008OB1</v>
          </cell>
        </row>
        <row r="1036">
          <cell r="B1036" t="str">
            <v>1007CP QC1</v>
          </cell>
        </row>
        <row r="1036">
          <cell r="P1036" t="str">
            <v>211F1007CP1</v>
          </cell>
        </row>
        <row r="1037">
          <cell r="B1037" t="str">
            <v>3007ORB QC1</v>
          </cell>
        </row>
        <row r="1037">
          <cell r="P1037" t="str">
            <v>230F3007OB1</v>
          </cell>
        </row>
        <row r="1038">
          <cell r="B1038" t="str">
            <v>5002BN QC1</v>
          </cell>
        </row>
        <row r="1038">
          <cell r="P1038" t="str">
            <v>231F5002BN3</v>
          </cell>
        </row>
        <row r="1039">
          <cell r="B1039" t="str">
            <v>1005ORB QC1</v>
          </cell>
        </row>
        <row r="1039">
          <cell r="P1039" t="str">
            <v>211F1005OB1</v>
          </cell>
        </row>
        <row r="1040">
          <cell r="B1040" t="str">
            <v>HM-8808-BG--02</v>
          </cell>
        </row>
        <row r="1041">
          <cell r="B1041" t="str">
            <v>L2204-CP</v>
          </cell>
        </row>
        <row r="1041">
          <cell r="P1041" t="str">
            <v>140F0022CP1</v>
          </cell>
        </row>
        <row r="1042">
          <cell r="B1042" t="str">
            <v>WT-3317BN5</v>
          </cell>
        </row>
        <row r="1043">
          <cell r="B1043" t="str">
            <v>WT-3317BG3</v>
          </cell>
        </row>
        <row r="1044">
          <cell r="B1044" t="str">
            <v>Amazon.Found.B0CJQ2K9NN</v>
          </cell>
        </row>
        <row r="1044">
          <cell r="P1044" t="str">
            <v>320F0098BG1</v>
          </cell>
        </row>
        <row r="1045">
          <cell r="B1045" t="str">
            <v>Amazon.Found.B0CBLN7P3W</v>
          </cell>
        </row>
        <row r="1045">
          <cell r="P1045" t="str">
            <v>490F0022BN1</v>
          </cell>
        </row>
        <row r="1046">
          <cell r="B1046" t="str">
            <v>Amazon.Found.B0CJQ2K9NN</v>
          </cell>
        </row>
        <row r="1046">
          <cell r="P1046" t="str">
            <v>320F0098BG1</v>
          </cell>
        </row>
        <row r="1047">
          <cell r="B1047" t="str">
            <v>Amazon.Found.B0CJQ2K9NN</v>
          </cell>
        </row>
        <row r="1047">
          <cell r="P1047" t="str">
            <v>320F0098BG1</v>
          </cell>
        </row>
        <row r="1048">
          <cell r="B1048" t="str">
            <v>Amazon.Found.B0CBLN7P3W</v>
          </cell>
        </row>
        <row r="1048">
          <cell r="P1048" t="str">
            <v>490F0022BN1</v>
          </cell>
        </row>
        <row r="1049">
          <cell r="B1049" t="str">
            <v>Amazon.Found.B0CJQ2K9NN</v>
          </cell>
        </row>
        <row r="1049">
          <cell r="P1049" t="str">
            <v>320F0098BG1</v>
          </cell>
        </row>
        <row r="1050">
          <cell r="B1050" t="str">
            <v>WT-3317BK1</v>
          </cell>
        </row>
        <row r="1050">
          <cell r="P1050" t="str">
            <v>310F3317BK1</v>
          </cell>
        </row>
        <row r="1051">
          <cell r="B1051" t="str">
            <v>L2204-CP</v>
          </cell>
        </row>
        <row r="1051">
          <cell r="P1051" t="str">
            <v>140F0022CP1</v>
          </cell>
        </row>
        <row r="1052">
          <cell r="B1052" t="str">
            <v>AZ-US-SOEBIZ-13-BN</v>
          </cell>
        </row>
        <row r="1053">
          <cell r="B1053" t="str">
            <v>PHF-40-NEW</v>
          </cell>
        </row>
        <row r="1053">
          <cell r="P1053" t="str">
            <v>610F0009C01</v>
          </cell>
        </row>
        <row r="1054">
          <cell r="B1054" t="str">
            <v>PJF-40-NEW</v>
          </cell>
        </row>
        <row r="1054">
          <cell r="P1054" t="str">
            <v>610F0008C01</v>
          </cell>
        </row>
        <row r="1055">
          <cell r="B1055" t="str">
            <v>JSG-71.5-NEW</v>
          </cell>
        </row>
        <row r="1055">
          <cell r="P1055" t="str">
            <v>610F0010C01</v>
          </cell>
        </row>
        <row r="1056">
          <cell r="B1056" t="str">
            <v>L2204-ORB</v>
          </cell>
        </row>
        <row r="1056">
          <cell r="P1056" t="str">
            <v>140F0022OB1</v>
          </cell>
        </row>
        <row r="1057">
          <cell r="B1057" t="str">
            <v>L2204-ORB</v>
          </cell>
        </row>
        <row r="1057">
          <cell r="P1057" t="str">
            <v>140F0022OB1</v>
          </cell>
        </row>
        <row r="1058">
          <cell r="B1058" t="str">
            <v>SZ-S-3315-BN-01</v>
          </cell>
        </row>
        <row r="1059">
          <cell r="B1059" t="str">
            <v>SZ-S-3315-BN-01</v>
          </cell>
        </row>
        <row r="1060">
          <cell r="B1060" t="str">
            <v>JSG-70-R</v>
          </cell>
        </row>
        <row r="1060">
          <cell r="P1060" t="str">
            <v>610F0011C01</v>
          </cell>
        </row>
        <row r="1061">
          <cell r="B1061" t="str">
            <v>PHF-40</v>
          </cell>
        </row>
        <row r="1061">
          <cell r="P1061" t="str">
            <v>610F0009C01</v>
          </cell>
        </row>
        <row r="1062">
          <cell r="B1062" t="str">
            <v>JSG-69-R</v>
          </cell>
        </row>
        <row r="1062">
          <cell r="P1062" t="str">
            <v>610F0013C01</v>
          </cell>
        </row>
        <row r="1063">
          <cell r="B1063" t="str">
            <v>PJF-40</v>
          </cell>
        </row>
        <row r="1063">
          <cell r="P1063" t="str">
            <v>610F0008C01</v>
          </cell>
        </row>
        <row r="1064">
          <cell r="B1064" t="str">
            <v>JSG-71.5</v>
          </cell>
        </row>
        <row r="1064">
          <cell r="P1064" t="str">
            <v>610F0010C01</v>
          </cell>
        </row>
        <row r="1065">
          <cell r="B1065" t="str">
            <v>JSG-69</v>
          </cell>
        </row>
        <row r="1065">
          <cell r="P1065" t="str">
            <v>610F0013C01</v>
          </cell>
        </row>
        <row r="1066">
          <cell r="B1066" t="str">
            <v>JSG-71.5-B</v>
          </cell>
        </row>
        <row r="1066">
          <cell r="P1066" t="str">
            <v>610F0010C01</v>
          </cell>
        </row>
        <row r="1067">
          <cell r="B1067" t="str">
            <v>JSG-71.5-R</v>
          </cell>
        </row>
        <row r="1067">
          <cell r="P1067" t="str">
            <v>610F0010C01</v>
          </cell>
        </row>
        <row r="1068">
          <cell r="B1068" t="str">
            <v>JSG-70-B</v>
          </cell>
        </row>
        <row r="1068">
          <cell r="P1068" t="str">
            <v>610F0011C01</v>
          </cell>
        </row>
        <row r="1069">
          <cell r="B1069" t="str">
            <v>PJF-35</v>
          </cell>
        </row>
        <row r="1069">
          <cell r="P1069" t="str">
            <v>610F0007C01</v>
          </cell>
        </row>
        <row r="1070">
          <cell r="B1070" t="str">
            <v>JSG-69-B</v>
          </cell>
        </row>
        <row r="1070">
          <cell r="P1070" t="str">
            <v>610F0013C01</v>
          </cell>
        </row>
        <row r="1071">
          <cell r="B1071" t="str">
            <v>JSG-70</v>
          </cell>
        </row>
        <row r="1071">
          <cell r="P1071" t="str">
            <v>610F0011C01</v>
          </cell>
        </row>
        <row r="1072">
          <cell r="B1072" t="str">
            <v>JB-tub faucet--880708</v>
          </cell>
        </row>
        <row r="1072">
          <cell r="P1072" t="str">
            <v>222F0088CP1</v>
          </cell>
        </row>
        <row r="1073">
          <cell r="B1073" t="str">
            <v>WT-L-3313SETORB</v>
          </cell>
        </row>
        <row r="1074">
          <cell r="B1074" t="str">
            <v>SZ-L-WF-CP-04</v>
          </cell>
        </row>
        <row r="1074">
          <cell r="P1074" t="str">
            <v>暂时没有内部SKU</v>
          </cell>
        </row>
        <row r="1075">
          <cell r="B1075" t="str">
            <v>SZ-L-WF-BG-02</v>
          </cell>
        </row>
        <row r="1075">
          <cell r="P1075" t="str">
            <v>暂时没有内部SKU</v>
          </cell>
        </row>
        <row r="1076">
          <cell r="B1076" t="str">
            <v>SZ-L-SD-WF-BK-03</v>
          </cell>
        </row>
        <row r="1076">
          <cell r="P1076" t="str">
            <v>暂时没有内部SKU</v>
          </cell>
        </row>
        <row r="1077">
          <cell r="B1077" t="str">
            <v>SZ-L-SD-WF-BG-02</v>
          </cell>
        </row>
        <row r="1077">
          <cell r="P1077" t="str">
            <v>暂时没有内部SKU</v>
          </cell>
        </row>
        <row r="1078">
          <cell r="B1078" t="str">
            <v>SZ-L-WF-BK-03</v>
          </cell>
        </row>
        <row r="1078">
          <cell r="P1078" t="str">
            <v>暂时没有内部SKU</v>
          </cell>
        </row>
        <row r="1079">
          <cell r="B1079" t="str">
            <v>WT-L-3313SETBK</v>
          </cell>
        </row>
        <row r="1080">
          <cell r="B1080" t="str">
            <v>WT-L-3315WJBNZZ</v>
          </cell>
        </row>
        <row r="1081">
          <cell r="B1081" t="str">
            <v>WT-L-0013SETCP</v>
          </cell>
        </row>
        <row r="1082">
          <cell r="B1082" t="str">
            <v>WT-L-0013WJORB</v>
          </cell>
        </row>
        <row r="1083">
          <cell r="B1083" t="str">
            <v>WT-L-3314PJSETBG</v>
          </cell>
        </row>
        <row r="1084">
          <cell r="B1084" t="str">
            <v>WT-L-3315PJSETBK</v>
          </cell>
        </row>
        <row r="1085">
          <cell r="B1085" t="str">
            <v>WT-L-0013BG</v>
          </cell>
        </row>
        <row r="1086">
          <cell r="B1086" t="str">
            <v>WT-L-3315PJSETBG</v>
          </cell>
        </row>
        <row r="1087">
          <cell r="B1087" t="str">
            <v>WT-L-3315PJORB</v>
          </cell>
        </row>
        <row r="1088">
          <cell r="B1088" t="str">
            <v>WT-L-3315PJBN</v>
          </cell>
        </row>
        <row r="1089">
          <cell r="B1089" t="str">
            <v>WT-L-3315BNZZ</v>
          </cell>
        </row>
        <row r="1090">
          <cell r="B1090" t="str">
            <v>WT-L-WFSETBG</v>
          </cell>
        </row>
        <row r="1091">
          <cell r="B1091" t="str">
            <v>WT-L-3314WJSETCP</v>
          </cell>
        </row>
        <row r="1092">
          <cell r="B1092" t="str">
            <v>WT-L-WFBNZZ</v>
          </cell>
        </row>
        <row r="1093">
          <cell r="B1093" t="str">
            <v>WT-L-WFBK</v>
          </cell>
        </row>
        <row r="1094">
          <cell r="B1094" t="str">
            <v>WT-L-3315WJSETORB</v>
          </cell>
        </row>
        <row r="1095">
          <cell r="B1095" t="str">
            <v>WT-L-3315WJSETBK</v>
          </cell>
        </row>
        <row r="1096">
          <cell r="B1096" t="str">
            <v>WT-L-3315WJBG</v>
          </cell>
        </row>
        <row r="1097">
          <cell r="B1097" t="str">
            <v>WT-L-3315SETBN</v>
          </cell>
        </row>
        <row r="1098">
          <cell r="B1098" t="str">
            <v>WT-L-3315SETBK</v>
          </cell>
        </row>
        <row r="1099">
          <cell r="B1099" t="str">
            <v>WT-L-3314SETBN</v>
          </cell>
        </row>
        <row r="1100">
          <cell r="B1100" t="str">
            <v>WT-L-WFSETCP</v>
          </cell>
        </row>
        <row r="1101">
          <cell r="B1101" t="str">
            <v>WT-L-WFSETBN</v>
          </cell>
        </row>
        <row r="1102">
          <cell r="B1102" t="str">
            <v>WT-L-WFSETBK</v>
          </cell>
        </row>
        <row r="1103">
          <cell r="B1103" t="str">
            <v>WT-L-CLBNZZ</v>
          </cell>
        </row>
        <row r="1104">
          <cell r="B1104" t="str">
            <v>WT-L-CLSETCP</v>
          </cell>
        </row>
        <row r="1105">
          <cell r="B1105" t="str">
            <v>WT-L-WFCP</v>
          </cell>
        </row>
        <row r="1106">
          <cell r="B1106" t="str">
            <v>WT-L-CLBG</v>
          </cell>
        </row>
        <row r="1107">
          <cell r="B1107" t="str">
            <v>WT-L-CLSETBG</v>
          </cell>
        </row>
        <row r="1108">
          <cell r="B1108" t="str">
            <v>WT-L-CLBN</v>
          </cell>
        </row>
        <row r="1109">
          <cell r="B1109" t="str">
            <v>WT-L-3315WJBN</v>
          </cell>
        </row>
        <row r="1110">
          <cell r="B1110" t="str">
            <v>WT-L-3315SETBG</v>
          </cell>
        </row>
        <row r="1111">
          <cell r="B1111" t="str">
            <v>WT-L-3315PJCP</v>
          </cell>
        </row>
        <row r="1112">
          <cell r="B1112" t="str">
            <v>WT-L-3314PJSETBN</v>
          </cell>
        </row>
        <row r="1113">
          <cell r="B1113" t="str">
            <v>WT-L-3314SETBK</v>
          </cell>
        </row>
        <row r="1114">
          <cell r="B1114" t="str">
            <v>WT-L-3314PJSETORB</v>
          </cell>
        </row>
        <row r="1115">
          <cell r="B1115" t="str">
            <v>WT-L-0013WJBN</v>
          </cell>
        </row>
        <row r="1116">
          <cell r="B1116" t="str">
            <v>WT-L-0013SETBG</v>
          </cell>
        </row>
        <row r="1117">
          <cell r="B1117" t="str">
            <v>WT-L-3315PJBNZZ</v>
          </cell>
        </row>
        <row r="1118">
          <cell r="B1118" t="str">
            <v>WT-L-3315PJSETCP</v>
          </cell>
        </row>
        <row r="1119">
          <cell r="B1119" t="str">
            <v>WT-L-WFORB</v>
          </cell>
        </row>
        <row r="1120">
          <cell r="B1120" t="str">
            <v>WT-L-WFBN</v>
          </cell>
        </row>
        <row r="1121">
          <cell r="B1121" t="str">
            <v>WT-L-CLORB</v>
          </cell>
        </row>
        <row r="1122">
          <cell r="B1122" t="str">
            <v>WT-L-3315WJCP</v>
          </cell>
        </row>
        <row r="1123">
          <cell r="B1123" t="str">
            <v>WT-L-3315PJBK</v>
          </cell>
        </row>
        <row r="1124">
          <cell r="B1124" t="str">
            <v>WT-L-3315WJBK</v>
          </cell>
        </row>
        <row r="1125">
          <cell r="B1125" t="str">
            <v>WT-L-3315ORB</v>
          </cell>
        </row>
        <row r="1126">
          <cell r="B1126" t="str">
            <v>WT-L-3315BK</v>
          </cell>
        </row>
        <row r="1127">
          <cell r="B1127" t="str">
            <v>WT-L-3314WJCP</v>
          </cell>
        </row>
        <row r="1128">
          <cell r="B1128" t="str">
            <v>WT-L-3313BG</v>
          </cell>
        </row>
        <row r="1129">
          <cell r="B1129" t="str">
            <v>WT-L-3314CP</v>
          </cell>
        </row>
        <row r="1130">
          <cell r="B1130" t="str">
            <v>WT-L-3313SETBG</v>
          </cell>
        </row>
        <row r="1131">
          <cell r="B1131" t="str">
            <v>WT-L-3315SETCP</v>
          </cell>
        </row>
        <row r="1132">
          <cell r="B1132" t="str">
            <v>WT-L-3314SETORB</v>
          </cell>
        </row>
        <row r="1133">
          <cell r="B1133" t="str">
            <v>WT-L-3313BNZZ</v>
          </cell>
        </row>
        <row r="1134">
          <cell r="B1134" t="str">
            <v>WT-L-3315PJSETBN</v>
          </cell>
        </row>
        <row r="1135">
          <cell r="B1135" t="str">
            <v>WT-L-0013WJSETBN</v>
          </cell>
        </row>
        <row r="1136">
          <cell r="B1136" t="str">
            <v>WT-L-3313BK</v>
          </cell>
        </row>
        <row r="1137">
          <cell r="B1137" t="str">
            <v>WT-L-3314SETCP</v>
          </cell>
        </row>
        <row r="1138">
          <cell r="B1138" t="str">
            <v>WT-L-3314PJORB</v>
          </cell>
        </row>
        <row r="1139">
          <cell r="B1139" t="str">
            <v>WT-L-3315CP</v>
          </cell>
        </row>
        <row r="1140">
          <cell r="B1140" t="str">
            <v>WT-L-0013BK</v>
          </cell>
        </row>
        <row r="1141">
          <cell r="B1141" t="str">
            <v>WT-L-3314SETBG</v>
          </cell>
        </row>
        <row r="1142">
          <cell r="B1142" t="str">
            <v>WT-L-3314BG</v>
          </cell>
        </row>
        <row r="1143">
          <cell r="B1143" t="str">
            <v>WT-L-3314PJSETBK</v>
          </cell>
        </row>
        <row r="1144">
          <cell r="B1144" t="str">
            <v>WT-L-3314WJORB</v>
          </cell>
        </row>
        <row r="1145">
          <cell r="B1145" t="str">
            <v>WT-L-3314PJBK</v>
          </cell>
        </row>
        <row r="1146">
          <cell r="B1146" t="str">
            <v>WT-L-0013WJSETBG</v>
          </cell>
        </row>
        <row r="1147">
          <cell r="B1147" t="str">
            <v>WT-L-0013SETORB</v>
          </cell>
        </row>
        <row r="1148">
          <cell r="B1148" t="str">
            <v>WT-L-0013SETBN</v>
          </cell>
        </row>
        <row r="1149">
          <cell r="B1149" t="str">
            <v>WT-L-0013SETBK</v>
          </cell>
        </row>
        <row r="1150">
          <cell r="B1150" t="str">
            <v>WT-L-0013BNZZ</v>
          </cell>
        </row>
        <row r="1151">
          <cell r="B1151" t="str">
            <v>WT-L-CLSETBK</v>
          </cell>
        </row>
        <row r="1152">
          <cell r="B1152" t="str">
            <v>WT-L-3314PJCP</v>
          </cell>
        </row>
        <row r="1153">
          <cell r="B1153" t="str">
            <v>WT-L-3314WJSETBN</v>
          </cell>
        </row>
        <row r="1154">
          <cell r="B1154" t="str">
            <v>WT-L-CLCP</v>
          </cell>
        </row>
        <row r="1155">
          <cell r="B1155" t="str">
            <v>WT-L-3314BNZZ</v>
          </cell>
        </row>
        <row r="1156">
          <cell r="B1156" t="str">
            <v>WT-L-3315WJSETBN</v>
          </cell>
        </row>
        <row r="1157">
          <cell r="B1157" t="str">
            <v>WT-L-3314WJSETBG</v>
          </cell>
        </row>
        <row r="1158">
          <cell r="B1158" t="str">
            <v>WT-L-3314BN</v>
          </cell>
        </row>
        <row r="1159">
          <cell r="B1159" t="str">
            <v>WT-L-WFBG</v>
          </cell>
        </row>
        <row r="1160">
          <cell r="B1160" t="str">
            <v>WT-L-3315WJORB</v>
          </cell>
        </row>
        <row r="1161">
          <cell r="B1161" t="str">
            <v>WT-L-CLSETORB</v>
          </cell>
        </row>
        <row r="1162">
          <cell r="B1162" t="str">
            <v>WT-L-3315PJBG</v>
          </cell>
        </row>
        <row r="1163">
          <cell r="B1163" t="str">
            <v>WT-L-3314WJSETBK</v>
          </cell>
        </row>
        <row r="1164">
          <cell r="B1164" t="str">
            <v>WT-L-3314WJBK</v>
          </cell>
        </row>
        <row r="1165">
          <cell r="B1165" t="str">
            <v>WT-L-0013ORB</v>
          </cell>
        </row>
        <row r="1166">
          <cell r="B1166" t="str">
            <v>WT-L-0013CP</v>
          </cell>
        </row>
        <row r="1167">
          <cell r="B1167" t="str">
            <v>WT-L-3314WJBG</v>
          </cell>
        </row>
        <row r="1168">
          <cell r="B1168" t="str">
            <v>WT-L-0013BN</v>
          </cell>
        </row>
        <row r="1169">
          <cell r="B1169" t="str">
            <v>WT-L-0013WJCP</v>
          </cell>
        </row>
        <row r="1170">
          <cell r="B1170" t="str">
            <v>WT-L-3315BG</v>
          </cell>
        </row>
        <row r="1171">
          <cell r="B1171" t="str">
            <v>WT-L-3314WJBNZZ</v>
          </cell>
        </row>
        <row r="1172">
          <cell r="B1172" t="str">
            <v>WT-L-3314PJSETCP</v>
          </cell>
        </row>
        <row r="1173">
          <cell r="B1173" t="str">
            <v>WT-L-WFSETORB</v>
          </cell>
        </row>
        <row r="1174">
          <cell r="B1174" t="str">
            <v>WT-L-3314WJBN</v>
          </cell>
        </row>
        <row r="1175">
          <cell r="B1175" t="str">
            <v>WT-L-3314PJBNZZ</v>
          </cell>
        </row>
        <row r="1176">
          <cell r="B1176" t="str">
            <v>WT-L-CLBK</v>
          </cell>
        </row>
        <row r="1177">
          <cell r="B1177" t="str">
            <v>WT-L-3314PJBN</v>
          </cell>
        </row>
        <row r="1178">
          <cell r="B1178" t="str">
            <v>WT-L-3314PJBG</v>
          </cell>
        </row>
        <row r="1179">
          <cell r="B1179" t="str">
            <v>WT-L-CLSETBN</v>
          </cell>
        </row>
        <row r="1180">
          <cell r="B1180" t="str">
            <v>WT-L-3315WJSETBG</v>
          </cell>
        </row>
        <row r="1181">
          <cell r="B1181" t="str">
            <v>WT-L-3315WJSETCP</v>
          </cell>
        </row>
        <row r="1182">
          <cell r="B1182" t="str">
            <v>WT-L-3313ORB</v>
          </cell>
        </row>
        <row r="1183">
          <cell r="B1183" t="str">
            <v>WT-L-3315SETORB</v>
          </cell>
        </row>
        <row r="1184">
          <cell r="B1184" t="str">
            <v>WT-L-3315PJSETORB</v>
          </cell>
        </row>
        <row r="1185">
          <cell r="B1185" t="str">
            <v>WT-L-0013WJSETORB</v>
          </cell>
        </row>
        <row r="1186">
          <cell r="B1186" t="str">
            <v>WT-L-3314BK</v>
          </cell>
        </row>
        <row r="1187">
          <cell r="B1187" t="str">
            <v>WT-L-3315BN</v>
          </cell>
        </row>
        <row r="1188">
          <cell r="B1188" t="str">
            <v>WT-L-0013WJBG</v>
          </cell>
        </row>
        <row r="1189">
          <cell r="B1189" t="str">
            <v>WT-L-3314WJSETORB</v>
          </cell>
        </row>
        <row r="1190">
          <cell r="B1190" t="str">
            <v>WT-L-3313SETBN</v>
          </cell>
        </row>
        <row r="1191">
          <cell r="B1191" t="str">
            <v>WT-L-3314ORB</v>
          </cell>
        </row>
        <row r="1192">
          <cell r="B1192" t="str">
            <v>WT-L-0013WJSETCP</v>
          </cell>
        </row>
        <row r="1193">
          <cell r="B1193" t="str">
            <v>WT-L-3313SETCP</v>
          </cell>
        </row>
        <row r="1194">
          <cell r="B1194" t="str">
            <v>WT-L-0013WJSETBK</v>
          </cell>
        </row>
        <row r="1195">
          <cell r="B1195" t="str">
            <v>WT-L-3313CP</v>
          </cell>
        </row>
        <row r="1196">
          <cell r="B1196" t="str">
            <v>WT-L-0013WJBNZZ</v>
          </cell>
        </row>
        <row r="1197">
          <cell r="B1197" t="str">
            <v>WT-L-3313BN</v>
          </cell>
        </row>
        <row r="1198">
          <cell r="B1198" t="str">
            <v>WT-L-0013WJBK</v>
          </cell>
        </row>
        <row r="1199">
          <cell r="B1199" t="str">
            <v>SZ-L-CL-BG-02</v>
          </cell>
        </row>
        <row r="1199">
          <cell r="P1199" t="str">
            <v>暂时没有内部SKU</v>
          </cell>
        </row>
        <row r="1200">
          <cell r="B1200" t="str">
            <v>SZ-L-SD-3315-WJSK-ORB-05</v>
          </cell>
        </row>
        <row r="1200">
          <cell r="P1200" t="str">
            <v>暂时没有内部SKU</v>
          </cell>
        </row>
        <row r="1201">
          <cell r="B1201" t="str">
            <v>SZ-L-SD-CL-BN-01</v>
          </cell>
        </row>
        <row r="1201">
          <cell r="P1201" t="str">
            <v>暂时没有内部SKU</v>
          </cell>
        </row>
        <row r="1202">
          <cell r="B1202" t="str">
            <v>SZ-L-SD-WF-CP-04</v>
          </cell>
        </row>
        <row r="1202">
          <cell r="P1202" t="str">
            <v>暂时没有内部SKU</v>
          </cell>
        </row>
        <row r="1203">
          <cell r="B1203" t="str">
            <v>SZ-L-3314-PJSK-ORB-05</v>
          </cell>
        </row>
        <row r="1203">
          <cell r="P1203" t="str">
            <v>暂时没有内部SKU</v>
          </cell>
        </row>
        <row r="1204">
          <cell r="B1204" t="str">
            <v>SZ-L-WF-ORB-05</v>
          </cell>
        </row>
        <row r="1204">
          <cell r="P1204" t="str">
            <v>暂时没有内部SKU</v>
          </cell>
        </row>
        <row r="1205">
          <cell r="B1205" t="str">
            <v>SZ-L-SD-CL-CP-04</v>
          </cell>
        </row>
        <row r="1205">
          <cell r="P1205" t="str">
            <v>暂时没有内部SKU</v>
          </cell>
        </row>
        <row r="1206">
          <cell r="B1206" t="str">
            <v>SZ-L-SD-3314-PJSK-BK-03</v>
          </cell>
        </row>
        <row r="1206">
          <cell r="P1206" t="str">
            <v>暂时没有内部SKU</v>
          </cell>
        </row>
        <row r="1207">
          <cell r="B1207" t="str">
            <v>SZ-L-SD-WF-BN-01</v>
          </cell>
        </row>
        <row r="1207">
          <cell r="P1207" t="str">
            <v>暂时没有内部SKU</v>
          </cell>
        </row>
        <row r="1208">
          <cell r="B1208" t="str">
            <v>SZ-L-SD-CL-BK-03</v>
          </cell>
        </row>
        <row r="1208">
          <cell r="P1208" t="str">
            <v>暂时没有内部SKU</v>
          </cell>
        </row>
        <row r="1209">
          <cell r="B1209" t="str">
            <v>SZ-L-SD-CL-ORB-05</v>
          </cell>
        </row>
        <row r="1209">
          <cell r="P1209" t="str">
            <v>暂时没有内部SKU</v>
          </cell>
        </row>
        <row r="1210">
          <cell r="B1210" t="str">
            <v>SZ-L-SD-3315-PJSK-ORB-05</v>
          </cell>
        </row>
        <row r="1210">
          <cell r="P1210" t="str">
            <v>暂时没有内部SKU</v>
          </cell>
        </row>
        <row r="1211">
          <cell r="B1211" t="str">
            <v>SZ-L-SD-3315-PJSK-BN-01</v>
          </cell>
        </row>
        <row r="1211">
          <cell r="P1211" t="str">
            <v>暂时没有内部SKU</v>
          </cell>
        </row>
        <row r="1212">
          <cell r="B1212" t="str">
            <v>SZ-L-SD-3314-PJSK-CP-04</v>
          </cell>
        </row>
        <row r="1212">
          <cell r="P1212" t="str">
            <v>暂时没有内部SKU</v>
          </cell>
        </row>
        <row r="1213">
          <cell r="B1213" t="str">
            <v>SZ-L-3314-PJSK-BK-03</v>
          </cell>
        </row>
        <row r="1213">
          <cell r="P1213" t="str">
            <v>暂时没有内部SKU</v>
          </cell>
        </row>
        <row r="1214">
          <cell r="B1214" t="str">
            <v>SZ-L-SD-3315-PJSK-CP-04</v>
          </cell>
        </row>
        <row r="1214">
          <cell r="P1214" t="str">
            <v>暂时没有内部SKU</v>
          </cell>
        </row>
        <row r="1215">
          <cell r="B1215" t="str">
            <v>SZ-L-CL-BK-03</v>
          </cell>
        </row>
        <row r="1215">
          <cell r="P1215" t="str">
            <v>暂时没有内部SKU</v>
          </cell>
        </row>
        <row r="1216">
          <cell r="B1216" t="str">
            <v>SZ-L-CL-BN-01</v>
          </cell>
        </row>
        <row r="1216">
          <cell r="P1216" t="str">
            <v>暂时没有内部SKU</v>
          </cell>
        </row>
        <row r="1217">
          <cell r="B1217" t="str">
            <v>SZ-L-3315-PJSK-ORB-05</v>
          </cell>
        </row>
        <row r="1217">
          <cell r="P1217" t="str">
            <v>暂时没有内部SKU</v>
          </cell>
        </row>
        <row r="1218">
          <cell r="B1218" t="str">
            <v>SZ-L-SD-3314-PJSK-BN-01</v>
          </cell>
        </row>
        <row r="1218">
          <cell r="P1218" t="str">
            <v>暂时没有内部SKU</v>
          </cell>
        </row>
        <row r="1219">
          <cell r="B1219" t="str">
            <v>SZ-L-SD-3314-PJSK-BG-02</v>
          </cell>
        </row>
        <row r="1219">
          <cell r="P1219" t="str">
            <v>暂时没有内部SKU</v>
          </cell>
        </row>
        <row r="1220">
          <cell r="B1220" t="str">
            <v>SZ-L-SD-3315-WJSK-BG-02</v>
          </cell>
        </row>
        <row r="1220">
          <cell r="P1220" t="str">
            <v>暂时没有内部SKU</v>
          </cell>
        </row>
        <row r="1221">
          <cell r="B1221" t="str">
            <v>SZ-L-SD-3315-PJSK-BK-03</v>
          </cell>
        </row>
        <row r="1221">
          <cell r="P1221" t="str">
            <v>暂时没有内部SKU</v>
          </cell>
        </row>
        <row r="1222">
          <cell r="B1222" t="str">
            <v>SZ-L-3314-PJSK-BN-01</v>
          </cell>
        </row>
        <row r="1222">
          <cell r="P1222" t="str">
            <v>暂时没有内部SKU</v>
          </cell>
        </row>
        <row r="1223">
          <cell r="B1223" t="str">
            <v>SZ-L-3315-PJSK-CP-04</v>
          </cell>
        </row>
        <row r="1223">
          <cell r="P1223" t="str">
            <v>暂时没有内部SKU</v>
          </cell>
        </row>
        <row r="1224">
          <cell r="B1224" t="str">
            <v>SZ-L-CL-ORB-05</v>
          </cell>
        </row>
        <row r="1224">
          <cell r="P1224" t="str">
            <v>暂时没有内部SKU</v>
          </cell>
        </row>
        <row r="1225">
          <cell r="B1225" t="str">
            <v>SZ-L-3314-PJSK-BG-02</v>
          </cell>
        </row>
        <row r="1225">
          <cell r="P1225" t="str">
            <v>暂时没有内部SKU</v>
          </cell>
        </row>
        <row r="1226">
          <cell r="B1226" t="str">
            <v>SZ-L-SD-3314-PJSK-ORB-05</v>
          </cell>
        </row>
        <row r="1226">
          <cell r="P1226" t="str">
            <v>暂时没有内部SKU</v>
          </cell>
        </row>
        <row r="1227">
          <cell r="B1227" t="str">
            <v>SZ-L-3314-PJSK-CP-04</v>
          </cell>
        </row>
        <row r="1227">
          <cell r="P1227" t="str">
            <v>暂时没有内部SKU</v>
          </cell>
        </row>
        <row r="1228">
          <cell r="B1228" t="str">
            <v>SZ-L-CL-CP-04</v>
          </cell>
        </row>
        <row r="1228">
          <cell r="P1228" t="str">
            <v>暂时没有内部SKU</v>
          </cell>
        </row>
        <row r="1229">
          <cell r="B1229" t="str">
            <v>SZ-L-SD-3315-WJSK-CP-04</v>
          </cell>
        </row>
        <row r="1229">
          <cell r="P1229" t="str">
            <v>暂时没有内部SKU</v>
          </cell>
        </row>
        <row r="1230">
          <cell r="B1230" t="str">
            <v>SZ-L-SD-3315-PJSK-BG-02</v>
          </cell>
        </row>
        <row r="1230">
          <cell r="P1230" t="str">
            <v>暂时没有内部SKU</v>
          </cell>
        </row>
        <row r="1231">
          <cell r="B1231" t="str">
            <v>SZ-L-SD-3315-WJSK-BK-03</v>
          </cell>
        </row>
        <row r="1231">
          <cell r="P1231" t="str">
            <v>暂时没有内部SKU</v>
          </cell>
        </row>
        <row r="1232">
          <cell r="B1232" t="str">
            <v>SZ-L-3315-PJSK-BN-01</v>
          </cell>
        </row>
        <row r="1232">
          <cell r="P1232" t="str">
            <v>暂时没有内部SKU</v>
          </cell>
        </row>
        <row r="1233">
          <cell r="B1233" t="str">
            <v>SZ-L-3315-PJSK-BK-03</v>
          </cell>
        </row>
        <row r="1233">
          <cell r="P1233" t="str">
            <v>暂时没有内部SKU</v>
          </cell>
        </row>
        <row r="1234">
          <cell r="B1234" t="str">
            <v>SZ-L-3315-PJSK-BG-02</v>
          </cell>
        </row>
        <row r="1234">
          <cell r="P1234" t="str">
            <v>暂时没有内部SKU</v>
          </cell>
        </row>
        <row r="1235">
          <cell r="B1235" t="str">
            <v>SZ-L-SD-WF-ORB-05</v>
          </cell>
        </row>
        <row r="1235">
          <cell r="P1235" t="str">
            <v>暂时没有内部SKU</v>
          </cell>
        </row>
        <row r="1236">
          <cell r="B1236" t="str">
            <v>SZ-L-SD-3315-WJSK-BN-01</v>
          </cell>
        </row>
        <row r="1236">
          <cell r="P1236" t="str">
            <v>暂时没有内部SKU</v>
          </cell>
        </row>
        <row r="1237">
          <cell r="B1237" t="str">
            <v>SZ-L-SD-CL-BG-02</v>
          </cell>
        </row>
        <row r="1237">
          <cell r="P1237" t="str">
            <v>暂时没有内部SKU</v>
          </cell>
        </row>
        <row r="1238">
          <cell r="B1238" t="str">
            <v>SZ-L-WF-BN-01</v>
          </cell>
        </row>
        <row r="1238">
          <cell r="P1238" t="str">
            <v>暂时没有内部SKU</v>
          </cell>
        </row>
        <row r="1239">
          <cell r="B1239" t="str">
            <v>TT-970809</v>
          </cell>
        </row>
        <row r="1239">
          <cell r="P1239" t="str">
            <v>父体</v>
          </cell>
        </row>
        <row r="1240">
          <cell r="B1240" t="str">
            <v>QC-202507-ORB-02</v>
          </cell>
        </row>
        <row r="1240">
          <cell r="P1240" t="str">
            <v>221F0022OB1</v>
          </cell>
        </row>
        <row r="1241">
          <cell r="B1241" t="str">
            <v>WT-9807BKZZ07</v>
          </cell>
        </row>
        <row r="1241">
          <cell r="P1241" t="str">
            <v>221F0098BK1</v>
          </cell>
        </row>
        <row r="1242">
          <cell r="B1242" t="str">
            <v>L2205-BG</v>
          </cell>
        </row>
        <row r="1242">
          <cell r="P1242" t="str">
            <v>150F0022BG1</v>
          </cell>
        </row>
        <row r="1243">
          <cell r="B1243" t="str">
            <v>L2205-BG</v>
          </cell>
        </row>
        <row r="1243">
          <cell r="P1243" t="str">
            <v>150F0022BG1</v>
          </cell>
        </row>
        <row r="1244">
          <cell r="B1244" t="str">
            <v>L2205-BK</v>
          </cell>
        </row>
        <row r="1244">
          <cell r="P1244" t="str">
            <v>150F0022BK1</v>
          </cell>
        </row>
        <row r="1245">
          <cell r="B1245" t="str">
            <v>L2205-BK</v>
          </cell>
        </row>
        <row r="1245">
          <cell r="P1245" t="str">
            <v>150F0022BK1</v>
          </cell>
        </row>
        <row r="1246">
          <cell r="B1246" t="str">
            <v>WT-9807CPZZ02</v>
          </cell>
        </row>
        <row r="1246">
          <cell r="P1246" t="str">
            <v>221F0098CP1</v>
          </cell>
        </row>
        <row r="1247">
          <cell r="B1247" t="str">
            <v>WT-9807CPZZ03</v>
          </cell>
        </row>
        <row r="1247">
          <cell r="P1247" t="str">
            <v>221F0098CP1</v>
          </cell>
        </row>
        <row r="1248">
          <cell r="B1248" t="str">
            <v>JB-101CP</v>
          </cell>
        </row>
        <row r="1249">
          <cell r="B1249" t="str">
            <v>Bundle-JB880804-ORB</v>
          </cell>
        </row>
        <row r="1250">
          <cell r="B1250" t="str">
            <v>Bundle-JB880804-BN</v>
          </cell>
        </row>
        <row r="1251">
          <cell r="B1251" t="str">
            <v>Bundle-JB880804-BK</v>
          </cell>
        </row>
        <row r="1252">
          <cell r="B1252" t="str">
            <v>Bundle-JB880801-BK</v>
          </cell>
        </row>
        <row r="1253">
          <cell r="B1253" t="str">
            <v>Bundle-JB880801-BN</v>
          </cell>
        </row>
        <row r="1254">
          <cell r="B1254" t="str">
            <v>8809CP JB-1</v>
          </cell>
        </row>
        <row r="1255">
          <cell r="B1255" t="str">
            <v>8809BK JB-1</v>
          </cell>
        </row>
        <row r="1256">
          <cell r="B1256" t="str">
            <v>8808CP JB-1</v>
          </cell>
        </row>
        <row r="1257">
          <cell r="B1257" t="str">
            <v>8811 ORB01</v>
          </cell>
        </row>
        <row r="1258">
          <cell r="B1258" t="str">
            <v>8808ORB JB-1</v>
          </cell>
        </row>
        <row r="1259">
          <cell r="B1259" t="str">
            <v>8807CPJB-2</v>
          </cell>
        </row>
        <row r="1260">
          <cell r="B1260" t="str">
            <v>WT-9807ORB02</v>
          </cell>
        </row>
        <row r="1260">
          <cell r="P1260" t="str">
            <v>221F0098OB1</v>
          </cell>
        </row>
        <row r="1261">
          <cell r="B1261" t="str">
            <v>Bundle-JB880704-ORB</v>
          </cell>
        </row>
        <row r="1262">
          <cell r="B1262" t="str">
            <v>Bundle-JB880704-BN</v>
          </cell>
        </row>
        <row r="1263">
          <cell r="B1263" t="str">
            <v>Bundle-JB880704-BK</v>
          </cell>
        </row>
        <row r="1264">
          <cell r="B1264" t="str">
            <v>Bundle-JB880701-BK</v>
          </cell>
        </row>
        <row r="1265">
          <cell r="B1265" t="str">
            <v>Bundle-JB880701-BN</v>
          </cell>
        </row>
        <row r="1266">
          <cell r="B1266" t="str">
            <v>Bundle-880704-ORB1</v>
          </cell>
        </row>
        <row r="1267">
          <cell r="B1267" t="str">
            <v>Bundle-880704-BN</v>
          </cell>
        </row>
        <row r="1268">
          <cell r="B1268" t="str">
            <v>SZ-L-SLTPF-9M1M-BS</v>
          </cell>
        </row>
        <row r="1268">
          <cell r="P1268" t="str">
            <v>610F0002C01</v>
          </cell>
        </row>
        <row r="1269">
          <cell r="B1269" t="str">
            <v>SZ-L-SLTPF-9M1F-BS</v>
          </cell>
        </row>
        <row r="1269">
          <cell r="P1269" t="str">
            <v>610F0003C01</v>
          </cell>
        </row>
        <row r="1270">
          <cell r="B1270" t="str">
            <v>SZ-L-SLTPF-9M3F-BS</v>
          </cell>
        </row>
        <row r="1270">
          <cell r="P1270" t="str">
            <v>610F0006C01</v>
          </cell>
        </row>
        <row r="1271">
          <cell r="B1271" t="str">
            <v>SZ-L-SLTPF-9M3M-BS</v>
          </cell>
        </row>
        <row r="1271">
          <cell r="P1271" t="str">
            <v>610F0005C01</v>
          </cell>
        </row>
        <row r="1272">
          <cell r="B1272" t="str">
            <v>SZ-L-SLTB-Standard-BN</v>
          </cell>
        </row>
        <row r="1272">
          <cell r="P1272" t="str">
            <v>610F0004BN5</v>
          </cell>
        </row>
        <row r="1273">
          <cell r="B1273" t="str">
            <v>HM-8811-P</v>
          </cell>
        </row>
        <row r="1273">
          <cell r="P1273" t="str">
            <v>父体链接，无对应SKU</v>
          </cell>
        </row>
        <row r="1274">
          <cell r="B1274" t="str">
            <v>WT-3311-BN</v>
          </cell>
        </row>
        <row r="1275">
          <cell r="B1275" t="str">
            <v>WT-3311-BK</v>
          </cell>
        </row>
        <row r="1276">
          <cell r="B1276" t="str">
            <v>WT-3311-BG</v>
          </cell>
        </row>
        <row r="1277">
          <cell r="B1277" t="str">
            <v>WT-3311-ORB</v>
          </cell>
        </row>
        <row r="1277">
          <cell r="P1277" t="str">
            <v>211F0033OB1</v>
          </cell>
        </row>
        <row r="1278">
          <cell r="B1278" t="str">
            <v>WT-9806BG</v>
          </cell>
        </row>
        <row r="1278">
          <cell r="P1278" t="str">
            <v>230F0098BG1</v>
          </cell>
        </row>
        <row r="1279">
          <cell r="B1279" t="str">
            <v>WT-9811ORB</v>
          </cell>
        </row>
        <row r="1280">
          <cell r="B1280" t="str">
            <v>WT-9807CP02</v>
          </cell>
        </row>
        <row r="1280">
          <cell r="P1280" t="str">
            <v>221F0098CP1</v>
          </cell>
        </row>
        <row r="1281">
          <cell r="B1281" t="str">
            <v>WT-9809CP02</v>
          </cell>
        </row>
        <row r="1281">
          <cell r="P1281" t="str">
            <v>223F0098CP1</v>
          </cell>
        </row>
        <row r="1282">
          <cell r="B1282" t="str">
            <v>WT-9811BK</v>
          </cell>
        </row>
        <row r="1283">
          <cell r="B1283" t="str">
            <v>WT-9811BN</v>
          </cell>
        </row>
        <row r="1284">
          <cell r="B1284" t="str">
            <v>WT-9809BN02</v>
          </cell>
        </row>
        <row r="1284">
          <cell r="P1284" t="str">
            <v>223F0098BN1</v>
          </cell>
        </row>
        <row r="1285">
          <cell r="B1285" t="str">
            <v>L2205-BN</v>
          </cell>
        </row>
        <row r="1285">
          <cell r="P1285" t="str">
            <v>150F0022BN1</v>
          </cell>
        </row>
        <row r="1286">
          <cell r="B1286" t="str">
            <v>Bundle-JB880107-ORB</v>
          </cell>
        </row>
        <row r="1287">
          <cell r="B1287" t="str">
            <v>L2301-BG3 BY</v>
          </cell>
        </row>
        <row r="1287">
          <cell r="P1287" t="str">
            <v>暂时没有内部SKU</v>
          </cell>
        </row>
        <row r="1288">
          <cell r="B1288" t="str">
            <v>L2304-BG3 BY</v>
          </cell>
        </row>
        <row r="1288">
          <cell r="P1288" t="str">
            <v>暂时没有内部SKU</v>
          </cell>
        </row>
        <row r="1289">
          <cell r="B1289" t="str">
            <v>L2303-BG3 BY</v>
          </cell>
        </row>
        <row r="1289">
          <cell r="P1289" t="str">
            <v>暂时没有内部SKU</v>
          </cell>
        </row>
        <row r="1290">
          <cell r="B1290" t="str">
            <v>HG-8904BG3 BY</v>
          </cell>
        </row>
        <row r="1290">
          <cell r="P1290" t="str">
            <v>暂时没有内部SKU</v>
          </cell>
        </row>
        <row r="1291">
          <cell r="B1291" t="str">
            <v>L2302-BG3 BY</v>
          </cell>
        </row>
        <row r="1291">
          <cell r="P1291" t="str">
            <v>暂时没有内部SKU</v>
          </cell>
        </row>
        <row r="1292">
          <cell r="B1292" t="str">
            <v>HG-8901BG3 BY</v>
          </cell>
        </row>
        <row r="1292">
          <cell r="P1292" t="str">
            <v>暂时没有内部SKU</v>
          </cell>
        </row>
        <row r="1293">
          <cell r="B1293" t="str">
            <v>HM-8804-BG3 BY</v>
          </cell>
        </row>
        <row r="1293">
          <cell r="P1293" t="str">
            <v>暂时没有内部SKU</v>
          </cell>
        </row>
        <row r="1294">
          <cell r="B1294" t="str">
            <v>HM-8801-BG3 BY</v>
          </cell>
        </row>
        <row r="1294">
          <cell r="P1294" t="str">
            <v>暂时没有内部SKU</v>
          </cell>
        </row>
        <row r="1295">
          <cell r="B1295" t="str">
            <v>8801BG3JB-1 BY</v>
          </cell>
        </row>
        <row r="1295">
          <cell r="P1295" t="str">
            <v>暂时没有内部SKU</v>
          </cell>
        </row>
        <row r="1296">
          <cell r="B1296" t="str">
            <v>8804BG3JB-1 BY</v>
          </cell>
        </row>
        <row r="1296">
          <cell r="P1296" t="str">
            <v>暂时没有内部SKU</v>
          </cell>
        </row>
        <row r="1297">
          <cell r="B1297" t="str">
            <v>WT-3622BG3</v>
          </cell>
        </row>
        <row r="1298">
          <cell r="B1298" t="str">
            <v>WT-3369BN</v>
          </cell>
        </row>
        <row r="1299">
          <cell r="B1299" t="str">
            <v>WT-3369BG3</v>
          </cell>
        </row>
        <row r="1300">
          <cell r="B1300" t="str">
            <v>WT-3372BN</v>
          </cell>
        </row>
        <row r="1301">
          <cell r="B1301" t="str">
            <v>WT-3619BK</v>
          </cell>
        </row>
        <row r="1302">
          <cell r="B1302" t="str">
            <v>WT-3322BG3</v>
          </cell>
        </row>
        <row r="1303">
          <cell r="B1303" t="str">
            <v>WT-3322BN</v>
          </cell>
        </row>
        <row r="1304">
          <cell r="B1304" t="str">
            <v>WT-3319BG3</v>
          </cell>
        </row>
        <row r="1305">
          <cell r="B1305" t="str">
            <v>WT-3672BN</v>
          </cell>
        </row>
        <row r="1306">
          <cell r="B1306" t="str">
            <v>WT-3669BG3</v>
          </cell>
        </row>
        <row r="1307">
          <cell r="B1307" t="str">
            <v>WT-3619BG3</v>
          </cell>
        </row>
        <row r="1308">
          <cell r="B1308" t="str">
            <v>WT-3619BN</v>
          </cell>
        </row>
        <row r="1309">
          <cell r="B1309" t="str">
            <v>WT-3622BN</v>
          </cell>
        </row>
        <row r="1310">
          <cell r="B1310" t="str">
            <v>WT-3669BK</v>
          </cell>
        </row>
        <row r="1311">
          <cell r="B1311" t="str">
            <v>WT-3319BK</v>
          </cell>
        </row>
        <row r="1312">
          <cell r="B1312" t="str">
            <v>WT-3372BG3</v>
          </cell>
        </row>
        <row r="1313">
          <cell r="B1313" t="str">
            <v>WT-3372BK</v>
          </cell>
        </row>
        <row r="1314">
          <cell r="B1314" t="str">
            <v>WT-3369BK</v>
          </cell>
        </row>
        <row r="1315">
          <cell r="B1315" t="str">
            <v>WT-3322BK</v>
          </cell>
        </row>
        <row r="1316">
          <cell r="B1316" t="str">
            <v>WT-3319BN</v>
          </cell>
        </row>
        <row r="1317">
          <cell r="B1317" t="str">
            <v>WT-3672BK</v>
          </cell>
        </row>
        <row r="1318">
          <cell r="B1318" t="str">
            <v>WT-3672BG3</v>
          </cell>
        </row>
        <row r="1319">
          <cell r="B1319" t="str">
            <v>WT-3622BK</v>
          </cell>
        </row>
        <row r="1320">
          <cell r="B1320" t="str">
            <v>WT-3669BN</v>
          </cell>
        </row>
        <row r="1321">
          <cell r="B1321" t="str">
            <v>SZ-S-3314-BN-01</v>
          </cell>
        </row>
        <row r="1321">
          <cell r="P1321" t="str">
            <v>420F3314BN5</v>
          </cell>
        </row>
        <row r="1322">
          <cell r="B1322" t="str">
            <v>SZ-S-3314-BN-01</v>
          </cell>
        </row>
        <row r="1322">
          <cell r="P1322" t="str">
            <v>420F3314BN5</v>
          </cell>
        </row>
        <row r="1323">
          <cell r="B1323" t="str">
            <v>HM-8801-BG3</v>
          </cell>
        </row>
        <row r="1323">
          <cell r="P1323" t="str">
            <v>暂时没有内部SKU</v>
          </cell>
        </row>
        <row r="1324">
          <cell r="B1324" t="str">
            <v>HM-8804-BG3</v>
          </cell>
        </row>
        <row r="1324">
          <cell r="P1324" t="str">
            <v>暂时没有内部SKU</v>
          </cell>
        </row>
        <row r="1325">
          <cell r="B1325" t="str">
            <v>L2303-BG3</v>
          </cell>
        </row>
        <row r="1325">
          <cell r="P1325" t="str">
            <v>暂时没有内部SKU</v>
          </cell>
        </row>
        <row r="1326">
          <cell r="B1326" t="str">
            <v>L2302-BG3</v>
          </cell>
        </row>
        <row r="1326">
          <cell r="P1326" t="str">
            <v>暂时没有内部SKU</v>
          </cell>
        </row>
        <row r="1327">
          <cell r="B1327" t="str">
            <v>L2301-BG3</v>
          </cell>
        </row>
        <row r="1327">
          <cell r="P1327" t="str">
            <v>暂时没有内部SKU</v>
          </cell>
        </row>
        <row r="1328">
          <cell r="B1328" t="str">
            <v>HG-8904BG3</v>
          </cell>
        </row>
        <row r="1328">
          <cell r="P1328" t="str">
            <v>暂时没有内部SKU</v>
          </cell>
        </row>
        <row r="1329">
          <cell r="B1329" t="str">
            <v>HG-8901BG3</v>
          </cell>
        </row>
        <row r="1329">
          <cell r="P1329" t="str">
            <v>暂时没有内部SKU</v>
          </cell>
        </row>
        <row r="1330">
          <cell r="B1330" t="str">
            <v>YG6302BG</v>
          </cell>
        </row>
        <row r="1330">
          <cell r="P1330" t="str">
            <v>221F6301BG4</v>
          </cell>
        </row>
        <row r="1331">
          <cell r="B1331" t="str">
            <v>8801BG3JB-1</v>
          </cell>
        </row>
        <row r="1331">
          <cell r="P1331" t="str">
            <v>暂时没有内部SKU</v>
          </cell>
        </row>
        <row r="1332">
          <cell r="B1332" t="str">
            <v>8804BG3JB-1</v>
          </cell>
        </row>
        <row r="1332">
          <cell r="P1332" t="str">
            <v>暂时没有内部SKU</v>
          </cell>
        </row>
        <row r="1333">
          <cell r="B1333" t="str">
            <v>B2212-BN</v>
          </cell>
        </row>
        <row r="1333">
          <cell r="P1333" t="str">
            <v>320F0022BN1</v>
          </cell>
        </row>
        <row r="1334">
          <cell r="B1334" t="str">
            <v>B2206-ORB</v>
          </cell>
        </row>
        <row r="1334">
          <cell r="P1334" t="str">
            <v>230F0022OB1</v>
          </cell>
        </row>
        <row r="1335">
          <cell r="B1335" t="str">
            <v>AZ-US-SOEBIZ-GE</v>
          </cell>
        </row>
        <row r="1335">
          <cell r="P1335" t="str">
            <v>610F0001C01</v>
          </cell>
        </row>
        <row r="1336">
          <cell r="B1336" t="str">
            <v>AZ-US-SOEBIZ-0013</v>
          </cell>
        </row>
        <row r="1336">
          <cell r="P1336" t="str">
            <v>610F0001C01</v>
          </cell>
        </row>
        <row r="1337">
          <cell r="B1337" t="str">
            <v>AZ-US-SOEBIZ-33-BN</v>
          </cell>
        </row>
        <row r="1337">
          <cell r="P1337" t="str">
            <v>480F0002BN6</v>
          </cell>
        </row>
        <row r="1338">
          <cell r="B1338" t="str">
            <v>3004BG QC1-02</v>
          </cell>
        </row>
        <row r="1338">
          <cell r="P1338" t="str">
            <v>240F3004BG1</v>
          </cell>
        </row>
        <row r="1339">
          <cell r="B1339" t="str">
            <v>HM-8808-BG--02</v>
          </cell>
        </row>
        <row r="1339">
          <cell r="P1339" t="str">
            <v>222F0088BG1</v>
          </cell>
        </row>
        <row r="1340">
          <cell r="B1340" t="str">
            <v>KZ-9609BK</v>
          </cell>
        </row>
        <row r="1340">
          <cell r="P1340" t="str">
            <v>223F0096BK1</v>
          </cell>
        </row>
        <row r="1341">
          <cell r="B1341" t="str">
            <v>L2205-BN</v>
          </cell>
        </row>
        <row r="1341">
          <cell r="P1341" t="str">
            <v>150F0022BN1</v>
          </cell>
        </row>
        <row r="1342">
          <cell r="B1342" t="str">
            <v>TT-9709BG</v>
          </cell>
        </row>
        <row r="1342">
          <cell r="P1342" t="str">
            <v>223F0097BG1</v>
          </cell>
        </row>
        <row r="1343">
          <cell r="B1343" t="str">
            <v>TT-9707ORB</v>
          </cell>
        </row>
        <row r="1343">
          <cell r="P1343" t="str">
            <v>221F0097OB1</v>
          </cell>
        </row>
        <row r="1344">
          <cell r="B1344" t="str">
            <v>L2205-CP</v>
          </cell>
        </row>
        <row r="1344">
          <cell r="P1344" t="str">
            <v>150F0022CP1</v>
          </cell>
        </row>
        <row r="1345">
          <cell r="B1345" t="str">
            <v>L2205-CP</v>
          </cell>
        </row>
        <row r="1345">
          <cell r="P1345" t="str">
            <v>150F0022CP1</v>
          </cell>
        </row>
        <row r="1346">
          <cell r="B1346" t="str">
            <v>TT-9709BK</v>
          </cell>
        </row>
        <row r="1346">
          <cell r="P1346" t="str">
            <v>223F0097BK1</v>
          </cell>
        </row>
        <row r="1347">
          <cell r="B1347" t="str">
            <v>L2205-ORB</v>
          </cell>
        </row>
        <row r="1347">
          <cell r="P1347" t="str">
            <v>150F0022OB1</v>
          </cell>
        </row>
        <row r="1348">
          <cell r="B1348" t="str">
            <v>TT-9707ORB</v>
          </cell>
        </row>
        <row r="1348">
          <cell r="P1348" t="str">
            <v>221F0097OB1</v>
          </cell>
        </row>
        <row r="1349">
          <cell r="B1349" t="str">
            <v>TT-9709BG</v>
          </cell>
        </row>
        <row r="1349">
          <cell r="P1349" t="str">
            <v>223F0097BG1</v>
          </cell>
        </row>
        <row r="1350">
          <cell r="B1350" t="str">
            <v>TT-9701ORB+BN</v>
          </cell>
        </row>
        <row r="1351">
          <cell r="B1351" t="str">
            <v>TT-9701RGBK+BN</v>
          </cell>
        </row>
        <row r="1352">
          <cell r="B1352" t="str">
            <v>TT-9701BK+ORB</v>
          </cell>
        </row>
        <row r="1353">
          <cell r="B1353" t="str">
            <v>TT-9701BG+BN</v>
          </cell>
        </row>
        <row r="1354">
          <cell r="B1354" t="str">
            <v>9701BG+9704BK</v>
          </cell>
        </row>
        <row r="1355">
          <cell r="B1355" t="str">
            <v>TT-9701CP+BN</v>
          </cell>
        </row>
        <row r="1356">
          <cell r="B1356" t="str">
            <v>9701BG+9704CP</v>
          </cell>
        </row>
        <row r="1357">
          <cell r="B1357" t="str">
            <v>9701BG+9704BG</v>
          </cell>
        </row>
        <row r="1358">
          <cell r="B1358" t="str">
            <v>9701BG+9704RGBK</v>
          </cell>
        </row>
        <row r="1359">
          <cell r="B1359" t="str">
            <v>TT-9701BK+BN</v>
          </cell>
        </row>
        <row r="1360">
          <cell r="B1360" t="str">
            <v>TT-BG+ORB</v>
          </cell>
        </row>
        <row r="1361">
          <cell r="B1361" t="str">
            <v>9701BG+9704ORB</v>
          </cell>
        </row>
        <row r="1362">
          <cell r="B1362" t="str">
            <v>TT-9701BK+RGBK</v>
          </cell>
        </row>
        <row r="1363">
          <cell r="B1363" t="str">
            <v>TT-9701RGBK+CP</v>
          </cell>
        </row>
        <row r="1364">
          <cell r="B1364" t="str">
            <v>TT-9701BG+CP</v>
          </cell>
        </row>
        <row r="1365">
          <cell r="B1365" t="str">
            <v>9701BG+9704BN</v>
          </cell>
        </row>
        <row r="1366">
          <cell r="B1366" t="str">
            <v>TT-9701BK+CP</v>
          </cell>
        </row>
        <row r="1367">
          <cell r="B1367" t="str">
            <v>TT-9701RGBK+ORB</v>
          </cell>
        </row>
        <row r="1368">
          <cell r="B1368" t="str">
            <v>TT-9701BG+RGBK</v>
          </cell>
        </row>
        <row r="1369">
          <cell r="B1369" t="str">
            <v>L2205-ORB</v>
          </cell>
        </row>
        <row r="1369">
          <cell r="P1369" t="str">
            <v>150F0022OB1</v>
          </cell>
        </row>
        <row r="1370">
          <cell r="B1370" t="str">
            <v>B2211-CP</v>
          </cell>
        </row>
        <row r="1370">
          <cell r="P1370" t="str">
            <v>211F0022CP1</v>
          </cell>
        </row>
        <row r="1371">
          <cell r="B1371" t="str">
            <v>KSD01-CP</v>
          </cell>
        </row>
        <row r="1371">
          <cell r="P1371" t="str">
            <v>490F0022CP1</v>
          </cell>
        </row>
        <row r="1372">
          <cell r="B1372" t="str">
            <v>WK-2211+12-ORB</v>
          </cell>
        </row>
        <row r="1372">
          <cell r="P1372" t="str">
            <v>211F0022OB1,320F0022OB1</v>
          </cell>
        </row>
        <row r="1373">
          <cell r="B1373" t="str">
            <v>L3301-BG</v>
          </cell>
        </row>
        <row r="1373">
          <cell r="P1373" t="str">
            <v>110F3301BG</v>
          </cell>
        </row>
        <row r="1374">
          <cell r="B1374" t="str">
            <v>KSD0101-BK</v>
          </cell>
        </row>
        <row r="1375">
          <cell r="B1375" t="str">
            <v>L3301-BG</v>
          </cell>
        </row>
        <row r="1375">
          <cell r="P1375" t="str">
            <v>110F3301BG</v>
          </cell>
        </row>
        <row r="1376">
          <cell r="B1376" t="str">
            <v>B2208-BK</v>
          </cell>
        </row>
        <row r="1376">
          <cell r="P1376" t="str">
            <v>222F0022BK1</v>
          </cell>
        </row>
        <row r="1377">
          <cell r="B1377" t="str">
            <v>B2211-ORB</v>
          </cell>
        </row>
        <row r="1377">
          <cell r="P1377" t="str">
            <v>211F0022OB1</v>
          </cell>
        </row>
        <row r="1378">
          <cell r="B1378" t="str">
            <v>L3301-BK</v>
          </cell>
        </row>
        <row r="1378">
          <cell r="P1378" t="str">
            <v>110F3301BK</v>
          </cell>
        </row>
        <row r="1379">
          <cell r="B1379" t="str">
            <v>B2207-BN</v>
          </cell>
        </row>
        <row r="1379">
          <cell r="P1379" t="str">
            <v>221F0022BN1</v>
          </cell>
        </row>
        <row r="1380">
          <cell r="B1380" t="str">
            <v>220712-BN</v>
          </cell>
        </row>
        <row r="1381">
          <cell r="B1381" t="str">
            <v>L3301-BK</v>
          </cell>
        </row>
        <row r="1381">
          <cell r="P1381" t="str">
            <v>110F3301BK</v>
          </cell>
        </row>
        <row r="1382">
          <cell r="B1382" t="str">
            <v>B2207-CP</v>
          </cell>
        </row>
        <row r="1382">
          <cell r="P1382" t="str">
            <v>221F0022CP1</v>
          </cell>
        </row>
        <row r="1383">
          <cell r="B1383" t="str">
            <v>220112-BN</v>
          </cell>
        </row>
        <row r="1384">
          <cell r="B1384" t="str">
            <v>L3301-BKZZ01</v>
          </cell>
        </row>
        <row r="1384">
          <cell r="P1384" t="str">
            <v>110F3301BK</v>
          </cell>
        </row>
        <row r="1385">
          <cell r="B1385" t="str">
            <v>K2213-ORB</v>
          </cell>
        </row>
        <row r="1385">
          <cell r="P1385" t="str">
            <v>420F0022OB1</v>
          </cell>
        </row>
        <row r="1386">
          <cell r="B1386" t="str">
            <v>L3301-BKZZ01</v>
          </cell>
        </row>
        <row r="1386">
          <cell r="P1386" t="str">
            <v>110F3301BK</v>
          </cell>
        </row>
        <row r="1387">
          <cell r="B1387" t="str">
            <v>B2207-BK</v>
          </cell>
        </row>
        <row r="1387">
          <cell r="P1387" t="str">
            <v>221F0022BK1</v>
          </cell>
        </row>
        <row r="1388">
          <cell r="B1388" t="str">
            <v>220406-BN</v>
          </cell>
        </row>
        <row r="1389">
          <cell r="B1389" t="str">
            <v>L3301-BKZZ02</v>
          </cell>
        </row>
        <row r="1389">
          <cell r="P1389" t="str">
            <v>110F3301BK</v>
          </cell>
        </row>
        <row r="1390">
          <cell r="B1390" t="str">
            <v>K2213-BK</v>
          </cell>
        </row>
        <row r="1390">
          <cell r="P1390" t="str">
            <v>420F0022BK1</v>
          </cell>
        </row>
        <row r="1391">
          <cell r="B1391" t="str">
            <v>B2206-CP</v>
          </cell>
        </row>
        <row r="1391">
          <cell r="P1391" t="str">
            <v>230F0022CP1</v>
          </cell>
        </row>
        <row r="1392">
          <cell r="B1392" t="str">
            <v>B2211-BN</v>
          </cell>
        </row>
        <row r="1392">
          <cell r="P1392" t="str">
            <v>211F0022BN1</v>
          </cell>
        </row>
        <row r="1393">
          <cell r="B1393" t="str">
            <v>221208-BG</v>
          </cell>
        </row>
        <row r="1394">
          <cell r="B1394" t="str">
            <v>B2209-BN</v>
          </cell>
        </row>
        <row r="1394">
          <cell r="P1394" t="str">
            <v>223F0022BN1</v>
          </cell>
        </row>
        <row r="1395">
          <cell r="B1395" t="str">
            <v>B2209-BG</v>
          </cell>
        </row>
        <row r="1395">
          <cell r="P1395" t="str">
            <v>223F0022BG1</v>
          </cell>
        </row>
        <row r="1396">
          <cell r="B1396" t="str">
            <v>221311-BK</v>
          </cell>
        </row>
        <row r="1397">
          <cell r="B1397" t="str">
            <v>221301-BGBK</v>
          </cell>
        </row>
        <row r="1398">
          <cell r="B1398" t="str">
            <v>KSD0113-BK</v>
          </cell>
        </row>
        <row r="1399">
          <cell r="B1399" t="str">
            <v>L3301-BKZZ02</v>
          </cell>
        </row>
        <row r="1399">
          <cell r="P1399" t="str">
            <v>110F3301BK</v>
          </cell>
        </row>
        <row r="1400">
          <cell r="B1400" t="str">
            <v>L3301-BN</v>
          </cell>
        </row>
        <row r="1400">
          <cell r="P1400" t="str">
            <v>110F3301BN5</v>
          </cell>
        </row>
        <row r="1401">
          <cell r="B1401" t="str">
            <v>L3301-BN</v>
          </cell>
        </row>
        <row r="1401">
          <cell r="P1401" t="str">
            <v>110F3301BN5</v>
          </cell>
        </row>
        <row r="1402">
          <cell r="B1402" t="str">
            <v>L3601-BG</v>
          </cell>
        </row>
        <row r="1402">
          <cell r="P1402" t="str">
            <v>110F3601BG3</v>
          </cell>
        </row>
        <row r="1403">
          <cell r="B1403" t="str">
            <v>220407-ORB</v>
          </cell>
        </row>
        <row r="1404">
          <cell r="B1404" t="str">
            <v>L3601-BG</v>
          </cell>
        </row>
        <row r="1405">
          <cell r="B1405" t="str">
            <v>B2206-BN</v>
          </cell>
        </row>
        <row r="1405">
          <cell r="P1405" t="str">
            <v>230F0022BN1</v>
          </cell>
        </row>
        <row r="1406">
          <cell r="B1406" t="str">
            <v>B2212-CP</v>
          </cell>
        </row>
        <row r="1406">
          <cell r="P1406" t="str">
            <v>320F0022CP1</v>
          </cell>
        </row>
        <row r="1407">
          <cell r="B1407" t="str">
            <v>L3601-BK</v>
          </cell>
        </row>
        <row r="1407">
          <cell r="P1407" t="str">
            <v>110F3601BK1</v>
          </cell>
        </row>
        <row r="1408">
          <cell r="B1408" t="str">
            <v>220406-BK</v>
          </cell>
        </row>
        <row r="1409">
          <cell r="B1409" t="str">
            <v>L3601-BK</v>
          </cell>
        </row>
        <row r="1410">
          <cell r="B1410" t="str">
            <v>KSD0101-CP</v>
          </cell>
        </row>
        <row r="1411">
          <cell r="B1411" t="str">
            <v>B2207-ORB</v>
          </cell>
        </row>
        <row r="1411">
          <cell r="P1411" t="str">
            <v>221F0022OB1</v>
          </cell>
        </row>
        <row r="1412">
          <cell r="B1412" t="str">
            <v>L3601-BKZZ01</v>
          </cell>
        </row>
        <row r="1412">
          <cell r="P1412" t="str">
            <v>110F3601BK1</v>
          </cell>
        </row>
        <row r="1413">
          <cell r="B1413" t="str">
            <v>L3601-BKZZ01</v>
          </cell>
        </row>
        <row r="1414">
          <cell r="B1414" t="str">
            <v>220712-ORB</v>
          </cell>
        </row>
        <row r="1415">
          <cell r="B1415" t="str">
            <v>B2206-BK</v>
          </cell>
        </row>
        <row r="1415">
          <cell r="P1415" t="str">
            <v>230F0022BK1</v>
          </cell>
        </row>
        <row r="1416">
          <cell r="B1416" t="str">
            <v>B2209-ORB</v>
          </cell>
        </row>
        <row r="1416">
          <cell r="P1416" t="str">
            <v>223F0022OB1</v>
          </cell>
        </row>
        <row r="1417">
          <cell r="B1417" t="str">
            <v>221301-BGBN</v>
          </cell>
        </row>
        <row r="1418">
          <cell r="B1418" t="str">
            <v>KSD0101-BG</v>
          </cell>
        </row>
        <row r="1419">
          <cell r="B1419" t="str">
            <v>B2207-BG</v>
          </cell>
        </row>
        <row r="1419">
          <cell r="P1419" t="str">
            <v>221F0022BG1</v>
          </cell>
        </row>
        <row r="1420">
          <cell r="B1420" t="str">
            <v>220111-ORB</v>
          </cell>
        </row>
        <row r="1421">
          <cell r="B1421" t="str">
            <v>B2209-BK</v>
          </cell>
        </row>
        <row r="1421">
          <cell r="P1421" t="str">
            <v>223F0022BK1</v>
          </cell>
        </row>
        <row r="1422">
          <cell r="B1422" t="str">
            <v>L3601-BN</v>
          </cell>
        </row>
        <row r="1422">
          <cell r="P1422" t="str">
            <v>110F3601BN5</v>
          </cell>
        </row>
        <row r="1423">
          <cell r="B1423" t="str">
            <v>KSD0113-BN</v>
          </cell>
        </row>
        <row r="1424">
          <cell r="B1424" t="str">
            <v>221301-BGORB</v>
          </cell>
        </row>
        <row r="1425">
          <cell r="B1425" t="str">
            <v>221209-BG</v>
          </cell>
        </row>
        <row r="1426">
          <cell r="B1426" t="str">
            <v>B2208-BN</v>
          </cell>
        </row>
        <row r="1426">
          <cell r="P1426" t="str">
            <v>222F0022BN1</v>
          </cell>
        </row>
        <row r="1427">
          <cell r="B1427" t="str">
            <v>B220312-BK</v>
          </cell>
        </row>
        <row r="1428">
          <cell r="B1428" t="str">
            <v>L3601-BN</v>
          </cell>
        </row>
        <row r="1429">
          <cell r="B1429" t="str">
            <v>LD-9901BG-ZZ</v>
          </cell>
        </row>
        <row r="1429">
          <cell r="P1429" t="str">
            <v>110F0099BG1</v>
          </cell>
        </row>
        <row r="1430">
          <cell r="B1430" t="str">
            <v>220112-BG</v>
          </cell>
        </row>
        <row r="1431">
          <cell r="B1431" t="str">
            <v>220812-CP</v>
          </cell>
        </row>
        <row r="1432">
          <cell r="B1432" t="str">
            <v>B2212-BK</v>
          </cell>
        </row>
        <row r="1432">
          <cell r="P1432" t="str">
            <v>320F0022BK1</v>
          </cell>
        </row>
        <row r="1433">
          <cell r="B1433" t="str">
            <v>LD-9901BK1-ZZ</v>
          </cell>
        </row>
        <row r="1433">
          <cell r="P1433" t="str">
            <v>110F0099BK1</v>
          </cell>
        </row>
        <row r="1434">
          <cell r="B1434" t="str">
            <v>220407-BN</v>
          </cell>
        </row>
        <row r="1435">
          <cell r="B1435" t="str">
            <v>LD-9901BK2-ZZ</v>
          </cell>
        </row>
        <row r="1435">
          <cell r="P1435" t="str">
            <v>110F0099BK1</v>
          </cell>
        </row>
        <row r="1436">
          <cell r="B1436" t="str">
            <v>220801-BG</v>
          </cell>
        </row>
        <row r="1437">
          <cell r="B1437" t="str">
            <v>KSD0113-BG</v>
          </cell>
        </row>
        <row r="1438">
          <cell r="B1438" t="str">
            <v>220812-BN</v>
          </cell>
        </row>
        <row r="1439">
          <cell r="B1439" t="str">
            <v>B2211-BK</v>
          </cell>
        </row>
        <row r="1439">
          <cell r="P1439" t="str">
            <v>211F0022BK2</v>
          </cell>
        </row>
        <row r="1440">
          <cell r="B1440" t="str">
            <v>220812-BK</v>
          </cell>
        </row>
        <row r="1441">
          <cell r="B1441" t="str">
            <v>220106-BK</v>
          </cell>
        </row>
        <row r="1442">
          <cell r="B1442" t="str">
            <v>L220412-ORB</v>
          </cell>
        </row>
        <row r="1443">
          <cell r="B1443" t="str">
            <v>L220312-BN</v>
          </cell>
        </row>
        <row r="1444">
          <cell r="B1444" t="str">
            <v>221311-BN</v>
          </cell>
        </row>
        <row r="1445">
          <cell r="B1445" t="str">
            <v>220311-CP</v>
          </cell>
        </row>
        <row r="1446">
          <cell r="B1446" t="str">
            <v>B220412-BK</v>
          </cell>
        </row>
        <row r="1447">
          <cell r="B1447" t="str">
            <v>221304-BN</v>
          </cell>
        </row>
        <row r="1448">
          <cell r="B1448" t="str">
            <v>B2208-ORB</v>
          </cell>
        </row>
        <row r="1448">
          <cell r="P1448" t="str">
            <v>222F0022OB1</v>
          </cell>
        </row>
        <row r="1449">
          <cell r="B1449" t="str">
            <v>WK-2211+12-BG</v>
          </cell>
        </row>
        <row r="1450">
          <cell r="B1450" t="str">
            <v>220712-BK</v>
          </cell>
        </row>
        <row r="1451">
          <cell r="B1451" t="str">
            <v>220713-BN</v>
          </cell>
        </row>
        <row r="1452">
          <cell r="B1452" t="str">
            <v>220912-BK</v>
          </cell>
        </row>
        <row r="1453">
          <cell r="B1453" t="str">
            <v>KSD0113-ORB</v>
          </cell>
        </row>
        <row r="1454">
          <cell r="B1454" t="str">
            <v>L220412-BG</v>
          </cell>
        </row>
        <row r="1455">
          <cell r="B1455" t="str">
            <v>221209-ORB</v>
          </cell>
        </row>
        <row r="1456">
          <cell r="B1456" t="str">
            <v>220713-BK</v>
          </cell>
        </row>
        <row r="1457">
          <cell r="B1457" t="str">
            <v>220311-BK</v>
          </cell>
        </row>
        <row r="1458">
          <cell r="B1458" t="str">
            <v>L220312-ORB</v>
          </cell>
        </row>
        <row r="1459">
          <cell r="B1459" t="str">
            <v>220111-BK</v>
          </cell>
        </row>
        <row r="1460">
          <cell r="B1460" t="str">
            <v>WK-2211+12-CP</v>
          </cell>
        </row>
        <row r="1461">
          <cell r="B1461" t="str">
            <v>WK-2211+12-BK</v>
          </cell>
        </row>
        <row r="1462">
          <cell r="B1462" t="str">
            <v>220106-BG</v>
          </cell>
        </row>
        <row r="1463">
          <cell r="B1463" t="str">
            <v>221208-ORB</v>
          </cell>
        </row>
        <row r="1464">
          <cell r="B1464" t="str">
            <v>220912-BN</v>
          </cell>
        </row>
        <row r="1465">
          <cell r="B1465" t="str">
            <v>220712-CP</v>
          </cell>
        </row>
        <row r="1466">
          <cell r="B1466" t="str">
            <v>220406-ORB</v>
          </cell>
        </row>
        <row r="1467">
          <cell r="B1467" t="str">
            <v>220407-CP</v>
          </cell>
        </row>
        <row r="1468">
          <cell r="B1468" t="str">
            <v>L220312-BG</v>
          </cell>
        </row>
        <row r="1469">
          <cell r="B1469" t="str">
            <v>220311-ORB</v>
          </cell>
        </row>
        <row r="1470">
          <cell r="B1470" t="str">
            <v>220106-ORB</v>
          </cell>
        </row>
        <row r="1471">
          <cell r="B1471" t="str">
            <v>220712-BG</v>
          </cell>
        </row>
        <row r="1472">
          <cell r="B1472" t="str">
            <v>220112-ORB</v>
          </cell>
        </row>
        <row r="1473">
          <cell r="B1473" t="str">
            <v>220406-CP</v>
          </cell>
        </row>
        <row r="1474">
          <cell r="B1474" t="str">
            <v>220406-BG</v>
          </cell>
        </row>
        <row r="1475">
          <cell r="B1475" t="str">
            <v>221304-BK</v>
          </cell>
        </row>
        <row r="1476">
          <cell r="B1476" t="str">
            <v>WK-2211+12-BN</v>
          </cell>
        </row>
        <row r="1477">
          <cell r="B1477" t="str">
            <v>220407-BG</v>
          </cell>
        </row>
        <row r="1478">
          <cell r="B1478" t="str">
            <v>220713-ORB</v>
          </cell>
        </row>
        <row r="1479">
          <cell r="B1479" t="str">
            <v>B2212</v>
          </cell>
        </row>
        <row r="1480">
          <cell r="B1480" t="str">
            <v>220106-CP</v>
          </cell>
        </row>
        <row r="1481">
          <cell r="B1481" t="str">
            <v>220111-BG</v>
          </cell>
        </row>
        <row r="1482">
          <cell r="B1482" t="str">
            <v>220106-BN</v>
          </cell>
        </row>
        <row r="1483">
          <cell r="B1483" t="str">
            <v>B220312-CP</v>
          </cell>
        </row>
        <row r="1484">
          <cell r="B1484" t="str">
            <v>221304-ORB</v>
          </cell>
        </row>
        <row r="1485">
          <cell r="B1485" t="str">
            <v>220111-CP</v>
          </cell>
        </row>
        <row r="1486">
          <cell r="B1486" t="str">
            <v>220311-BG</v>
          </cell>
        </row>
        <row r="1487">
          <cell r="B1487" t="str">
            <v>220112-CP</v>
          </cell>
        </row>
        <row r="1488">
          <cell r="B1488" t="str">
            <v>KSD0101-BN</v>
          </cell>
        </row>
        <row r="1489">
          <cell r="B1489" t="str">
            <v>KSD0113-CP</v>
          </cell>
        </row>
        <row r="1490">
          <cell r="B1490" t="str">
            <v>220111-BN</v>
          </cell>
        </row>
        <row r="1491">
          <cell r="B1491" t="str">
            <v>220311-BN</v>
          </cell>
        </row>
        <row r="1492">
          <cell r="B1492" t="str">
            <v>B2212-BN</v>
          </cell>
        </row>
        <row r="1492">
          <cell r="P1492" t="str">
            <v>320F0022BN1</v>
          </cell>
        </row>
        <row r="1493">
          <cell r="B1493" t="str">
            <v>221311-ORB</v>
          </cell>
        </row>
        <row r="1494">
          <cell r="B1494" t="str">
            <v>220912-CP</v>
          </cell>
        </row>
        <row r="1495">
          <cell r="B1495" t="str">
            <v>B220412-CP</v>
          </cell>
        </row>
        <row r="1496">
          <cell r="B1496" t="str">
            <v>L220412-BN</v>
          </cell>
        </row>
        <row r="1497">
          <cell r="B1497" t="str">
            <v>KSD0101-ORB</v>
          </cell>
        </row>
        <row r="1498">
          <cell r="B1498" t="str">
            <v>220407-BK</v>
          </cell>
        </row>
        <row r="1499">
          <cell r="B1499" t="str">
            <v>220112-BK</v>
          </cell>
        </row>
        <row r="1500">
          <cell r="B1500" t="str">
            <v>9608+9604BN</v>
          </cell>
        </row>
        <row r="1501">
          <cell r="B1501" t="str">
            <v>9601+9609CP</v>
          </cell>
        </row>
        <row r="1502">
          <cell r="B1502" t="str">
            <v>KZ-9608BN</v>
          </cell>
        </row>
        <row r="1502">
          <cell r="P1502" t="str">
            <v>222F0096BN1</v>
          </cell>
        </row>
        <row r="1503">
          <cell r="B1503" t="str">
            <v>BK9608+9604</v>
          </cell>
        </row>
        <row r="1504">
          <cell r="B1504" t="str">
            <v>KZ-9607ORB</v>
          </cell>
        </row>
        <row r="1504">
          <cell r="P1504" t="str">
            <v>221F0096OB1</v>
          </cell>
        </row>
        <row r="1505">
          <cell r="B1505" t="str">
            <v>KZ-9607CP</v>
          </cell>
        </row>
        <row r="1505">
          <cell r="P1505" t="str">
            <v>221F0096CP1</v>
          </cell>
        </row>
        <row r="1506">
          <cell r="B1506" t="str">
            <v>KZ-9607BG</v>
          </cell>
        </row>
        <row r="1506">
          <cell r="P1506" t="str">
            <v>221F0096BG1</v>
          </cell>
        </row>
        <row r="1507">
          <cell r="B1507" t="str">
            <v>9609+9604BN</v>
          </cell>
        </row>
        <row r="1508">
          <cell r="B1508" t="str">
            <v>KZ-9609CP</v>
          </cell>
        </row>
        <row r="1508">
          <cell r="P1508" t="str">
            <v>223F0096CP1</v>
          </cell>
        </row>
        <row r="1509">
          <cell r="B1509" t="str">
            <v>KZ-9608BG</v>
          </cell>
        </row>
        <row r="1509">
          <cell r="P1509" t="str">
            <v>222F0096BG1</v>
          </cell>
        </row>
        <row r="1510">
          <cell r="B1510" t="str">
            <v>KZ-CP-9611+9601</v>
          </cell>
        </row>
        <row r="1511">
          <cell r="B1511" t="str">
            <v>KZ-9604BN</v>
          </cell>
        </row>
        <row r="1511">
          <cell r="P1511" t="str">
            <v>140F0096BN1</v>
          </cell>
        </row>
        <row r="1512">
          <cell r="B1512" t="str">
            <v>9604+9609BG</v>
          </cell>
        </row>
        <row r="1513">
          <cell r="B1513" t="str">
            <v>KZ-9608ORB+KZ-9604ORB</v>
          </cell>
        </row>
        <row r="1514">
          <cell r="B1514" t="str">
            <v>KZ-BK-9611+9601</v>
          </cell>
        </row>
        <row r="1515">
          <cell r="B1515" t="str">
            <v>KZ-9609BG</v>
          </cell>
        </row>
        <row r="1515">
          <cell r="P1515" t="str">
            <v>223F0096BG1</v>
          </cell>
        </row>
        <row r="1516">
          <cell r="B1516" t="str">
            <v>KZ-9607BN</v>
          </cell>
        </row>
        <row r="1516">
          <cell r="P1516" t="str">
            <v>221F0096BN1</v>
          </cell>
        </row>
        <row r="1517">
          <cell r="B1517" t="str">
            <v>KZ-CP-9611+9604</v>
          </cell>
        </row>
        <row r="1518">
          <cell r="B1518" t="str">
            <v>KZ-9607-ZZ</v>
          </cell>
        </row>
        <row r="1518">
          <cell r="P1518" t="str">
            <v>父体</v>
          </cell>
        </row>
        <row r="1519">
          <cell r="B1519" t="str">
            <v>KZ-9609BG</v>
          </cell>
        </row>
        <row r="1519">
          <cell r="P1519" t="str">
            <v>223F0096BG1</v>
          </cell>
        </row>
        <row r="1520">
          <cell r="B1520" t="str">
            <v>KZ-9608BN</v>
          </cell>
        </row>
        <row r="1520">
          <cell r="P1520" t="str">
            <v>222F0096BN1</v>
          </cell>
        </row>
        <row r="1521">
          <cell r="B1521" t="str">
            <v>9608+9601ORB</v>
          </cell>
        </row>
        <row r="1522">
          <cell r="B1522" t="str">
            <v>KZ-BG-9611+9601</v>
          </cell>
        </row>
        <row r="1523">
          <cell r="B1523" t="str">
            <v>KZ-9609BK</v>
          </cell>
        </row>
        <row r="1523">
          <cell r="P1523" t="str">
            <v>223F0096BK1</v>
          </cell>
        </row>
        <row r="1524">
          <cell r="B1524" t="str">
            <v>KZ-9608BK</v>
          </cell>
        </row>
        <row r="1524">
          <cell r="P1524" t="str">
            <v>222F0096BK1</v>
          </cell>
        </row>
        <row r="1525">
          <cell r="B1525" t="str">
            <v>9601+9607CP</v>
          </cell>
        </row>
        <row r="1526">
          <cell r="B1526" t="str">
            <v>PF01BN-GM</v>
          </cell>
        </row>
        <row r="1526">
          <cell r="P1526" t="str">
            <v>430F0800BN2</v>
          </cell>
        </row>
        <row r="1527">
          <cell r="B1527" t="str">
            <v>KZ-9608CP</v>
          </cell>
        </row>
        <row r="1527">
          <cell r="P1527" t="str">
            <v>222F0096CP1</v>
          </cell>
        </row>
        <row r="1528">
          <cell r="B1528" t="str">
            <v>KZ-BK-9604+9611</v>
          </cell>
        </row>
        <row r="1529">
          <cell r="B1529" t="str">
            <v>KZ-9608BG</v>
          </cell>
        </row>
        <row r="1529">
          <cell r="P1529" t="str">
            <v>222F0096BG1</v>
          </cell>
        </row>
        <row r="1530">
          <cell r="B1530" t="str">
            <v>KZ-9607BK</v>
          </cell>
        </row>
        <row r="1530">
          <cell r="P1530" t="str">
            <v>221F0096BK1</v>
          </cell>
        </row>
        <row r="1531">
          <cell r="B1531" t="str">
            <v>KZ-BG-9611+9604</v>
          </cell>
        </row>
        <row r="1532">
          <cell r="B1532" t="str">
            <v>9607+9604BN</v>
          </cell>
        </row>
        <row r="1533">
          <cell r="B1533" t="str">
            <v>YG6302BG</v>
          </cell>
        </row>
        <row r="1533">
          <cell r="P1533" t="str">
            <v>221F6301BG4</v>
          </cell>
        </row>
        <row r="1534">
          <cell r="B1534" t="str">
            <v>KZ-9608CP</v>
          </cell>
        </row>
        <row r="1534">
          <cell r="P1534" t="str">
            <v>222F0096CP1</v>
          </cell>
        </row>
        <row r="1535">
          <cell r="B1535" t="str">
            <v>KZ-BN-9611+9604</v>
          </cell>
        </row>
        <row r="1536">
          <cell r="B1536" t="str">
            <v>KZ-9609ORB</v>
          </cell>
        </row>
        <row r="1536">
          <cell r="P1536" t="str">
            <v>223F0096OB1</v>
          </cell>
        </row>
        <row r="1537">
          <cell r="B1537" t="str">
            <v>BN9607+9601</v>
          </cell>
        </row>
        <row r="1538">
          <cell r="B1538" t="str">
            <v>9604+9607ORB</v>
          </cell>
        </row>
        <row r="1539">
          <cell r="B1539" t="str">
            <v>KZ-9604BN</v>
          </cell>
        </row>
        <row r="1539">
          <cell r="P1539" t="str">
            <v>140F0096BN1</v>
          </cell>
        </row>
        <row r="1540">
          <cell r="B1540" t="str">
            <v>9608+9601CP</v>
          </cell>
        </row>
        <row r="1541">
          <cell r="B1541" t="str">
            <v>YG6302BG</v>
          </cell>
        </row>
        <row r="1541">
          <cell r="P1541" t="str">
            <v>221F6301BG4</v>
          </cell>
        </row>
        <row r="1542">
          <cell r="B1542" t="str">
            <v>KZ-9608ORB</v>
          </cell>
        </row>
        <row r="1542">
          <cell r="P1542" t="str">
            <v>222F0096OB1</v>
          </cell>
        </row>
        <row r="1543">
          <cell r="B1543" t="str">
            <v>LY08083-DD</v>
          </cell>
        </row>
        <row r="1544">
          <cell r="B1544" t="str">
            <v>LY08083</v>
          </cell>
        </row>
        <row r="1545">
          <cell r="B1545" t="str">
            <v>9601+9609BG</v>
          </cell>
        </row>
        <row r="1546">
          <cell r="B1546" t="str">
            <v>9608+9604BG</v>
          </cell>
        </row>
        <row r="1547">
          <cell r="B1547" t="str">
            <v>KZ-9607BK</v>
          </cell>
        </row>
        <row r="1547">
          <cell r="P1547" t="str">
            <v>221F0096BK1</v>
          </cell>
        </row>
        <row r="1548">
          <cell r="B1548" t="str">
            <v>KZ-9607BG</v>
          </cell>
        </row>
        <row r="1548">
          <cell r="P1548" t="str">
            <v>221F0096BG1</v>
          </cell>
        </row>
        <row r="1549">
          <cell r="B1549" t="str">
            <v>9607+9604BG</v>
          </cell>
        </row>
        <row r="1550">
          <cell r="B1550" t="str">
            <v>ORB9607+9601</v>
          </cell>
        </row>
        <row r="1551">
          <cell r="B1551" t="str">
            <v>LY08082</v>
          </cell>
        </row>
        <row r="1552">
          <cell r="B1552" t="str">
            <v>9604+9607CP</v>
          </cell>
        </row>
        <row r="1553">
          <cell r="B1553" t="str">
            <v>KZ-9609ORB</v>
          </cell>
        </row>
        <row r="1553">
          <cell r="P1553" t="str">
            <v>223F0096OB1</v>
          </cell>
        </row>
        <row r="1554">
          <cell r="B1554" t="str">
            <v>KZ-ORB-9604+9611</v>
          </cell>
        </row>
        <row r="1555">
          <cell r="B1555" t="str">
            <v>KZ-ORB-9611+9601</v>
          </cell>
        </row>
        <row r="1556">
          <cell r="B1556" t="str">
            <v>KZ-9608ORB</v>
          </cell>
        </row>
        <row r="1556">
          <cell r="P1556" t="str">
            <v>222F0096OB1</v>
          </cell>
        </row>
        <row r="1557">
          <cell r="B1557" t="str">
            <v>YG6353</v>
          </cell>
        </row>
        <row r="1558">
          <cell r="B1558" t="str">
            <v>9609+9601BN</v>
          </cell>
        </row>
        <row r="1559">
          <cell r="B1559" t="str">
            <v>BK9609+9601</v>
          </cell>
        </row>
        <row r="1560">
          <cell r="B1560" t="str">
            <v>9604+9607BK</v>
          </cell>
        </row>
        <row r="1561">
          <cell r="B1561" t="str">
            <v>LY08081-RQ</v>
          </cell>
        </row>
        <row r="1562">
          <cell r="B1562" t="str">
            <v>KZ-BN-9611+9601</v>
          </cell>
        </row>
        <row r="1563">
          <cell r="B1563" t="str">
            <v>9604+9609BK</v>
          </cell>
        </row>
        <row r="1564">
          <cell r="B1564" t="str">
            <v>9601+9609ORB</v>
          </cell>
        </row>
        <row r="1565">
          <cell r="B1565" t="str">
            <v>KZ-9604CP+KZ-9608CP</v>
          </cell>
        </row>
        <row r="1566">
          <cell r="B1566" t="str">
            <v>KZ-9609CP</v>
          </cell>
        </row>
        <row r="1566">
          <cell r="P1566" t="str">
            <v>223F0096CP1</v>
          </cell>
        </row>
        <row r="1567">
          <cell r="B1567" t="str">
            <v>9609+9604CP</v>
          </cell>
        </row>
        <row r="1568">
          <cell r="B1568" t="str">
            <v>YG6353</v>
          </cell>
        </row>
        <row r="1569">
          <cell r="B1569" t="str">
            <v>L5201-6203-BN</v>
          </cell>
        </row>
        <row r="1570">
          <cell r="B1570" t="str">
            <v>NB2208</v>
          </cell>
        </row>
        <row r="1571">
          <cell r="B1571" t="str">
            <v>520106-ORB</v>
          </cell>
        </row>
        <row r="1572">
          <cell r="B1572" t="str">
            <v>L5201-6203-BG</v>
          </cell>
        </row>
        <row r="1573">
          <cell r="B1573" t="str">
            <v>L5201-6203-CP</v>
          </cell>
        </row>
        <row r="1574">
          <cell r="B1574" t="str">
            <v>520106-BK</v>
          </cell>
        </row>
        <row r="1575">
          <cell r="B1575" t="str">
            <v>NL2201</v>
          </cell>
        </row>
        <row r="1576">
          <cell r="B1576" t="str">
            <v>L5201-B6206-BK</v>
          </cell>
        </row>
        <row r="1577">
          <cell r="B1577" t="str">
            <v>520103-CP</v>
          </cell>
        </row>
        <row r="1578">
          <cell r="B1578" t="str">
            <v>520106-GC</v>
          </cell>
        </row>
        <row r="1579">
          <cell r="B1579" t="str">
            <v>L5201</v>
          </cell>
        </row>
        <row r="1580">
          <cell r="B1580" t="str">
            <v>520103-BN</v>
          </cell>
        </row>
        <row r="1581">
          <cell r="B1581" t="str">
            <v>L5201-6203-BK</v>
          </cell>
        </row>
        <row r="1582">
          <cell r="B1582" t="str">
            <v>L5201-6203-ORB</v>
          </cell>
        </row>
        <row r="1583">
          <cell r="B1583" t="str">
            <v>520106-BN</v>
          </cell>
        </row>
        <row r="1584">
          <cell r="B1584" t="str">
            <v>520103-BK</v>
          </cell>
        </row>
        <row r="1585">
          <cell r="B1585" t="str">
            <v>520103-BG</v>
          </cell>
        </row>
        <row r="1586">
          <cell r="B1586" t="str">
            <v>520106-BG</v>
          </cell>
        </row>
        <row r="1587">
          <cell r="B1587" t="str">
            <v>L5201-B6206-BN</v>
          </cell>
        </row>
        <row r="1588">
          <cell r="B1588" t="str">
            <v>L5201-B6206-ORB</v>
          </cell>
        </row>
        <row r="1589">
          <cell r="B1589" t="str">
            <v>520103-ORB</v>
          </cell>
        </row>
        <row r="1590">
          <cell r="B1590" t="str">
            <v>L5201-B6206-CP&amp;GY</v>
          </cell>
        </row>
        <row r="1591">
          <cell r="B1591" t="str">
            <v>WT-ZZ01CP01</v>
          </cell>
        </row>
        <row r="1591">
          <cell r="P1591" t="str">
            <v>390F0001CP1</v>
          </cell>
        </row>
        <row r="1592">
          <cell r="B1592" t="str">
            <v>WT-9806BG</v>
          </cell>
        </row>
        <row r="1592">
          <cell r="P1592" t="str">
            <v>230F0098BG1</v>
          </cell>
        </row>
        <row r="1593">
          <cell r="B1593" t="str">
            <v>WT-9808CPZZ02</v>
          </cell>
        </row>
        <row r="1593">
          <cell r="P1593" t="str">
            <v>222F0098CP1</v>
          </cell>
        </row>
        <row r="1594">
          <cell r="B1594" t="str">
            <v>WT-9809BK</v>
          </cell>
        </row>
        <row r="1594">
          <cell r="P1594" t="str">
            <v>223F0098BK1</v>
          </cell>
        </row>
        <row r="1595">
          <cell r="B1595" t="str">
            <v>WT-9805BKZZ03</v>
          </cell>
        </row>
        <row r="1595">
          <cell r="P1595" t="str">
            <v>150F0098BK1</v>
          </cell>
        </row>
        <row r="1596">
          <cell r="B1596" t="str">
            <v>WT-9808BN</v>
          </cell>
        </row>
        <row r="1596">
          <cell r="P1596" t="str">
            <v>222F0098BN1</v>
          </cell>
        </row>
        <row r="1597">
          <cell r="B1597" t="str">
            <v>WT-9807BKZZ07</v>
          </cell>
        </row>
        <row r="1597">
          <cell r="P1597" t="str">
            <v>221F0098BK1</v>
          </cell>
        </row>
        <row r="1598">
          <cell r="B1598" t="str">
            <v>WT-9807ORB02</v>
          </cell>
        </row>
        <row r="1598">
          <cell r="P1598" t="str">
            <v>221F0098OB1</v>
          </cell>
        </row>
        <row r="1599">
          <cell r="B1599" t="str">
            <v>WT-9806ORB</v>
          </cell>
        </row>
        <row r="1599">
          <cell r="P1599" t="str">
            <v>230F0098OB1</v>
          </cell>
        </row>
        <row r="1600">
          <cell r="B1600" t="str">
            <v>WT-9802ORBZZ02</v>
          </cell>
        </row>
        <row r="1600">
          <cell r="P1600" t="str">
            <v>120F0098OB1</v>
          </cell>
        </row>
        <row r="1601">
          <cell r="B1601" t="str">
            <v>WT-9802CPZZ02</v>
          </cell>
        </row>
        <row r="1601">
          <cell r="P1601" t="str">
            <v>120F0098CP1</v>
          </cell>
        </row>
        <row r="1602">
          <cell r="B1602" t="str">
            <v>WT-ZZ01CP15</v>
          </cell>
        </row>
        <row r="1602">
          <cell r="P1602" t="str">
            <v>390F0001CP1</v>
          </cell>
        </row>
        <row r="1603">
          <cell r="B1603" t="str">
            <v>WT-ZZ01BK01</v>
          </cell>
        </row>
        <row r="1603">
          <cell r="P1603" t="str">
            <v>390F0001BK1</v>
          </cell>
        </row>
        <row r="1604">
          <cell r="B1604" t="str">
            <v>WT-9808ORB02</v>
          </cell>
        </row>
        <row r="1604">
          <cell r="P1604" t="str">
            <v>222F0098OB1</v>
          </cell>
        </row>
        <row r="1605">
          <cell r="B1605" t="str">
            <v>WT-ZZ01BN01</v>
          </cell>
        </row>
        <row r="1605">
          <cell r="P1605" t="str">
            <v>390F0001BN1</v>
          </cell>
        </row>
        <row r="1606">
          <cell r="B1606" t="str">
            <v>WT-9806CP</v>
          </cell>
        </row>
        <row r="1606">
          <cell r="P1606" t="str">
            <v>230F0098CP1</v>
          </cell>
        </row>
        <row r="1607">
          <cell r="B1607" t="str">
            <v>WT-9807BKZZ</v>
          </cell>
        </row>
        <row r="1607">
          <cell r="P1607" t="str">
            <v>221F0098BK1</v>
          </cell>
        </row>
        <row r="1608">
          <cell r="B1608" t="str">
            <v>WT-9807BG02</v>
          </cell>
        </row>
        <row r="1608">
          <cell r="P1608" t="str">
            <v>221F0098BG1</v>
          </cell>
        </row>
        <row r="1609">
          <cell r="B1609" t="str">
            <v>WT-9802RGBKZZ</v>
          </cell>
        </row>
        <row r="1609">
          <cell r="P1609" t="str">
            <v>120F0098RB1</v>
          </cell>
        </row>
        <row r="1610">
          <cell r="B1610" t="str">
            <v>WT-9811BN</v>
          </cell>
        </row>
        <row r="1610">
          <cell r="P1610" t="str">
            <v>211F0098BN1</v>
          </cell>
        </row>
        <row r="1611">
          <cell r="B1611" t="str">
            <v>WT-9812BG</v>
          </cell>
        </row>
        <row r="1611">
          <cell r="P1611" t="str">
            <v>320F0098BG1</v>
          </cell>
        </row>
        <row r="1612">
          <cell r="B1612" t="str">
            <v>WT-9807RGBK</v>
          </cell>
        </row>
        <row r="1612">
          <cell r="P1612" t="str">
            <v>221F0098RB1</v>
          </cell>
        </row>
        <row r="1613">
          <cell r="B1613" t="str">
            <v>WT-9812BG</v>
          </cell>
        </row>
        <row r="1613">
          <cell r="P1613" t="str">
            <v>320F0098BG1</v>
          </cell>
        </row>
        <row r="1614">
          <cell r="B1614" t="str">
            <v>WT-9807BK02</v>
          </cell>
        </row>
        <row r="1614">
          <cell r="P1614" t="str">
            <v>221F0098BK1</v>
          </cell>
        </row>
        <row r="1615">
          <cell r="B1615" t="str">
            <v>WT-9809RGBK</v>
          </cell>
        </row>
        <row r="1615">
          <cell r="P1615" t="str">
            <v>223F0098RB1</v>
          </cell>
        </row>
        <row r="1616">
          <cell r="B1616" t="str">
            <v>WT-9807CPZZ03</v>
          </cell>
        </row>
        <row r="1616">
          <cell r="P1616" t="str">
            <v>221F0098CP1</v>
          </cell>
        </row>
        <row r="1617">
          <cell r="B1617" t="str">
            <v>WT-ZZ01CP15</v>
          </cell>
        </row>
        <row r="1617">
          <cell r="P1617" t="str">
            <v>390F0001CP1</v>
          </cell>
        </row>
        <row r="1618">
          <cell r="B1618" t="str">
            <v>WT-9808-9809</v>
          </cell>
        </row>
        <row r="1619">
          <cell r="B1619" t="str">
            <v>WT-9802CPZZ02</v>
          </cell>
        </row>
        <row r="1619">
          <cell r="P1619" t="str">
            <v>120F0098CP1</v>
          </cell>
        </row>
        <row r="1620">
          <cell r="B1620" t="str">
            <v>WT-9805BKZZ00</v>
          </cell>
        </row>
        <row r="1620">
          <cell r="P1620" t="str">
            <v>150F0098BK1</v>
          </cell>
        </row>
        <row r="1621">
          <cell r="B1621" t="str">
            <v>WT-9807ORBZZ02</v>
          </cell>
        </row>
        <row r="1621">
          <cell r="P1621" t="str">
            <v>221F0098OB1</v>
          </cell>
        </row>
        <row r="1622">
          <cell r="B1622" t="str">
            <v>WT-9808BG</v>
          </cell>
        </row>
        <row r="1622">
          <cell r="P1622" t="str">
            <v>222F0098BG1</v>
          </cell>
        </row>
        <row r="1623">
          <cell r="B1623" t="str">
            <v>WT-9807BNZZ</v>
          </cell>
        </row>
        <row r="1623">
          <cell r="P1623" t="str">
            <v>221F0098BN1</v>
          </cell>
        </row>
        <row r="1624">
          <cell r="B1624" t="str">
            <v>WT-9807BKZZ08</v>
          </cell>
        </row>
        <row r="1624">
          <cell r="P1624" t="str">
            <v>221F0098BK1</v>
          </cell>
        </row>
        <row r="1625">
          <cell r="B1625" t="str">
            <v>WT-ZZ01BK01</v>
          </cell>
        </row>
        <row r="1625">
          <cell r="P1625" t="str">
            <v>390F0001BK1</v>
          </cell>
        </row>
        <row r="1626">
          <cell r="B1626" t="str">
            <v>WT-9806BN</v>
          </cell>
        </row>
        <row r="1626">
          <cell r="P1626" t="str">
            <v>230F0098BN1</v>
          </cell>
        </row>
        <row r="1627">
          <cell r="B1627" t="str">
            <v>WT-9807BNZZ02</v>
          </cell>
        </row>
        <row r="1627">
          <cell r="P1627" t="str">
            <v>221F0098BN1</v>
          </cell>
        </row>
        <row r="1628">
          <cell r="B1628" t="str">
            <v>WT-9811BK</v>
          </cell>
        </row>
        <row r="1628">
          <cell r="P1628" t="str">
            <v>211F0098BK2</v>
          </cell>
        </row>
        <row r="1629">
          <cell r="B1629" t="str">
            <v>WT-9809BN02</v>
          </cell>
        </row>
        <row r="1629">
          <cell r="P1629" t="str">
            <v>223F0098BN1</v>
          </cell>
        </row>
        <row r="1630">
          <cell r="B1630" t="str">
            <v>WT-9002ORB</v>
          </cell>
        </row>
        <row r="1630">
          <cell r="P1630" t="str">
            <v>211F9002OB1</v>
          </cell>
        </row>
        <row r="1631">
          <cell r="B1631" t="str">
            <v>WT-9807BKZZ03</v>
          </cell>
        </row>
        <row r="1631">
          <cell r="P1631" t="str">
            <v>221F0098BK1</v>
          </cell>
        </row>
        <row r="1632">
          <cell r="B1632" t="str">
            <v>AX-1FZA-UKWS</v>
          </cell>
        </row>
        <row r="1632">
          <cell r="P1632" t="str">
            <v>211F8000CP1</v>
          </cell>
        </row>
        <row r="1633">
          <cell r="B1633" t="str">
            <v>WT-ZZ01CP01</v>
          </cell>
        </row>
        <row r="1633">
          <cell r="P1633" t="str">
            <v>390F0001CP1</v>
          </cell>
        </row>
        <row r="1634">
          <cell r="B1634" t="str">
            <v>WT-ZZ01BN01</v>
          </cell>
        </row>
        <row r="1634">
          <cell r="P1634" t="str">
            <v>390F0001BN1</v>
          </cell>
        </row>
        <row r="1635">
          <cell r="B1635" t="str">
            <v>WT-9807CPZZ02</v>
          </cell>
        </row>
        <row r="1635">
          <cell r="P1635" t="str">
            <v>221F0098CP1</v>
          </cell>
        </row>
        <row r="1636">
          <cell r="B1636" t="str">
            <v>WT-9806BK</v>
          </cell>
        </row>
        <row r="1636">
          <cell r="P1636" t="str">
            <v>230F0098BK1</v>
          </cell>
        </row>
        <row r="1637">
          <cell r="B1637" t="str">
            <v>WT-9806BN</v>
          </cell>
        </row>
        <row r="1637">
          <cell r="P1637" t="str">
            <v>230F0098BN1</v>
          </cell>
        </row>
        <row r="1638">
          <cell r="B1638" t="str">
            <v>WT-9002BN</v>
          </cell>
        </row>
        <row r="1638">
          <cell r="P1638" t="str">
            <v>211F9002BN2</v>
          </cell>
        </row>
        <row r="1639">
          <cell r="B1639" t="str">
            <v>WT-9811RGBK</v>
          </cell>
        </row>
        <row r="1639">
          <cell r="P1639" t="str">
            <v>211F0098RB1</v>
          </cell>
        </row>
        <row r="1640">
          <cell r="B1640" t="str">
            <v>WT-9807BG</v>
          </cell>
        </row>
        <row r="1640">
          <cell r="P1640" t="str">
            <v>221F0098BG1</v>
          </cell>
        </row>
        <row r="1641">
          <cell r="B1641" t="str">
            <v>WT-9812BN</v>
          </cell>
        </row>
        <row r="1641">
          <cell r="P1641" t="str">
            <v>320F0098BN1</v>
          </cell>
        </row>
        <row r="1642">
          <cell r="B1642" t="str">
            <v>WT-9802CPZZ</v>
          </cell>
        </row>
        <row r="1642">
          <cell r="P1642" t="str">
            <v>120F0098CP1</v>
          </cell>
        </row>
        <row r="1643">
          <cell r="B1643" t="str">
            <v>1L-Q4XB-YLA2</v>
          </cell>
        </row>
        <row r="1643">
          <cell r="P1643" t="str">
            <v>211F8000BN1</v>
          </cell>
        </row>
        <row r="1644">
          <cell r="B1644" t="str">
            <v>1L-Q4XB-YLA2</v>
          </cell>
        </row>
        <row r="1644">
          <cell r="P1644" t="str">
            <v>211F8000BN1</v>
          </cell>
        </row>
        <row r="1645">
          <cell r="B1645" t="str">
            <v>WT-9807BKZZ08</v>
          </cell>
        </row>
        <row r="1645">
          <cell r="P1645" t="str">
            <v>221F0098BK1</v>
          </cell>
        </row>
        <row r="1646">
          <cell r="B1646" t="str">
            <v>WT-9802BNZZ02</v>
          </cell>
        </row>
        <row r="1646">
          <cell r="P1646" t="str">
            <v>120F0098BN1</v>
          </cell>
        </row>
        <row r="1647">
          <cell r="B1647" t="str">
            <v>WT-9806BK</v>
          </cell>
        </row>
        <row r="1647">
          <cell r="P1647" t="str">
            <v>230F0098BK1</v>
          </cell>
        </row>
        <row r="1648">
          <cell r="B1648" t="str">
            <v>WT-9807BKZZ07</v>
          </cell>
        </row>
        <row r="1648">
          <cell r="P1648" t="str">
            <v>221F0098BK1</v>
          </cell>
        </row>
        <row r="1649">
          <cell r="B1649" t="str">
            <v>WT-9807CPZZ02</v>
          </cell>
        </row>
        <row r="1649">
          <cell r="P1649" t="str">
            <v>221F0098CP1</v>
          </cell>
        </row>
        <row r="1650">
          <cell r="B1650" t="str">
            <v>WT-9807BN</v>
          </cell>
        </row>
        <row r="1650">
          <cell r="P1650" t="str">
            <v>221F0098BN1</v>
          </cell>
        </row>
        <row r="1651">
          <cell r="B1651" t="str">
            <v>WT-9806ORB</v>
          </cell>
        </row>
        <row r="1651">
          <cell r="P1651" t="str">
            <v>230F0098OB1</v>
          </cell>
        </row>
        <row r="1652">
          <cell r="B1652" t="str">
            <v>PU-4540-MYN4</v>
          </cell>
        </row>
        <row r="1652">
          <cell r="P1652" t="str">
            <v>211F8000OB1</v>
          </cell>
        </row>
        <row r="1653">
          <cell r="B1653" t="str">
            <v>WT-9802ORBZZ</v>
          </cell>
        </row>
        <row r="1653">
          <cell r="P1653" t="str">
            <v>120F0098OB1</v>
          </cell>
        </row>
        <row r="1654">
          <cell r="B1654" t="str">
            <v>WT-ZZ01CP01</v>
          </cell>
        </row>
        <row r="1654">
          <cell r="P1654" t="str">
            <v>390F0001CP1</v>
          </cell>
        </row>
        <row r="1655">
          <cell r="B1655" t="str">
            <v>WT-9809RGBK</v>
          </cell>
        </row>
        <row r="1655">
          <cell r="P1655" t="str">
            <v>223F0098RB1</v>
          </cell>
        </row>
        <row r="1656">
          <cell r="B1656" t="str">
            <v>WT-ZZ01BK01</v>
          </cell>
        </row>
        <row r="1656">
          <cell r="P1656" t="str">
            <v>390F0001BK1</v>
          </cell>
        </row>
        <row r="1657">
          <cell r="B1657" t="str">
            <v>WT-9806CP</v>
          </cell>
        </row>
        <row r="1657">
          <cell r="P1657" t="str">
            <v>230F0098CP1</v>
          </cell>
        </row>
        <row r="1658">
          <cell r="B1658" t="str">
            <v>WT-9811ORB</v>
          </cell>
        </row>
        <row r="1658">
          <cell r="P1658" t="str">
            <v>211F0098OB1</v>
          </cell>
        </row>
        <row r="1659">
          <cell r="B1659" t="str">
            <v>WT-9807RGBK</v>
          </cell>
        </row>
        <row r="1659">
          <cell r="P1659" t="str">
            <v>221F0098RB1</v>
          </cell>
        </row>
        <row r="1660">
          <cell r="B1660" t="str">
            <v>WT-9811BG</v>
          </cell>
        </row>
        <row r="1660">
          <cell r="P1660" t="str">
            <v>211F0098BG1</v>
          </cell>
        </row>
        <row r="1661">
          <cell r="B1661" t="str">
            <v>WT-9807BG02</v>
          </cell>
        </row>
        <row r="1661">
          <cell r="P1661" t="str">
            <v>221F0098BG1</v>
          </cell>
        </row>
        <row r="1662">
          <cell r="B1662" t="str">
            <v>WT-9812BGZZ</v>
          </cell>
        </row>
        <row r="1662">
          <cell r="P1662" t="str">
            <v>320F0098BG1</v>
          </cell>
        </row>
        <row r="1663">
          <cell r="B1663" t="str">
            <v>WT-9808BN WT-9804BN</v>
          </cell>
        </row>
        <row r="1664">
          <cell r="B1664" t="str">
            <v>WT-9002+12-BN</v>
          </cell>
        </row>
        <row r="1665">
          <cell r="B1665" t="str">
            <v>WT-9809BK WT-9804BK</v>
          </cell>
        </row>
        <row r="1666">
          <cell r="B1666" t="str">
            <v>WT-1003-TH</v>
          </cell>
        </row>
        <row r="1667">
          <cell r="B1667" t="str">
            <v>WT-9807CPZZ02</v>
          </cell>
        </row>
        <row r="1667">
          <cell r="P1667" t="str">
            <v>221F0098CP1</v>
          </cell>
        </row>
        <row r="1668">
          <cell r="B1668" t="str">
            <v>WT-9002-9806-9804-CP</v>
          </cell>
        </row>
        <row r="1669">
          <cell r="B1669" t="str">
            <v>WT-3317BN5-ZZ</v>
          </cell>
        </row>
        <row r="1669">
          <cell r="P1669" t="str">
            <v>310F3317BN6</v>
          </cell>
        </row>
        <row r="1670">
          <cell r="B1670" t="str">
            <v>WT-9809-B830-9801-ORB</v>
          </cell>
        </row>
        <row r="1671">
          <cell r="B1671" t="str">
            <v>WT-9812+07+9002-CP02</v>
          </cell>
        </row>
        <row r="1672">
          <cell r="B1672" t="str">
            <v>WT-9808-B830-9801-BK</v>
          </cell>
        </row>
        <row r="1673">
          <cell r="B1673" t="str">
            <v>WT-9804</v>
          </cell>
        </row>
        <row r="1674">
          <cell r="B1674" t="str">
            <v>WT-9808-B830-9804-ORB</v>
          </cell>
        </row>
        <row r="1675">
          <cell r="B1675" t="str">
            <v>WT-9801-ZZ02</v>
          </cell>
        </row>
        <row r="1676">
          <cell r="B1676" t="str">
            <v>WT-3667BG3</v>
          </cell>
        </row>
        <row r="1676">
          <cell r="P1676" t="str">
            <v>310F3667BG3</v>
          </cell>
        </row>
        <row r="1677">
          <cell r="B1677" t="str">
            <v>WT-9807BN WT-9804BN</v>
          </cell>
        </row>
        <row r="1678">
          <cell r="B1678" t="str">
            <v>WT-9808-B830-9804-BN</v>
          </cell>
        </row>
        <row r="1679">
          <cell r="B1679" t="str">
            <v>WT-9002+12-CP</v>
          </cell>
        </row>
        <row r="1680">
          <cell r="B1680" t="str">
            <v>WT-9809BN02 WT-9801BN</v>
          </cell>
        </row>
        <row r="1681">
          <cell r="B1681" t="str">
            <v>WT-9811CP WT-9801CP</v>
          </cell>
        </row>
        <row r="1681">
          <cell r="P1681" t="str">
            <v>211F0098CP1</v>
          </cell>
        </row>
        <row r="1682">
          <cell r="B1682" t="str">
            <v>WT-9002+9807-BN</v>
          </cell>
        </row>
        <row r="1683">
          <cell r="B1683" t="str">
            <v>WT-9002-9812-9801-BN</v>
          </cell>
        </row>
        <row r="1684">
          <cell r="B1684" t="str">
            <v>WT-3311-ORB</v>
          </cell>
        </row>
        <row r="1684">
          <cell r="P1684" t="str">
            <v>211F0033OB1</v>
          </cell>
        </row>
        <row r="1685">
          <cell r="B1685" t="str">
            <v>WT-980102</v>
          </cell>
        </row>
        <row r="1686">
          <cell r="B1686" t="str">
            <v>WT-3317BG3-ZZ</v>
          </cell>
        </row>
        <row r="1686">
          <cell r="P1686" t="str">
            <v>310F3317BG3</v>
          </cell>
        </row>
        <row r="1687">
          <cell r="B1687" t="str">
            <v>WT-9812ORB WT-9804ORB</v>
          </cell>
        </row>
        <row r="1687">
          <cell r="P1687" t="str">
            <v>320F0098OB1</v>
          </cell>
        </row>
        <row r="1688">
          <cell r="B1688" t="str">
            <v>WT-9809BG WT-9804BG</v>
          </cell>
        </row>
        <row r="1689">
          <cell r="B1689" t="str">
            <v>WT-9809-B830-9804-BG</v>
          </cell>
        </row>
        <row r="1690">
          <cell r="B1690" t="str">
            <v>WT-9807+12-BK02</v>
          </cell>
        </row>
        <row r="1691">
          <cell r="B1691" t="str">
            <v>WT-3371BG3</v>
          </cell>
        </row>
        <row r="1691">
          <cell r="P1691" t="str">
            <v>322F3371BG3</v>
          </cell>
        </row>
        <row r="1692">
          <cell r="B1692" t="str">
            <v>WT-9812+07+9002-BN</v>
          </cell>
        </row>
        <row r="1693">
          <cell r="B1693" t="str">
            <v>WT-3317BK1</v>
          </cell>
        </row>
        <row r="1693">
          <cell r="P1693" t="str">
            <v>310F3317BK1</v>
          </cell>
        </row>
        <row r="1694">
          <cell r="B1694" t="str">
            <v>WT-3617BG3</v>
          </cell>
        </row>
        <row r="1694">
          <cell r="P1694" t="str">
            <v>310F3617BG3</v>
          </cell>
        </row>
        <row r="1695">
          <cell r="B1695" t="str">
            <v>WT-3320BG3</v>
          </cell>
        </row>
        <row r="1695">
          <cell r="P1695" t="str">
            <v>322F3320BG3</v>
          </cell>
        </row>
        <row r="1696">
          <cell r="B1696" t="str">
            <v>WT-3371BN5</v>
          </cell>
        </row>
        <row r="1696">
          <cell r="P1696" t="str">
            <v>322F3371BN5</v>
          </cell>
        </row>
        <row r="1697">
          <cell r="B1697" t="str">
            <v>WT-9809ORB WT-9804ORB</v>
          </cell>
        </row>
        <row r="1698">
          <cell r="B1698" t="str">
            <v>WT-9809-B830-9804-BN</v>
          </cell>
        </row>
        <row r="1699">
          <cell r="B1699" t="str">
            <v>WT-9002+9807-BK</v>
          </cell>
        </row>
        <row r="1700">
          <cell r="B1700" t="str">
            <v>WT-9807+12-CP02</v>
          </cell>
        </row>
        <row r="1701">
          <cell r="B1701" t="str">
            <v>WT-9807-B830-9801-ORB</v>
          </cell>
        </row>
        <row r="1702">
          <cell r="B1702" t="str">
            <v>WT-9806-B830-9804-BG</v>
          </cell>
        </row>
        <row r="1703">
          <cell r="B1703" t="str">
            <v>WT-9002-9812-9804-CP</v>
          </cell>
        </row>
        <row r="1704">
          <cell r="B1704" t="str">
            <v>WT-3367BG3-ZZ</v>
          </cell>
        </row>
        <row r="1705">
          <cell r="B1705" t="str">
            <v>WT-9806-B830-9801-BK</v>
          </cell>
        </row>
        <row r="1706">
          <cell r="B1706" t="str">
            <v>WT-3317BK1-ZZ</v>
          </cell>
        </row>
        <row r="1706">
          <cell r="P1706" t="str">
            <v>310F3317BK1</v>
          </cell>
        </row>
        <row r="1707">
          <cell r="B1707" t="str">
            <v>WT-9002+12-ORB</v>
          </cell>
        </row>
        <row r="1708">
          <cell r="B1708" t="str">
            <v>WT-3671BK1</v>
          </cell>
        </row>
        <row r="1708">
          <cell r="P1708" t="str">
            <v>322F6371BK1</v>
          </cell>
        </row>
        <row r="1709">
          <cell r="B1709" t="str">
            <v>WT-1002-TH</v>
          </cell>
        </row>
        <row r="1710">
          <cell r="B1710" t="str">
            <v>WT-3618BK1</v>
          </cell>
        </row>
        <row r="1710">
          <cell r="P1710" t="str">
            <v>310F3618BK1</v>
          </cell>
        </row>
        <row r="1711">
          <cell r="B1711" t="str">
            <v>WT-9811+12-BN</v>
          </cell>
        </row>
        <row r="1712">
          <cell r="B1712" t="str">
            <v>WT-3368BK1</v>
          </cell>
        </row>
        <row r="1712">
          <cell r="P1712" t="str">
            <v>310F3368BK1</v>
          </cell>
        </row>
        <row r="1713">
          <cell r="B1713" t="str">
            <v>WT-3668BG3</v>
          </cell>
        </row>
        <row r="1714">
          <cell r="B1714" t="str">
            <v>WT-3317BG3</v>
          </cell>
        </row>
        <row r="1714">
          <cell r="P1714" t="str">
            <v>310F3317BG3</v>
          </cell>
        </row>
        <row r="1715">
          <cell r="B1715" t="str">
            <v>WT-3367BK1</v>
          </cell>
        </row>
        <row r="1715">
          <cell r="P1715" t="str">
            <v>310F3367BK1</v>
          </cell>
        </row>
        <row r="1716">
          <cell r="B1716" t="str">
            <v>WT-9002-9812-9804-BK</v>
          </cell>
        </row>
        <row r="1717">
          <cell r="B1717" t="str">
            <v>WT-1001-SD</v>
          </cell>
        </row>
        <row r="1718">
          <cell r="B1718" t="str">
            <v>WT-3318BG3</v>
          </cell>
        </row>
        <row r="1718">
          <cell r="P1718" t="str">
            <v>310F3318BG3</v>
          </cell>
        </row>
        <row r="1719">
          <cell r="B1719" t="str">
            <v>WT-9002-9812-9804-BN</v>
          </cell>
        </row>
        <row r="1720">
          <cell r="B1720" t="str">
            <v>WT-3318BK1</v>
          </cell>
        </row>
        <row r="1720">
          <cell r="P1720" t="str">
            <v>310F3318BK1</v>
          </cell>
        </row>
        <row r="1721">
          <cell r="B1721" t="str">
            <v>WT-9809-B830-9801-BN</v>
          </cell>
        </row>
        <row r="1722">
          <cell r="B1722" t="str">
            <v>WT-9002-9806-9801-ORB</v>
          </cell>
        </row>
        <row r="1723">
          <cell r="B1723" t="str">
            <v>WT-9812+07+9002-BK02</v>
          </cell>
        </row>
        <row r="1724">
          <cell r="B1724" t="str">
            <v>WT-9801-ZZ</v>
          </cell>
        </row>
        <row r="1725">
          <cell r="B1725" t="str">
            <v>WT-9809-B830-9804-BK</v>
          </cell>
        </row>
        <row r="1726">
          <cell r="B1726" t="str">
            <v>WT-9808-B830-9804-CP</v>
          </cell>
        </row>
        <row r="1727">
          <cell r="B1727" t="str">
            <v>WT-9809CP02 WT-9804CP</v>
          </cell>
        </row>
        <row r="1728">
          <cell r="B1728" t="str">
            <v>WT-9002-9812-9804-ORB</v>
          </cell>
        </row>
        <row r="1729">
          <cell r="B1729" t="str">
            <v>WT-9812DP-BK</v>
          </cell>
        </row>
        <row r="1729">
          <cell r="P1729" t="str">
            <v>310F0098BK1</v>
          </cell>
        </row>
        <row r="1730">
          <cell r="B1730" t="str">
            <v>WT-9808ORB WT-9804ORB</v>
          </cell>
        </row>
        <row r="1731">
          <cell r="B1731" t="str">
            <v>WT-3321BG3</v>
          </cell>
        </row>
        <row r="1731">
          <cell r="P1731" t="str">
            <v>322F3321BG3</v>
          </cell>
        </row>
        <row r="1732">
          <cell r="B1732" t="str">
            <v>WT-9809-B830-9804-CP</v>
          </cell>
        </row>
        <row r="1733">
          <cell r="B1733" t="str">
            <v>WT-9806-B830-9801-BG</v>
          </cell>
        </row>
        <row r="1734">
          <cell r="B1734" t="str">
            <v>WT-3620BK1</v>
          </cell>
        </row>
        <row r="1734">
          <cell r="P1734" t="str">
            <v>320F3620BK1</v>
          </cell>
        </row>
        <row r="1735">
          <cell r="B1735" t="str">
            <v>WT-9002-9812-9801-BK</v>
          </cell>
        </row>
        <row r="1736">
          <cell r="B1736" t="str">
            <v>WT-9812DP-ORB</v>
          </cell>
        </row>
        <row r="1736">
          <cell r="P1736" t="str">
            <v>310F0098OB1</v>
          </cell>
        </row>
        <row r="1737">
          <cell r="B1737" t="str">
            <v>WT-9812+07+9002-ORB</v>
          </cell>
        </row>
        <row r="1738">
          <cell r="B1738" t="str">
            <v>WT-9812+07+9002-BG</v>
          </cell>
        </row>
        <row r="1739">
          <cell r="B1739" t="str">
            <v>WT-9809CP02 WT-9801CP</v>
          </cell>
        </row>
        <row r="1740">
          <cell r="B1740" t="str">
            <v>WT-9806</v>
          </cell>
        </row>
        <row r="1741">
          <cell r="B1741" t="str">
            <v>WT-9812</v>
          </cell>
        </row>
        <row r="1742">
          <cell r="B1742" t="str">
            <v>WT-9002-9812-9804-BG</v>
          </cell>
        </row>
        <row r="1743">
          <cell r="B1743" t="str">
            <v>WT-3367BN5</v>
          </cell>
        </row>
        <row r="1743">
          <cell r="P1743" t="str">
            <v>310F3367BN5</v>
          </cell>
        </row>
        <row r="1744">
          <cell r="B1744" t="str">
            <v>WT-3621BK1</v>
          </cell>
        </row>
        <row r="1744">
          <cell r="P1744" t="str">
            <v>320F3621BK1</v>
          </cell>
        </row>
        <row r="1745">
          <cell r="B1745" t="str">
            <v>WT-9812-B830-9801-BG</v>
          </cell>
        </row>
        <row r="1746">
          <cell r="B1746" t="str">
            <v>WT-9002-9812-9801-CP</v>
          </cell>
        </row>
        <row r="1747">
          <cell r="B1747" t="str">
            <v>WT-9002-9806-9801-BN</v>
          </cell>
        </row>
        <row r="1748">
          <cell r="B1748" t="str">
            <v>WT-3617BK1</v>
          </cell>
        </row>
        <row r="1748">
          <cell r="P1748" t="str">
            <v>310F3617BK1</v>
          </cell>
        </row>
        <row r="1749">
          <cell r="B1749" t="str">
            <v>WT-9805BKZZ03</v>
          </cell>
        </row>
        <row r="1749">
          <cell r="P1749" t="str">
            <v>150F0098BK1</v>
          </cell>
        </row>
        <row r="1750">
          <cell r="B1750" t="str">
            <v>WT-3667BK1</v>
          </cell>
        </row>
        <row r="1750">
          <cell r="P1750" t="str">
            <v>310F3667BK1</v>
          </cell>
        </row>
        <row r="1751">
          <cell r="B1751" t="str">
            <v>WT-9807-B830-9801-BK</v>
          </cell>
        </row>
        <row r="1752">
          <cell r="B1752" t="str">
            <v>WT-3618BN5</v>
          </cell>
        </row>
        <row r="1752">
          <cell r="P1752" t="str">
            <v>310F3618BN5</v>
          </cell>
        </row>
        <row r="1753">
          <cell r="B1753" t="str">
            <v>WT-9812-B830-9804-BG</v>
          </cell>
        </row>
        <row r="1754">
          <cell r="B1754" t="str">
            <v>WT-9807RBK WT-9804RBK</v>
          </cell>
        </row>
        <row r="1755">
          <cell r="B1755" t="str">
            <v>WT-9806-B830-9804-BK</v>
          </cell>
        </row>
        <row r="1756">
          <cell r="B1756" t="str">
            <v>WT-9807CP WT-9804CP</v>
          </cell>
        </row>
        <row r="1757">
          <cell r="B1757" t="str">
            <v>WT-9807BK WT-9804BK</v>
          </cell>
        </row>
        <row r="1758">
          <cell r="B1758" t="str">
            <v>WT-9807+12-BG02</v>
          </cell>
        </row>
        <row r="1759">
          <cell r="B1759" t="str">
            <v>WT-9807-B830-9801-CP</v>
          </cell>
        </row>
        <row r="1760">
          <cell r="B1760" t="str">
            <v>WT-9807-B830-9804-BN</v>
          </cell>
        </row>
        <row r="1761">
          <cell r="B1761" t="str">
            <v>WT-9002+12-BG</v>
          </cell>
        </row>
        <row r="1762">
          <cell r="B1762" t="str">
            <v>WT-3367BK1-ZZ</v>
          </cell>
        </row>
        <row r="1763">
          <cell r="B1763" t="str">
            <v>WT-9811+12-BK</v>
          </cell>
        </row>
        <row r="1764">
          <cell r="B1764" t="str">
            <v>WT-9807BK02 WT-9801BK</v>
          </cell>
        </row>
        <row r="1765">
          <cell r="B1765" t="str">
            <v>WT-3370BG3</v>
          </cell>
        </row>
        <row r="1765">
          <cell r="P1765" t="str">
            <v>322F3370BG3</v>
          </cell>
        </row>
        <row r="1766">
          <cell r="B1766" t="str">
            <v>WT-9002-9806-9801-BK</v>
          </cell>
        </row>
        <row r="1767">
          <cell r="B1767" t="str">
            <v>WT-ZZ0011-9807</v>
          </cell>
        </row>
        <row r="1768">
          <cell r="B1768" t="str">
            <v>WT-3671BN5</v>
          </cell>
        </row>
        <row r="1768">
          <cell r="P1768" t="str">
            <v>322F6371BN5</v>
          </cell>
        </row>
        <row r="1769">
          <cell r="B1769" t="str">
            <v>WT-3367BN5-ZZ</v>
          </cell>
        </row>
        <row r="1770">
          <cell r="B1770" t="str">
            <v>WT-9807-B830-9804-BG</v>
          </cell>
        </row>
        <row r="1771">
          <cell r="B1771" t="str">
            <v>WT-3367BG3</v>
          </cell>
        </row>
        <row r="1771">
          <cell r="P1771" t="str">
            <v>310F3367BG3</v>
          </cell>
        </row>
        <row r="1772">
          <cell r="B1772" t="str">
            <v>WT-9002+12-BK</v>
          </cell>
        </row>
        <row r="1773">
          <cell r="B1773" t="str">
            <v>WT-3618BG3</v>
          </cell>
        </row>
        <row r="1773">
          <cell r="P1773" t="str">
            <v>310F3618BG3</v>
          </cell>
        </row>
        <row r="1774">
          <cell r="B1774" t="str">
            <v>WT-3621BN5</v>
          </cell>
        </row>
        <row r="1774">
          <cell r="P1774" t="str">
            <v>320F3621BN5</v>
          </cell>
        </row>
        <row r="1775">
          <cell r="B1775" t="str">
            <v>WT-3620BN5</v>
          </cell>
        </row>
        <row r="1775">
          <cell r="P1775" t="str">
            <v>320F3620BN5</v>
          </cell>
        </row>
        <row r="1776">
          <cell r="B1776" t="str">
            <v>WT-9807+12-ORB</v>
          </cell>
        </row>
        <row r="1777">
          <cell r="B1777" t="str">
            <v>WT-3668BN5</v>
          </cell>
        </row>
        <row r="1778">
          <cell r="B1778" t="str">
            <v>WT-9809-B830-9801-BK</v>
          </cell>
        </row>
        <row r="1779">
          <cell r="B1779" t="str">
            <v>WT-9809-B830-9801-BG02</v>
          </cell>
        </row>
        <row r="1780">
          <cell r="B1780" t="str">
            <v>WT-9807-B830-9801-BN</v>
          </cell>
        </row>
        <row r="1781">
          <cell r="B1781" t="str">
            <v>WT-9811+12-BG</v>
          </cell>
        </row>
        <row r="1782">
          <cell r="B1782" t="str">
            <v>WT-9807+12-ORB01</v>
          </cell>
        </row>
        <row r="1783">
          <cell r="B1783" t="str">
            <v>WT-9806-B830-9804-BN</v>
          </cell>
        </row>
        <row r="1784">
          <cell r="B1784" t="str">
            <v>WT-9808CP02 WT-9804CP</v>
          </cell>
        </row>
        <row r="1785">
          <cell r="B1785" t="str">
            <v>WT-9807-B830-9804-CP</v>
          </cell>
        </row>
        <row r="1786">
          <cell r="B1786" t="str">
            <v>WT-9807CPZZ03</v>
          </cell>
        </row>
        <row r="1786">
          <cell r="P1786" t="str">
            <v>221F0098CP1</v>
          </cell>
        </row>
        <row r="1787">
          <cell r="B1787" t="str">
            <v>WT-9805-Parent</v>
          </cell>
        </row>
        <row r="1788">
          <cell r="B1788" t="str">
            <v>WT-9807-B830-9804-ORB</v>
          </cell>
        </row>
        <row r="1789">
          <cell r="B1789" t="str">
            <v>WT-3620BG3</v>
          </cell>
        </row>
        <row r="1789">
          <cell r="P1789" t="str">
            <v>320F3620BG3</v>
          </cell>
        </row>
        <row r="1790">
          <cell r="B1790" t="str">
            <v>WT-9002-9806-9801-CP</v>
          </cell>
        </row>
        <row r="1791">
          <cell r="B1791" t="str">
            <v>WT-9812-B830-9804-CP</v>
          </cell>
        </row>
        <row r="1792">
          <cell r="B1792" t="str">
            <v>WT-3321BK1</v>
          </cell>
        </row>
        <row r="1792">
          <cell r="P1792" t="str">
            <v>322F3321BK1</v>
          </cell>
        </row>
        <row r="1793">
          <cell r="B1793" t="str">
            <v>WT-3668BK1</v>
          </cell>
        </row>
        <row r="1794">
          <cell r="B1794" t="str">
            <v>WT-9002-9812-9801-BG</v>
          </cell>
        </row>
        <row r="1795">
          <cell r="B1795" t="str">
            <v>WT-3318BN5</v>
          </cell>
        </row>
        <row r="1795">
          <cell r="P1795" t="str">
            <v>310F3318BN5</v>
          </cell>
        </row>
        <row r="1796">
          <cell r="B1796" t="str">
            <v>WT-9809-B830-9804-ORB</v>
          </cell>
        </row>
        <row r="1797">
          <cell r="B1797" t="str">
            <v>WT-3670BK1</v>
          </cell>
        </row>
        <row r="1797">
          <cell r="P1797" t="str">
            <v>322F3670BK1</v>
          </cell>
        </row>
        <row r="1798">
          <cell r="B1798" t="str">
            <v>WT-3321BN5</v>
          </cell>
        </row>
        <row r="1798">
          <cell r="P1798" t="str">
            <v>322F3321BN5</v>
          </cell>
        </row>
        <row r="1799">
          <cell r="B1799" t="str">
            <v>WT-3320BK1</v>
          </cell>
        </row>
        <row r="1799">
          <cell r="P1799" t="str">
            <v>322F3320BK1</v>
          </cell>
        </row>
        <row r="1800">
          <cell r="B1800" t="str">
            <v>WT-9808BK WT-9804BK</v>
          </cell>
        </row>
        <row r="1801">
          <cell r="B1801" t="str">
            <v>WT-9811CP WT-9804CP</v>
          </cell>
        </row>
        <row r="1801">
          <cell r="P1801" t="str">
            <v>211F0098CP1</v>
          </cell>
        </row>
        <row r="1802">
          <cell r="B1802" t="str">
            <v>WT-9808-B830-9801-ORB</v>
          </cell>
        </row>
        <row r="1803">
          <cell r="B1803" t="str">
            <v>WT-9806-B830-9801-CP</v>
          </cell>
        </row>
        <row r="1804">
          <cell r="B1804" t="str">
            <v>WT-9811ORB WT-9804ORB</v>
          </cell>
        </row>
        <row r="1805">
          <cell r="B1805" t="str">
            <v>WT-3370BK1</v>
          </cell>
        </row>
        <row r="1805">
          <cell r="P1805" t="str">
            <v>322F3370BK1</v>
          </cell>
        </row>
        <row r="1806">
          <cell r="B1806" t="str">
            <v>WT-9811BN WT-9804BN</v>
          </cell>
        </row>
        <row r="1807">
          <cell r="B1807" t="str">
            <v>WT-9812CP WT-9804CP</v>
          </cell>
        </row>
        <row r="1808">
          <cell r="B1808" t="str">
            <v>WT-3670BN5</v>
          </cell>
        </row>
        <row r="1808">
          <cell r="P1808" t="str">
            <v>322F3670BN5</v>
          </cell>
        </row>
        <row r="1809">
          <cell r="B1809" t="str">
            <v>WT-9807+12-BG</v>
          </cell>
        </row>
        <row r="1810">
          <cell r="B1810" t="str">
            <v>WT-9807+12-BN</v>
          </cell>
        </row>
        <row r="1811">
          <cell r="B1811" t="str">
            <v>WT-9808BG WT-9804BG</v>
          </cell>
        </row>
        <row r="1812">
          <cell r="B1812" t="str">
            <v>WT-3368BN5</v>
          </cell>
        </row>
        <row r="1812">
          <cell r="P1812" t="str">
            <v>310F3368BN5</v>
          </cell>
        </row>
        <row r="1813">
          <cell r="B1813" t="str">
            <v>WT-9002-9806-9804-BN</v>
          </cell>
        </row>
        <row r="1814">
          <cell r="B1814" t="str">
            <v>WT-9807-B830-9801</v>
          </cell>
        </row>
        <row r="1815">
          <cell r="B1815" t="str">
            <v>WT-3621BG3</v>
          </cell>
        </row>
        <row r="1815">
          <cell r="P1815" t="str">
            <v>320F3621BG3</v>
          </cell>
        </row>
        <row r="1816">
          <cell r="B1816" t="str">
            <v>WT-9002+9807-CP</v>
          </cell>
        </row>
        <row r="1817">
          <cell r="B1817" t="str">
            <v>WT-9812DP-BG3</v>
          </cell>
        </row>
        <row r="1817">
          <cell r="P1817" t="str">
            <v>310F0098BG3</v>
          </cell>
        </row>
        <row r="1818">
          <cell r="B1818" t="str">
            <v>WT-9809-B830-9801-CP</v>
          </cell>
        </row>
        <row r="1819">
          <cell r="B1819" t="str">
            <v>WT-9809BN02 WT-9804BN</v>
          </cell>
        </row>
        <row r="1820">
          <cell r="B1820" t="str">
            <v>WT-9809BN WT-9804BN</v>
          </cell>
        </row>
        <row r="1821">
          <cell r="B1821" t="str">
            <v>WT-9807BK02 WT-9804BK</v>
          </cell>
        </row>
        <row r="1822">
          <cell r="B1822" t="str">
            <v>WT-9002-9812-9801-ORB</v>
          </cell>
        </row>
        <row r="1823">
          <cell r="B1823" t="str">
            <v>WT-3320BN5</v>
          </cell>
        </row>
        <row r="1823">
          <cell r="P1823" t="str">
            <v>322F3320BN6</v>
          </cell>
        </row>
        <row r="1824">
          <cell r="B1824" t="str">
            <v>WT-9811+12-ORB</v>
          </cell>
        </row>
        <row r="1825">
          <cell r="B1825" t="str">
            <v>WT-3670BG3</v>
          </cell>
        </row>
        <row r="1825">
          <cell r="P1825" t="str">
            <v>322F3670BG3</v>
          </cell>
        </row>
        <row r="1826">
          <cell r="B1826" t="str">
            <v>WT-9809CP WT-9804CP</v>
          </cell>
        </row>
        <row r="1827">
          <cell r="B1827" t="str">
            <v>WT-9808-B830-9801-BG</v>
          </cell>
        </row>
        <row r="1828">
          <cell r="B1828" t="str">
            <v>WT-9811BK WT-9804BK</v>
          </cell>
        </row>
        <row r="1829">
          <cell r="B1829" t="str">
            <v>WT-9808-B830-9804-BK</v>
          </cell>
        </row>
        <row r="1830">
          <cell r="B1830" t="str">
            <v>WT-9811+12-CP</v>
          </cell>
        </row>
        <row r="1831">
          <cell r="B1831" t="str">
            <v>WT-9808-B830-9801-CP</v>
          </cell>
        </row>
        <row r="1832">
          <cell r="B1832" t="str">
            <v>WT-9812+07+9002-BG02</v>
          </cell>
        </row>
        <row r="1833">
          <cell r="B1833" t="str">
            <v>WT-9002-9806-9804-ORB</v>
          </cell>
        </row>
        <row r="1834">
          <cell r="B1834" t="str">
            <v>WT-9812-B830-9801-CP</v>
          </cell>
        </row>
        <row r="1835">
          <cell r="B1835" t="str">
            <v>WT-9807ORB WT-9804ORB</v>
          </cell>
        </row>
        <row r="1836">
          <cell r="B1836" t="str">
            <v>WT-9807-B830-9801-CP02</v>
          </cell>
        </row>
        <row r="1837">
          <cell r="B1837" t="str">
            <v>WT-9811BG WT-9804BG</v>
          </cell>
        </row>
        <row r="1838">
          <cell r="B1838" t="str">
            <v>WT-9812BK WT-9804BK</v>
          </cell>
        </row>
        <row r="1839">
          <cell r="B1839" t="str">
            <v>WT-9812BG WT-9804BG</v>
          </cell>
        </row>
        <row r="1840">
          <cell r="B1840" t="str">
            <v>WT-3317BN5</v>
          </cell>
        </row>
        <row r="1840">
          <cell r="P1840" t="str">
            <v>310F3317BN6</v>
          </cell>
        </row>
        <row r="1841">
          <cell r="B1841" t="str">
            <v>WT-9812BN WT-9804BN</v>
          </cell>
        </row>
        <row r="1842">
          <cell r="B1842" t="str">
            <v>WT-9812-B830-9804-ORB</v>
          </cell>
        </row>
        <row r="1843">
          <cell r="B1843" t="str">
            <v>WT-3671BG3</v>
          </cell>
        </row>
        <row r="1843">
          <cell r="P1843" t="str">
            <v>322F6371BG3</v>
          </cell>
        </row>
        <row r="1844">
          <cell r="B1844" t="str">
            <v>WT-9812-B830-9801-ORB</v>
          </cell>
        </row>
        <row r="1845">
          <cell r="B1845" t="str">
            <v>WT-9806-B830-9804-ORB</v>
          </cell>
        </row>
        <row r="1846">
          <cell r="B1846" t="str">
            <v>WT-3617BN5</v>
          </cell>
        </row>
        <row r="1846">
          <cell r="P1846" t="str">
            <v>310F3617BN5</v>
          </cell>
        </row>
        <row r="1847">
          <cell r="B1847" t="str">
            <v>WT-9809-6color</v>
          </cell>
        </row>
        <row r="1848">
          <cell r="B1848" t="str">
            <v>WT-9808CP WT-9804CP</v>
          </cell>
        </row>
        <row r="1849">
          <cell r="B1849" t="str">
            <v>WT-9002-9806-9801-BG</v>
          </cell>
        </row>
        <row r="1850">
          <cell r="B1850" t="str">
            <v>WT-3368BG3</v>
          </cell>
        </row>
        <row r="1850">
          <cell r="P1850" t="str">
            <v>310F3368BG3</v>
          </cell>
        </row>
        <row r="1851">
          <cell r="B1851" t="str">
            <v>WT-9806-B830-9804-CP</v>
          </cell>
        </row>
        <row r="1852">
          <cell r="B1852" t="str">
            <v>WT-9806-B830-9801-BN</v>
          </cell>
        </row>
        <row r="1853">
          <cell r="B1853" t="str">
            <v>WT-3667BN5</v>
          </cell>
        </row>
        <row r="1853">
          <cell r="P1853" t="str">
            <v>310F3667BN5</v>
          </cell>
        </row>
        <row r="1854">
          <cell r="B1854" t="str">
            <v>WT-3371BK1</v>
          </cell>
        </row>
        <row r="1854">
          <cell r="P1854" t="str">
            <v>322F3371BK1</v>
          </cell>
        </row>
        <row r="1855">
          <cell r="B1855" t="str">
            <v>WT-9812-B830-9801-BN</v>
          </cell>
        </row>
        <row r="1856">
          <cell r="B1856" t="str">
            <v>WT-9808CPZZ02</v>
          </cell>
        </row>
        <row r="1856">
          <cell r="P1856" t="str">
            <v>222F0098CP1</v>
          </cell>
        </row>
        <row r="1857">
          <cell r="B1857" t="str">
            <v>WT-9808CP02 WT-9801CP</v>
          </cell>
        </row>
        <row r="1858">
          <cell r="B1858" t="str">
            <v>WT-9807BKZZ07</v>
          </cell>
        </row>
        <row r="1858">
          <cell r="P1858" t="str">
            <v>221F0098BK1</v>
          </cell>
        </row>
        <row r="1859">
          <cell r="B1859" t="str">
            <v>WT-3370BN5</v>
          </cell>
        </row>
        <row r="1859">
          <cell r="P1859" t="str">
            <v>322F3370BN5</v>
          </cell>
        </row>
        <row r="1860">
          <cell r="B1860" t="str">
            <v>WT-9812+07+9002-ORB02</v>
          </cell>
        </row>
        <row r="1861">
          <cell r="B1861" t="str">
            <v>WT-9806-B830-9801-ORB</v>
          </cell>
        </row>
        <row r="1862">
          <cell r="B1862" t="str">
            <v>WT-9808-B830-9804-BG</v>
          </cell>
        </row>
        <row r="1863">
          <cell r="B1863" t="str">
            <v>WT-9808-B830-9801-BN</v>
          </cell>
        </row>
        <row r="1864">
          <cell r="B1864" t="str">
            <v>WT-9812BG3</v>
          </cell>
        </row>
        <row r="1864">
          <cell r="P1864" t="str">
            <v>320F0098BG3</v>
          </cell>
        </row>
        <row r="1865">
          <cell r="B1865" t="str">
            <v>WT-9812-B830-9804-BK</v>
          </cell>
        </row>
        <row r="1866">
          <cell r="B1866" t="str">
            <v>WT-9807-B830-9804-BK</v>
          </cell>
        </row>
        <row r="1867">
          <cell r="B1867" t="str">
            <v>WT-ZZ0002</v>
          </cell>
        </row>
        <row r="1868">
          <cell r="B1868" t="str">
            <v>WT-9811+12-RGBK</v>
          </cell>
        </row>
        <row r="1869">
          <cell r="B1869" t="str">
            <v>WT-9807+12-RGBK</v>
          </cell>
        </row>
        <row r="1870">
          <cell r="B1870" t="str">
            <v>WT-9002+9807-BG</v>
          </cell>
        </row>
        <row r="1871">
          <cell r="B1871" t="str">
            <v>WT-9002-9806-9804-BG</v>
          </cell>
        </row>
        <row r="1872">
          <cell r="B1872" t="str">
            <v>AZ-SOEBIZ-US-CFSLT-BN-034</v>
          </cell>
        </row>
        <row r="1872">
          <cell r="P1872" t="str">
            <v>420F0013BN5</v>
          </cell>
        </row>
        <row r="1873">
          <cell r="B1873" t="str">
            <v>AZ-US-SOEBIZ-CFSLT-BK-02</v>
          </cell>
        </row>
        <row r="1873">
          <cell r="P1873" t="str">
            <v>420F0013BK1</v>
          </cell>
        </row>
        <row r="1874">
          <cell r="B1874" t="str">
            <v>SZ-B9909BKZZ</v>
          </cell>
        </row>
        <row r="1874">
          <cell r="P1874" t="str">
            <v>223F0099BK1</v>
          </cell>
        </row>
        <row r="1875">
          <cell r="B1875" t="str">
            <v>AZ-SOEBIZ-US-CFSLT-BN-006</v>
          </cell>
        </row>
        <row r="1875">
          <cell r="P1875" t="str">
            <v>420F0013BN5</v>
          </cell>
        </row>
        <row r="1876">
          <cell r="B1876" t="str">
            <v>AZ-US-SOEBIZ-CFSLT-BN-01</v>
          </cell>
        </row>
        <row r="1876">
          <cell r="P1876" t="str">
            <v>420F0013BN5</v>
          </cell>
        </row>
        <row r="1877">
          <cell r="B1877" t="str">
            <v>AZ-US-SOEBIZ-CFSLT-BN-01</v>
          </cell>
        </row>
        <row r="1877">
          <cell r="P1877" t="str">
            <v>420F0013BN5</v>
          </cell>
        </row>
        <row r="1878">
          <cell r="B1878" t="str">
            <v>SZ-B9907CP</v>
          </cell>
        </row>
        <row r="1878">
          <cell r="P1878" t="str">
            <v>221F0099CP1</v>
          </cell>
        </row>
        <row r="1879">
          <cell r="B1879" t="str">
            <v>AZ-SOEBIZ-US-CFSLT-BN-025</v>
          </cell>
        </row>
        <row r="1879">
          <cell r="P1879" t="str">
            <v>420F0013BN5</v>
          </cell>
        </row>
        <row r="1880">
          <cell r="B1880" t="str">
            <v>LD-9901ORB-ZZ</v>
          </cell>
        </row>
        <row r="1880">
          <cell r="P1880" t="str">
            <v>110F0099OB1</v>
          </cell>
        </row>
        <row r="1881">
          <cell r="B1881" t="str">
            <v>AZ-US-SOEBIZ-CFSLT-GD-03</v>
          </cell>
        </row>
        <row r="1881">
          <cell r="P1881" t="str">
            <v>420F0013BG3</v>
          </cell>
        </row>
        <row r="1882">
          <cell r="B1882" t="str">
            <v>NA-O5I7-N4H4</v>
          </cell>
        </row>
        <row r="1882">
          <cell r="P1882" t="str">
            <v>140F0098OB1</v>
          </cell>
        </row>
        <row r="1883">
          <cell r="B1883" t="str">
            <v>NL2201-BG</v>
          </cell>
        </row>
        <row r="1883">
          <cell r="P1883" t="str">
            <v>110F0022BG1</v>
          </cell>
        </row>
        <row r="1884">
          <cell r="B1884" t="str">
            <v>NL2201-BK</v>
          </cell>
        </row>
        <row r="1884">
          <cell r="P1884" t="str">
            <v>110F0022BK1</v>
          </cell>
        </row>
        <row r="1885">
          <cell r="B1885" t="str">
            <v>NL2201-BN</v>
          </cell>
        </row>
        <row r="1885">
          <cell r="P1885" t="str">
            <v>110F0022BN1</v>
          </cell>
        </row>
        <row r="1886">
          <cell r="B1886" t="str">
            <v>SZ-B9911ORB</v>
          </cell>
        </row>
        <row r="1886">
          <cell r="P1886" t="str">
            <v>211F0099OB1</v>
          </cell>
        </row>
        <row r="1887">
          <cell r="B1887" t="str">
            <v>AZ-US-SOEBIZ-CFSLT-BK-02</v>
          </cell>
        </row>
        <row r="1887">
          <cell r="P1887" t="str">
            <v>420F0013BK1</v>
          </cell>
        </row>
        <row r="1888">
          <cell r="B1888" t="str">
            <v>AZ-US-SOEBIZ-CFSLT-GD-03</v>
          </cell>
        </row>
        <row r="1888">
          <cell r="P1888" t="str">
            <v>420F0013BG3</v>
          </cell>
        </row>
        <row r="1889">
          <cell r="B1889" t="str">
            <v>NL2201-CP</v>
          </cell>
        </row>
        <row r="1889">
          <cell r="P1889" t="str">
            <v>110F0022CP1</v>
          </cell>
        </row>
        <row r="1890">
          <cell r="B1890" t="str">
            <v>SZ-B9911ORB</v>
          </cell>
        </row>
        <row r="1890">
          <cell r="P1890" t="str">
            <v>211F0099OB1</v>
          </cell>
        </row>
        <row r="1891">
          <cell r="B1891" t="str">
            <v>AZ-US-SOEBIZ-CFSLT-BK-02</v>
          </cell>
        </row>
        <row r="1891">
          <cell r="P1891" t="str">
            <v>420F0013BK1</v>
          </cell>
        </row>
        <row r="1892">
          <cell r="B1892" t="str">
            <v>SZ-B9911ORB</v>
          </cell>
        </row>
        <row r="1892">
          <cell r="P1892" t="str">
            <v>211F0099OB1</v>
          </cell>
        </row>
        <row r="1893">
          <cell r="B1893" t="str">
            <v>KB9911-9901-BG</v>
          </cell>
        </row>
        <row r="1894">
          <cell r="B1894" t="str">
            <v>SZ-B-9911-Faucet</v>
          </cell>
        </row>
        <row r="1895">
          <cell r="B1895" t="str">
            <v>KB9912-9901-ORB</v>
          </cell>
        </row>
        <row r="1896">
          <cell r="B1896" t="str">
            <v>KB9912-9904-CP</v>
          </cell>
        </row>
        <row r="1897">
          <cell r="B1897" t="str">
            <v>KB9911-9901-BN</v>
          </cell>
        </row>
        <row r="1898">
          <cell r="B1898" t="str">
            <v>AZ-SOEBIZ-US-CFSLT-BN-010</v>
          </cell>
        </row>
        <row r="1898">
          <cell r="P1898" t="str">
            <v>420F0013BN5</v>
          </cell>
        </row>
        <row r="1899">
          <cell r="B1899" t="str">
            <v>KB9908-9904-ORB</v>
          </cell>
        </row>
        <row r="1900">
          <cell r="B1900" t="str">
            <v>KB9908-9901-BN</v>
          </cell>
        </row>
        <row r="1901">
          <cell r="B1901" t="str">
            <v>AZ-SOEBIZ-US-CFSLT-BN-024</v>
          </cell>
        </row>
        <row r="1901">
          <cell r="P1901" t="str">
            <v>420F0013BN5</v>
          </cell>
        </row>
        <row r="1902">
          <cell r="B1902" t="str">
            <v>KB9911-9901-BK</v>
          </cell>
        </row>
        <row r="1903">
          <cell r="B1903" t="str">
            <v>AZ-SOEBIZ-US-CFSLT-BN-028</v>
          </cell>
        </row>
        <row r="1903">
          <cell r="P1903" t="str">
            <v>420F0013BN5</v>
          </cell>
        </row>
        <row r="1904">
          <cell r="B1904" t="str">
            <v>AZ-SOEBIZ-US-CFSLT-BN-032</v>
          </cell>
        </row>
        <row r="1904">
          <cell r="P1904" t="str">
            <v>420F0013BN5</v>
          </cell>
        </row>
        <row r="1905">
          <cell r="B1905" t="str">
            <v>AZ-SOEBIZ-US-CFSLT-BN-021</v>
          </cell>
        </row>
        <row r="1905">
          <cell r="P1905" t="str">
            <v>420F0013BN5</v>
          </cell>
        </row>
        <row r="1906">
          <cell r="B1906" t="str">
            <v>SZ-B9908-Bathtub Faucet</v>
          </cell>
        </row>
        <row r="1907">
          <cell r="B1907" t="str">
            <v>KB9911-9901-ORB</v>
          </cell>
        </row>
        <row r="1908">
          <cell r="B1908" t="str">
            <v>AZ-SOEBIZ-US-CFSLT-BN-022</v>
          </cell>
        </row>
        <row r="1908">
          <cell r="P1908" t="str">
            <v>420F0013BN5</v>
          </cell>
        </row>
        <row r="1909">
          <cell r="B1909" t="str">
            <v>KB9912-9904-BN</v>
          </cell>
        </row>
        <row r="1910">
          <cell r="B1910" t="str">
            <v>AZ-SOEBIZ-US-CFSLT-BN-029</v>
          </cell>
        </row>
        <row r="1910">
          <cell r="P1910" t="str">
            <v>420F0013BN5</v>
          </cell>
        </row>
        <row r="1911">
          <cell r="B1911" t="str">
            <v>AZ-SOEBIZ-US-CFSLT-BN-027</v>
          </cell>
        </row>
        <row r="1911">
          <cell r="P1911" t="str">
            <v>420F0013BN5</v>
          </cell>
        </row>
        <row r="1912">
          <cell r="B1912" t="str">
            <v>AZ-SOEBIZ-US-CFSLT-BN-026</v>
          </cell>
        </row>
        <row r="1912">
          <cell r="P1912" t="str">
            <v>420F0013BN5</v>
          </cell>
        </row>
        <row r="1913">
          <cell r="B1913" t="str">
            <v>KB9911-9904-ORB</v>
          </cell>
        </row>
        <row r="1914">
          <cell r="B1914" t="str">
            <v>KB9912-9901-BK</v>
          </cell>
        </row>
        <row r="1915">
          <cell r="B1915" t="str">
            <v>KB9912-9904-BG</v>
          </cell>
        </row>
        <row r="1916">
          <cell r="B1916" t="str">
            <v>AZ-SOEBIZ-US-CFSLT-BN-009</v>
          </cell>
        </row>
        <row r="1916">
          <cell r="P1916" t="str">
            <v>420F0013BN5</v>
          </cell>
        </row>
        <row r="1917">
          <cell r="B1917" t="str">
            <v>KB9912-9904-BK</v>
          </cell>
        </row>
        <row r="1918">
          <cell r="B1918" t="str">
            <v>KB9911-9904-BG</v>
          </cell>
        </row>
        <row r="1919">
          <cell r="B1919" t="str">
            <v>KB9911-9901-CP</v>
          </cell>
        </row>
        <row r="1920">
          <cell r="B1920" t="str">
            <v>AZ-SOEBIZ-US-CFSLT-BN-033</v>
          </cell>
        </row>
        <row r="1920">
          <cell r="P1920" t="str">
            <v>420F0013BN5</v>
          </cell>
        </row>
        <row r="1921">
          <cell r="B1921" t="str">
            <v>AZ-SOEBIZ-US-CFSLT-BN-031</v>
          </cell>
        </row>
        <row r="1921">
          <cell r="P1921" t="str">
            <v>420F0013BN5</v>
          </cell>
        </row>
        <row r="1922">
          <cell r="B1922" t="str">
            <v>AZ-SOEBIZ-US-CFSLT-BN-023</v>
          </cell>
        </row>
        <row r="1922">
          <cell r="P1922" t="str">
            <v>420F0013BN5</v>
          </cell>
        </row>
        <row r="1923">
          <cell r="B1923" t="str">
            <v>SZ-B9901</v>
          </cell>
        </row>
        <row r="1924">
          <cell r="B1924" t="str">
            <v>KB9908-9901-BG</v>
          </cell>
        </row>
        <row r="1925">
          <cell r="B1925" t="str">
            <v>KB9908-9901-ORB</v>
          </cell>
        </row>
        <row r="1926">
          <cell r="B1926" t="str">
            <v>AZ-SOEBIZ-US-CFSLT-BN-038</v>
          </cell>
        </row>
        <row r="1926">
          <cell r="P1926" t="str">
            <v>420F0013BN5</v>
          </cell>
        </row>
        <row r="1927">
          <cell r="B1927" t="str">
            <v>KB9912-9901-BG</v>
          </cell>
        </row>
        <row r="1928">
          <cell r="B1928" t="str">
            <v>SZ-B9906-Kit</v>
          </cell>
        </row>
        <row r="1929">
          <cell r="B1929" t="str">
            <v>AZ-SOEBIZ-US-CFSLT-BN-037</v>
          </cell>
        </row>
        <row r="1929">
          <cell r="P1929" t="str">
            <v>420F0013BN5</v>
          </cell>
        </row>
        <row r="1930">
          <cell r="B1930" t="str">
            <v>AZ-SOEBIZ-US-CFSLT-BN-030</v>
          </cell>
        </row>
        <row r="1930">
          <cell r="P1930" t="str">
            <v>420F0013BN5</v>
          </cell>
        </row>
        <row r="1931">
          <cell r="B1931" t="str">
            <v>9904-BK-BG</v>
          </cell>
        </row>
        <row r="1932">
          <cell r="B1932" t="str">
            <v>KB9908-9904-BK</v>
          </cell>
        </row>
        <row r="1933">
          <cell r="B1933" t="str">
            <v>KB9912-9901-BN</v>
          </cell>
        </row>
        <row r="1934">
          <cell r="B1934" t="str">
            <v>AZ-SOEBIZ-US-CFSLT-BN-035</v>
          </cell>
        </row>
        <row r="1934">
          <cell r="P1934" t="str">
            <v>420F0013BN5</v>
          </cell>
        </row>
        <row r="1935">
          <cell r="B1935" t="str">
            <v>SZ-B9909-Bathtub Faucet</v>
          </cell>
        </row>
        <row r="1936">
          <cell r="B1936" t="str">
            <v>KB9908-9901-BK</v>
          </cell>
        </row>
        <row r="1937">
          <cell r="B1937" t="str">
            <v>KB9908-9904-CP</v>
          </cell>
        </row>
        <row r="1938">
          <cell r="B1938" t="str">
            <v>KB9911-9904-BN</v>
          </cell>
        </row>
        <row r="1939">
          <cell r="B1939" t="str">
            <v>AZ-SOEBIZ-US-CFSLT-BN-036</v>
          </cell>
        </row>
        <row r="1939">
          <cell r="P1939" t="str">
            <v>420F0013BN5</v>
          </cell>
        </row>
        <row r="1940">
          <cell r="B1940" t="str">
            <v>KB9912-9901-CP</v>
          </cell>
        </row>
        <row r="1941">
          <cell r="B1941" t="str">
            <v>KB9908-9901-CP</v>
          </cell>
        </row>
        <row r="1942">
          <cell r="B1942" t="str">
            <v>AZ-US-SOEBIZ-YSMPSLT</v>
          </cell>
        </row>
        <row r="1943">
          <cell r="B1943" t="str">
            <v>LB-23026-ORB</v>
          </cell>
        </row>
        <row r="1944">
          <cell r="B1944" t="str">
            <v>B2309-BN</v>
          </cell>
        </row>
        <row r="1944">
          <cell r="P1944" t="str">
            <v>223F0023BN1</v>
          </cell>
        </row>
        <row r="1945">
          <cell r="B1945" t="str">
            <v>L2301-ORB</v>
          </cell>
        </row>
        <row r="1945">
          <cell r="P1945" t="str">
            <v>110F0023OB1</v>
          </cell>
        </row>
        <row r="1946">
          <cell r="B1946" t="str">
            <v>L2302-BG</v>
          </cell>
        </row>
        <row r="1946">
          <cell r="P1946" t="str">
            <v>120F0023BG1</v>
          </cell>
        </row>
        <row r="1947">
          <cell r="B1947" t="str">
            <v>B2312-BK</v>
          </cell>
        </row>
        <row r="1947">
          <cell r="P1947" t="str">
            <v>320F0023BK1</v>
          </cell>
        </row>
        <row r="1948">
          <cell r="B1948" t="str">
            <v>B2309-BK-NEW</v>
          </cell>
        </row>
        <row r="1948">
          <cell r="P1948" t="str">
            <v>223F0023BK1</v>
          </cell>
        </row>
        <row r="1949">
          <cell r="B1949" t="str">
            <v>B2312-ORB</v>
          </cell>
        </row>
        <row r="1949">
          <cell r="P1949" t="str">
            <v>320F0023OB1</v>
          </cell>
        </row>
        <row r="1950">
          <cell r="B1950" t="str">
            <v>NL2201-ORB</v>
          </cell>
        </row>
        <row r="1950">
          <cell r="P1950" t="str">
            <v>110F0022OB1</v>
          </cell>
        </row>
        <row r="1951">
          <cell r="B1951" t="str">
            <v>L2302-BG</v>
          </cell>
        </row>
        <row r="1951">
          <cell r="P1951" t="str">
            <v>120F0023BG1</v>
          </cell>
        </row>
        <row r="1952">
          <cell r="B1952" t="str">
            <v>L2302-BK</v>
          </cell>
        </row>
        <row r="1952">
          <cell r="P1952" t="str">
            <v>120F0023BK1</v>
          </cell>
        </row>
        <row r="1953">
          <cell r="B1953" t="str">
            <v>L2302-BK</v>
          </cell>
        </row>
        <row r="1953">
          <cell r="P1953" t="str">
            <v>120F0023BK1</v>
          </cell>
        </row>
        <row r="1954">
          <cell r="B1954" t="str">
            <v>L2302-BN</v>
          </cell>
        </row>
        <row r="1954">
          <cell r="P1954" t="str">
            <v>120F0023BN1</v>
          </cell>
        </row>
        <row r="1955">
          <cell r="B1955" t="str">
            <v>L2302-BN</v>
          </cell>
        </row>
        <row r="1955">
          <cell r="P1955" t="str">
            <v>120F0023BN1</v>
          </cell>
        </row>
        <row r="1956">
          <cell r="B1956" t="str">
            <v>B2307-BG</v>
          </cell>
        </row>
        <row r="1956">
          <cell r="P1956" t="str">
            <v>221F0023BG1</v>
          </cell>
        </row>
        <row r="1957">
          <cell r="B1957" t="str">
            <v>L2302-CP</v>
          </cell>
        </row>
        <row r="1957">
          <cell r="P1957" t="str">
            <v>120F0023CP1</v>
          </cell>
        </row>
        <row r="1958">
          <cell r="B1958" t="str">
            <v>B2311-BG</v>
          </cell>
        </row>
        <row r="1958">
          <cell r="P1958" t="str">
            <v>211F0023BG1</v>
          </cell>
        </row>
        <row r="1959">
          <cell r="B1959" t="str">
            <v>L2305D-BN</v>
          </cell>
        </row>
        <row r="1960">
          <cell r="B1960" t="str">
            <v>L2302-CP</v>
          </cell>
        </row>
        <row r="1960">
          <cell r="P1960" t="str">
            <v>120F0023CP1</v>
          </cell>
        </row>
        <row r="1961">
          <cell r="B1961" t="str">
            <v>L2302-CP-ZZ</v>
          </cell>
        </row>
        <row r="1961">
          <cell r="P1961" t="str">
            <v>120F0023CP1</v>
          </cell>
        </row>
        <row r="1962">
          <cell r="B1962" t="str">
            <v>L230306-CP</v>
          </cell>
        </row>
        <row r="1963">
          <cell r="B1963" t="str">
            <v>LB-23027-ORB</v>
          </cell>
        </row>
        <row r="1964">
          <cell r="B1964" t="str">
            <v>B230611-ORB</v>
          </cell>
        </row>
        <row r="1965">
          <cell r="B1965" t="str">
            <v>L230411-BG</v>
          </cell>
        </row>
        <row r="1966">
          <cell r="B1966" t="str">
            <v>L230406-BK</v>
          </cell>
        </row>
        <row r="1967">
          <cell r="B1967" t="str">
            <v>B2307-BN</v>
          </cell>
        </row>
        <row r="1967">
          <cell r="P1967" t="str">
            <v>221F0023BN1</v>
          </cell>
        </row>
        <row r="1968">
          <cell r="B1968" t="str">
            <v>B230601-ORB</v>
          </cell>
        </row>
        <row r="1969">
          <cell r="B1969" t="str">
            <v>LB-23027-BK</v>
          </cell>
        </row>
        <row r="1970">
          <cell r="B1970" t="str">
            <v>L230106-BN</v>
          </cell>
        </row>
        <row r="1971">
          <cell r="B1971" t="str">
            <v>LB-23114-ORB</v>
          </cell>
        </row>
        <row r="1972">
          <cell r="B1972" t="str">
            <v>L2302-ORB</v>
          </cell>
        </row>
        <row r="1972">
          <cell r="P1972" t="str">
            <v>120F0023OB1</v>
          </cell>
        </row>
        <row r="1973">
          <cell r="B1973" t="str">
            <v>LB-23125-ORB</v>
          </cell>
        </row>
        <row r="1974">
          <cell r="B1974" t="str">
            <v>LB-23115-CP</v>
          </cell>
        </row>
        <row r="1975">
          <cell r="B1975" t="str">
            <v>L2302-ORB</v>
          </cell>
        </row>
        <row r="1975">
          <cell r="P1975" t="str">
            <v>120F0023OB1</v>
          </cell>
        </row>
        <row r="1976">
          <cell r="B1976" t="str">
            <v>HG-2301+12-CP</v>
          </cell>
        </row>
        <row r="1977">
          <cell r="B1977" t="str">
            <v>B230306-BK</v>
          </cell>
        </row>
        <row r="1978">
          <cell r="B1978" t="str">
            <v>L2303-BG</v>
          </cell>
        </row>
        <row r="1978">
          <cell r="P1978" t="str">
            <v>130F0023BG1</v>
          </cell>
        </row>
        <row r="1979">
          <cell r="B1979" t="str">
            <v>L2303-BG</v>
          </cell>
        </row>
        <row r="1979">
          <cell r="P1979" t="str">
            <v>130F0023BG1</v>
          </cell>
        </row>
        <row r="1980">
          <cell r="B1980" t="str">
            <v>B2309-BG</v>
          </cell>
        </row>
        <row r="1980">
          <cell r="P1980" t="str">
            <v>223F0023BG1</v>
          </cell>
        </row>
        <row r="1981">
          <cell r="B1981" t="str">
            <v>L2303-BK</v>
          </cell>
        </row>
        <row r="1981">
          <cell r="P1981" t="str">
            <v>130F0023BK1</v>
          </cell>
        </row>
        <row r="1982">
          <cell r="B1982" t="str">
            <v>L2303-BK</v>
          </cell>
        </row>
        <row r="1982">
          <cell r="P1982" t="str">
            <v>130F0023BK1</v>
          </cell>
        </row>
        <row r="1983">
          <cell r="B1983" t="str">
            <v>L2303-BN</v>
          </cell>
        </row>
        <row r="1983">
          <cell r="P1983" t="str">
            <v>130F0023BN1</v>
          </cell>
        </row>
        <row r="1984">
          <cell r="B1984" t="str">
            <v>B2311-BN</v>
          </cell>
        </row>
        <row r="1984">
          <cell r="P1984" t="str">
            <v>211F0023BN1</v>
          </cell>
        </row>
        <row r="1985">
          <cell r="B1985" t="str">
            <v>B230411-BN</v>
          </cell>
        </row>
        <row r="1986">
          <cell r="B1986" t="str">
            <v>L2303-BN</v>
          </cell>
        </row>
        <row r="1986">
          <cell r="P1986" t="str">
            <v>130F0023BN1</v>
          </cell>
        </row>
        <row r="1987">
          <cell r="B1987" t="str">
            <v>LB-23124-ORB</v>
          </cell>
        </row>
        <row r="1988">
          <cell r="B1988" t="str">
            <v>L230106-BK</v>
          </cell>
        </row>
        <row r="1989">
          <cell r="B1989" t="str">
            <v>LB-23125-BG</v>
          </cell>
        </row>
        <row r="1990">
          <cell r="B1990" t="str">
            <v>B2306-BK</v>
          </cell>
        </row>
        <row r="1990">
          <cell r="P1990" t="str">
            <v>230F0023BK1</v>
          </cell>
        </row>
        <row r="1991">
          <cell r="B1991" t="str">
            <v>LB-23125-BN</v>
          </cell>
        </row>
        <row r="1992">
          <cell r="B1992" t="str">
            <v>L230411-BK</v>
          </cell>
        </row>
        <row r="1993">
          <cell r="B1993" t="str">
            <v>L2303-BN-ZZ</v>
          </cell>
        </row>
        <row r="1993">
          <cell r="P1993" t="str">
            <v>130F0023BN1</v>
          </cell>
        </row>
        <row r="1994">
          <cell r="B1994" t="str">
            <v>LB-23124-BK</v>
          </cell>
        </row>
        <row r="1995">
          <cell r="B1995" t="str">
            <v>B2311-ORB</v>
          </cell>
        </row>
        <row r="1995">
          <cell r="P1995" t="str">
            <v>211F0023OB1</v>
          </cell>
        </row>
        <row r="1996">
          <cell r="B1996" t="str">
            <v>B230604-BN</v>
          </cell>
        </row>
        <row r="1997">
          <cell r="B1997" t="str">
            <v>LB-23124-BN</v>
          </cell>
        </row>
        <row r="1998">
          <cell r="B1998" t="str">
            <v>B230603-BN</v>
          </cell>
        </row>
        <row r="1999">
          <cell r="B1999" t="str">
            <v>LB-23125-BK</v>
          </cell>
        </row>
        <row r="2000">
          <cell r="B2000" t="str">
            <v>B2312-BG</v>
          </cell>
        </row>
        <row r="2000">
          <cell r="P2000" t="str">
            <v>320F0023BG1</v>
          </cell>
        </row>
        <row r="2001">
          <cell r="B2001" t="str">
            <v>B230407-CP</v>
          </cell>
        </row>
        <row r="2002">
          <cell r="B2002" t="str">
            <v>B2311-CP</v>
          </cell>
        </row>
        <row r="2002">
          <cell r="P2002" t="str">
            <v>211F0023CP1</v>
          </cell>
        </row>
        <row r="2003">
          <cell r="B2003" t="str">
            <v>L2303-CP</v>
          </cell>
        </row>
        <row r="2003">
          <cell r="P2003" t="str">
            <v>130F0023CP1</v>
          </cell>
        </row>
        <row r="2004">
          <cell r="B2004" t="str">
            <v>L2303-CP</v>
          </cell>
        </row>
        <row r="2004">
          <cell r="P2004" t="str">
            <v>130F0023CP1</v>
          </cell>
        </row>
        <row r="2005">
          <cell r="B2005" t="str">
            <v>L2303-CP-ZZ</v>
          </cell>
        </row>
        <row r="2005">
          <cell r="P2005" t="str">
            <v>130F0023CP1</v>
          </cell>
        </row>
        <row r="2006">
          <cell r="B2006" t="str">
            <v>L230409-BK</v>
          </cell>
        </row>
        <row r="2007">
          <cell r="B2007" t="str">
            <v>L230409-BG</v>
          </cell>
        </row>
        <row r="2008">
          <cell r="B2008" t="str">
            <v>L2303-ORB</v>
          </cell>
        </row>
        <row r="2008">
          <cell r="P2008" t="str">
            <v>130F0023OB1</v>
          </cell>
        </row>
        <row r="2009">
          <cell r="B2009" t="str">
            <v>L2303-ORB</v>
          </cell>
        </row>
        <row r="2009">
          <cell r="P2009" t="str">
            <v>130F0023OB1</v>
          </cell>
        </row>
        <row r="2010">
          <cell r="B2010" t="str">
            <v>LB-23124-BG</v>
          </cell>
        </row>
        <row r="2011">
          <cell r="B2011" t="str">
            <v>B2307-BK</v>
          </cell>
        </row>
        <row r="2011">
          <cell r="P2011" t="str">
            <v>221F0023BK1</v>
          </cell>
        </row>
        <row r="2012">
          <cell r="B2012" t="str">
            <v>B2307-CP</v>
          </cell>
        </row>
        <row r="2012">
          <cell r="P2012" t="str">
            <v>221F0023CP1</v>
          </cell>
        </row>
        <row r="2013">
          <cell r="B2013" t="str">
            <v>L2304-BG</v>
          </cell>
        </row>
        <row r="2013">
          <cell r="P2013" t="str">
            <v>140F0023BG1</v>
          </cell>
        </row>
        <row r="2014">
          <cell r="B2014" t="str">
            <v>B2309-CP</v>
          </cell>
        </row>
        <row r="2014">
          <cell r="P2014" t="str">
            <v>223F0023CP1</v>
          </cell>
        </row>
        <row r="2015">
          <cell r="B2015" t="str">
            <v>B231112-BG</v>
          </cell>
        </row>
        <row r="2016">
          <cell r="B2016" t="str">
            <v>L2304-BG</v>
          </cell>
        </row>
        <row r="2016">
          <cell r="P2016" t="str">
            <v>140F0023BG1</v>
          </cell>
        </row>
        <row r="2017">
          <cell r="B2017" t="str">
            <v>L230407-BG</v>
          </cell>
        </row>
        <row r="2018">
          <cell r="B2018" t="str">
            <v>L230406-BG</v>
          </cell>
        </row>
        <row r="2019">
          <cell r="B2019" t="str">
            <v>HG-2301+12-BG</v>
          </cell>
        </row>
        <row r="2020">
          <cell r="B2020" t="str">
            <v>B2306-CP</v>
          </cell>
        </row>
        <row r="2020">
          <cell r="P2020" t="str">
            <v>230F0023CP1</v>
          </cell>
        </row>
        <row r="2021">
          <cell r="B2021" t="str">
            <v>L2305D-CP</v>
          </cell>
        </row>
        <row r="2022">
          <cell r="B2022" t="str">
            <v>L2304-BG3</v>
          </cell>
        </row>
        <row r="2022">
          <cell r="P2022" t="str">
            <v>140F0023BG3</v>
          </cell>
        </row>
        <row r="2023">
          <cell r="B2023" t="str">
            <v>LB-23115-BN</v>
          </cell>
        </row>
        <row r="2024">
          <cell r="B2024" t="str">
            <v>B231112-BK</v>
          </cell>
        </row>
        <row r="2025">
          <cell r="B2025" t="str">
            <v>B23612-BK</v>
          </cell>
        </row>
        <row r="2026">
          <cell r="B2026" t="str">
            <v>B2306</v>
          </cell>
        </row>
        <row r="2027">
          <cell r="B2027" t="str">
            <v>HG-2301+12-ORB</v>
          </cell>
        </row>
        <row r="2028">
          <cell r="B2028" t="str">
            <v>LB-23125-CP</v>
          </cell>
        </row>
        <row r="2029">
          <cell r="B2029" t="str">
            <v>LB-23027-BN</v>
          </cell>
        </row>
        <row r="2030">
          <cell r="B2030" t="str">
            <v>L230412-ORB</v>
          </cell>
        </row>
        <row r="2031">
          <cell r="B2031" t="str">
            <v>LB-23115-BG</v>
          </cell>
        </row>
        <row r="2032">
          <cell r="B2032" t="str">
            <v>L2304-BG3</v>
          </cell>
        </row>
        <row r="2032">
          <cell r="P2032" t="str">
            <v>140F0023BG3</v>
          </cell>
        </row>
        <row r="2033">
          <cell r="B2033" t="str">
            <v>B230611-CP</v>
          </cell>
        </row>
        <row r="2034">
          <cell r="B2034" t="str">
            <v>B23612-ORB</v>
          </cell>
        </row>
        <row r="2035">
          <cell r="B2035" t="str">
            <v>L2304-BK</v>
          </cell>
        </row>
        <row r="2035">
          <cell r="P2035" t="str">
            <v>140F0023BK1</v>
          </cell>
        </row>
        <row r="2036">
          <cell r="B2036" t="str">
            <v>NL2204-BG</v>
          </cell>
        </row>
        <row r="2036">
          <cell r="P2036" t="str">
            <v>140F0022BG1</v>
          </cell>
        </row>
        <row r="2037">
          <cell r="B2037" t="str">
            <v>B2306-BG</v>
          </cell>
        </row>
        <row r="2037">
          <cell r="P2037" t="str">
            <v>230F0023BG1</v>
          </cell>
        </row>
        <row r="2038">
          <cell r="B2038" t="str">
            <v>B23612-BN</v>
          </cell>
        </row>
        <row r="2039">
          <cell r="B2039" t="str">
            <v>L230412-BK</v>
          </cell>
        </row>
        <row r="2040">
          <cell r="B2040" t="str">
            <v>LB-23115-BK</v>
          </cell>
        </row>
        <row r="2041">
          <cell r="B2041" t="str">
            <v>L2305D-ORB</v>
          </cell>
        </row>
        <row r="2042">
          <cell r="B2042" t="str">
            <v>B2306-BN</v>
          </cell>
        </row>
        <row r="2042">
          <cell r="P2042" t="str">
            <v>230F0023BN1</v>
          </cell>
        </row>
        <row r="2043">
          <cell r="B2043" t="str">
            <v>B230411-CP</v>
          </cell>
        </row>
        <row r="2044">
          <cell r="B2044" t="str">
            <v>B230611-BG</v>
          </cell>
        </row>
        <row r="2045">
          <cell r="B2045" t="str">
            <v>LB-23114-BN</v>
          </cell>
        </row>
        <row r="2046">
          <cell r="B2046" t="str">
            <v>LB-23026-BG</v>
          </cell>
        </row>
        <row r="2047">
          <cell r="B2047" t="str">
            <v>L230407-ORB</v>
          </cell>
        </row>
        <row r="2048">
          <cell r="B2048" t="str">
            <v>B2307-ORB</v>
          </cell>
        </row>
        <row r="2048">
          <cell r="P2048" t="str">
            <v>221F0023OB1</v>
          </cell>
        </row>
        <row r="2049">
          <cell r="B2049" t="str">
            <v>B231112-CP</v>
          </cell>
        </row>
        <row r="2050">
          <cell r="B2050" t="str">
            <v>LB-23124-CP</v>
          </cell>
        </row>
        <row r="2051">
          <cell r="B2051" t="str">
            <v>L230106-BG</v>
          </cell>
        </row>
        <row r="2052">
          <cell r="B2052" t="str">
            <v>L230412-BG</v>
          </cell>
        </row>
        <row r="2053">
          <cell r="B2053" t="str">
            <v>LB-23114-CP</v>
          </cell>
        </row>
        <row r="2054">
          <cell r="B2054" t="str">
            <v>B230611-BK</v>
          </cell>
        </row>
        <row r="2055">
          <cell r="B2055" t="str">
            <v>HG-2301+12-BK</v>
          </cell>
        </row>
        <row r="2056">
          <cell r="B2056" t="str">
            <v>LB-23114-BG</v>
          </cell>
        </row>
        <row r="2057">
          <cell r="B2057" t="str">
            <v>B230604-CP</v>
          </cell>
        </row>
        <row r="2058">
          <cell r="B2058" t="str">
            <v>L230411-ORB</v>
          </cell>
        </row>
        <row r="2059">
          <cell r="B2059" t="str">
            <v>L2305D-BK</v>
          </cell>
        </row>
        <row r="2060">
          <cell r="B2060" t="str">
            <v>L230407-BK</v>
          </cell>
        </row>
        <row r="2061">
          <cell r="B2061" t="str">
            <v>L230306-BG</v>
          </cell>
        </row>
        <row r="2062">
          <cell r="B2062" t="str">
            <v>B230611-BN</v>
          </cell>
        </row>
        <row r="2063">
          <cell r="B2063" t="str">
            <v>LB-23115-ORB</v>
          </cell>
        </row>
        <row r="2064">
          <cell r="B2064" t="str">
            <v>B231112-BN</v>
          </cell>
        </row>
        <row r="2065">
          <cell r="B2065" t="str">
            <v>L230106-CP</v>
          </cell>
        </row>
        <row r="2066">
          <cell r="B2066" t="str">
            <v>B231112-ORB</v>
          </cell>
        </row>
        <row r="2067">
          <cell r="B2067" t="str">
            <v>L230409-ORB</v>
          </cell>
        </row>
        <row r="2068">
          <cell r="B2068" t="str">
            <v>B23612-CP</v>
          </cell>
        </row>
        <row r="2069">
          <cell r="B2069" t="str">
            <v>L230306-ORB</v>
          </cell>
        </row>
        <row r="2070">
          <cell r="B2070" t="str">
            <v>B230407-BN</v>
          </cell>
        </row>
        <row r="2071">
          <cell r="B2071" t="str">
            <v>L2305D-BG</v>
          </cell>
        </row>
        <row r="2072">
          <cell r="B2072" t="str">
            <v>8807BNJB-2</v>
          </cell>
        </row>
        <row r="2072">
          <cell r="P2072" t="str">
            <v>221F0088BN1</v>
          </cell>
        </row>
        <row r="2073">
          <cell r="B2073" t="str">
            <v>QC-3012CPZZ</v>
          </cell>
        </row>
        <row r="2073">
          <cell r="P2073" t="str">
            <v>230F3012CP1</v>
          </cell>
        </row>
        <row r="2074">
          <cell r="B2074" t="str">
            <v>QC-9907BKZZ02</v>
          </cell>
        </row>
        <row r="2074">
          <cell r="P2074" t="str">
            <v>221F0099BK1</v>
          </cell>
        </row>
        <row r="2075">
          <cell r="B2075" t="str">
            <v>QC-9907BNZZ02</v>
          </cell>
        </row>
        <row r="2075">
          <cell r="P2075" t="str">
            <v>221F0099BN1</v>
          </cell>
        </row>
        <row r="2076">
          <cell r="B2076" t="str">
            <v>QC-9907ORBZZ</v>
          </cell>
        </row>
        <row r="2076">
          <cell r="P2076" t="str">
            <v>221F0099OB1</v>
          </cell>
        </row>
        <row r="2077">
          <cell r="B2077" t="str">
            <v>QC-9907BNZZ01</v>
          </cell>
        </row>
        <row r="2077">
          <cell r="P2077" t="str">
            <v>221F0099BN1</v>
          </cell>
        </row>
        <row r="2078">
          <cell r="B2078" t="str">
            <v>QC-9907BGZZ02</v>
          </cell>
        </row>
        <row r="2078">
          <cell r="P2078" t="str">
            <v>221F0099BG1</v>
          </cell>
        </row>
        <row r="2079">
          <cell r="B2079" t="str">
            <v>QC-9907BKZZ01</v>
          </cell>
        </row>
        <row r="2079">
          <cell r="P2079" t="str">
            <v>221F0099BK1</v>
          </cell>
        </row>
        <row r="2080">
          <cell r="B2080" t="str">
            <v>QC-9907BGZZ01</v>
          </cell>
        </row>
        <row r="2080">
          <cell r="P2080" t="str">
            <v>221F0099BG1</v>
          </cell>
        </row>
        <row r="2081">
          <cell r="B2081" t="str">
            <v>8811 BK01</v>
          </cell>
        </row>
        <row r="2081">
          <cell r="P2081" t="str">
            <v>211F0088BK2</v>
          </cell>
        </row>
        <row r="2082">
          <cell r="B2082" t="str">
            <v>8808BN JB-1</v>
          </cell>
        </row>
        <row r="2082">
          <cell r="P2082" t="str">
            <v>222F0088BN1</v>
          </cell>
        </row>
        <row r="2083">
          <cell r="B2083" t="str">
            <v>8811 BG01</v>
          </cell>
        </row>
        <row r="2083">
          <cell r="P2083" t="str">
            <v>211F0088BG1</v>
          </cell>
        </row>
        <row r="2084">
          <cell r="B2084" t="str">
            <v>LD8911BK</v>
          </cell>
        </row>
        <row r="2084">
          <cell r="P2084" t="str">
            <v>211F0089BK2</v>
          </cell>
        </row>
        <row r="2085">
          <cell r="B2085" t="str">
            <v>LD8911ORB</v>
          </cell>
        </row>
        <row r="2085">
          <cell r="P2085" t="str">
            <v>211F0089OB1</v>
          </cell>
        </row>
        <row r="2086">
          <cell r="B2086" t="str">
            <v>LD8911CP</v>
          </cell>
        </row>
        <row r="2086">
          <cell r="P2086" t="str">
            <v>211F0089CP1</v>
          </cell>
        </row>
        <row r="2087">
          <cell r="B2087" t="str">
            <v>LD8911BN</v>
          </cell>
        </row>
        <row r="2087">
          <cell r="P2087" t="str">
            <v>211F0089BN1</v>
          </cell>
        </row>
        <row r="2088">
          <cell r="B2088" t="str">
            <v>LD8911BG</v>
          </cell>
        </row>
        <row r="2088">
          <cell r="P2088" t="str">
            <v>211F0089BG1</v>
          </cell>
        </row>
        <row r="2089">
          <cell r="B2089" t="str">
            <v>8908CP QC1</v>
          </cell>
        </row>
        <row r="2089">
          <cell r="P2089" t="str">
            <v>222F0089CP1</v>
          </cell>
        </row>
        <row r="2090">
          <cell r="B2090" t="str">
            <v>8908BN QC1</v>
          </cell>
        </row>
        <row r="2090">
          <cell r="P2090" t="str">
            <v>222F0089BN1</v>
          </cell>
        </row>
        <row r="2091">
          <cell r="B2091" t="str">
            <v>8909ORB QC1</v>
          </cell>
        </row>
        <row r="2091">
          <cell r="P2091" t="str">
            <v>223F0089OB1</v>
          </cell>
        </row>
        <row r="2092">
          <cell r="B2092" t="str">
            <v>8908ORB QC1</v>
          </cell>
        </row>
        <row r="2092">
          <cell r="P2092" t="str">
            <v>222F0089OB1</v>
          </cell>
        </row>
        <row r="2093">
          <cell r="B2093" t="str">
            <v>8908BK QC1</v>
          </cell>
        </row>
        <row r="2093">
          <cell r="P2093" t="str">
            <v>222F0089BK1</v>
          </cell>
        </row>
        <row r="2094">
          <cell r="B2094" t="str">
            <v>HM-8811-ORB</v>
          </cell>
        </row>
        <row r="2094">
          <cell r="P2094" t="str">
            <v>211F0088OB1</v>
          </cell>
        </row>
        <row r="2095">
          <cell r="B2095" t="str">
            <v>HM-8811-BN</v>
          </cell>
        </row>
        <row r="2095">
          <cell r="P2095" t="str">
            <v>211F0088BN1</v>
          </cell>
        </row>
        <row r="2096">
          <cell r="B2096" t="str">
            <v>HM-8811-CP</v>
          </cell>
        </row>
        <row r="2096">
          <cell r="P2096" t="str">
            <v>211F0088CP1</v>
          </cell>
        </row>
        <row r="2097">
          <cell r="B2097" t="str">
            <v>LD8901+09BN</v>
          </cell>
        </row>
        <row r="2098">
          <cell r="B2098" t="str">
            <v>LD8901+09CP</v>
          </cell>
        </row>
        <row r="2099">
          <cell r="B2099" t="str">
            <v>HM-8808-BG</v>
          </cell>
        </row>
        <row r="2099">
          <cell r="P2099" t="str">
            <v>222F0088BG1</v>
          </cell>
        </row>
        <row r="2100">
          <cell r="B2100" t="str">
            <v>HM-8809-BK</v>
          </cell>
        </row>
        <row r="2100">
          <cell r="P2100" t="str">
            <v>223F0088BK1</v>
          </cell>
        </row>
        <row r="2101">
          <cell r="B2101" t="str">
            <v>HM-8811-BK</v>
          </cell>
        </row>
        <row r="2101">
          <cell r="P2101" t="str">
            <v>211F0088BK2</v>
          </cell>
        </row>
        <row r="2102">
          <cell r="B2102" t="str">
            <v>HM-8811-CP-zz</v>
          </cell>
        </row>
        <row r="2102">
          <cell r="P2102" t="str">
            <v>211F0088CP1</v>
          </cell>
        </row>
        <row r="2103">
          <cell r="B2103" t="str">
            <v>HM-8808-CP</v>
          </cell>
        </row>
        <row r="2103">
          <cell r="P2103" t="str">
            <v>222F0088CP1</v>
          </cell>
        </row>
        <row r="2104">
          <cell r="B2104" t="str">
            <v>HM-8808-ORB</v>
          </cell>
        </row>
        <row r="2104">
          <cell r="P2104" t="str">
            <v>222F0088OB1</v>
          </cell>
        </row>
        <row r="2105">
          <cell r="B2105" t="str">
            <v>HM-1005-BN</v>
          </cell>
        </row>
        <row r="2105">
          <cell r="P2105" t="str">
            <v>211F1005BN3</v>
          </cell>
        </row>
        <row r="2106">
          <cell r="B2106" t="str">
            <v>HM-8807-ORB</v>
          </cell>
        </row>
        <row r="2106">
          <cell r="P2106" t="str">
            <v>221F0088OB1</v>
          </cell>
        </row>
        <row r="2107">
          <cell r="B2107" t="str">
            <v>QC-202509</v>
          </cell>
        </row>
        <row r="2107">
          <cell r="P2107" t="str">
            <v>父体</v>
          </cell>
        </row>
        <row r="2108">
          <cell r="B2108" t="str">
            <v>QC-202506</v>
          </cell>
        </row>
        <row r="2108">
          <cell r="P2108" t="str">
            <v>父体</v>
          </cell>
        </row>
        <row r="2109">
          <cell r="B2109" t="str">
            <v>Bundle-880904-BN</v>
          </cell>
        </row>
        <row r="2110">
          <cell r="B2110" t="str">
            <v>Bundle-880904-CP</v>
          </cell>
        </row>
        <row r="2111">
          <cell r="B2111" t="str">
            <v>Bundle-880904-ORB</v>
          </cell>
        </row>
        <row r="2112">
          <cell r="B2112" t="str">
            <v>Bundle-880904-BG</v>
          </cell>
        </row>
        <row r="2113">
          <cell r="B2113" t="str">
            <v>Bundle-880901-BG</v>
          </cell>
        </row>
        <row r="2114">
          <cell r="B2114" t="str">
            <v>Bundle-880801-BN</v>
          </cell>
        </row>
        <row r="2115">
          <cell r="B2115" t="str">
            <v>Bundle-880801-ORB</v>
          </cell>
        </row>
        <row r="2116">
          <cell r="B2116" t="str">
            <v>Bundle-880801-BG</v>
          </cell>
        </row>
        <row r="2117">
          <cell r="B2117" t="str">
            <v>Bundle-880801-BK</v>
          </cell>
        </row>
        <row r="2118">
          <cell r="B2118" t="str">
            <v>Bundle-880801-CP</v>
          </cell>
        </row>
        <row r="2119">
          <cell r="B2119" t="str">
            <v>RO-29R7-YPI6</v>
          </cell>
        </row>
        <row r="2120">
          <cell r="B2120" t="str">
            <v>DA-BW5Q-3T5F</v>
          </cell>
        </row>
        <row r="2121">
          <cell r="B2121" t="str">
            <v>3004ZZ-HM</v>
          </cell>
        </row>
        <row r="2121">
          <cell r="P2121" t="str">
            <v>220F3003CP1</v>
          </cell>
        </row>
        <row r="2122">
          <cell r="B2122" t="str">
            <v>8811 BN01</v>
          </cell>
        </row>
        <row r="2122">
          <cell r="P2122" t="str">
            <v>211F0088BN1</v>
          </cell>
        </row>
        <row r="2123">
          <cell r="B2123" t="str">
            <v>3012BK+8904BK</v>
          </cell>
        </row>
        <row r="2124">
          <cell r="B2124" t="str">
            <v>3011BN+8904BN</v>
          </cell>
        </row>
        <row r="2125">
          <cell r="B2125" t="str">
            <v>3011BK+8904BK</v>
          </cell>
        </row>
        <row r="2126">
          <cell r="B2126" t="str">
            <v>8811 CP01</v>
          </cell>
        </row>
        <row r="2126">
          <cell r="P2126" t="str">
            <v>211F0088CP1</v>
          </cell>
        </row>
        <row r="2127">
          <cell r="B2127" t="str">
            <v>8811 BG01</v>
          </cell>
        </row>
        <row r="2127">
          <cell r="P2127" t="str">
            <v>211F0088BG1</v>
          </cell>
        </row>
        <row r="2128">
          <cell r="B2128" t="str">
            <v>8811 ORB01</v>
          </cell>
        </row>
        <row r="2128">
          <cell r="P2128" t="str">
            <v>211F0088OB1</v>
          </cell>
        </row>
        <row r="2129">
          <cell r="B2129" t="str">
            <v>8811 BK01</v>
          </cell>
        </row>
        <row r="2129">
          <cell r="P2129" t="str">
            <v>211F0088BK2</v>
          </cell>
        </row>
        <row r="2130">
          <cell r="B2130" t="str">
            <v>Bundle-880704-ORB</v>
          </cell>
        </row>
        <row r="2131">
          <cell r="B2131" t="str">
            <v>Bundle-880701-ORB</v>
          </cell>
        </row>
        <row r="2132">
          <cell r="B2132" t="str">
            <v>Bundle-880701-BN</v>
          </cell>
        </row>
        <row r="2133">
          <cell r="B2133" t="str">
            <v>8804BGJB-1</v>
          </cell>
        </row>
        <row r="2133">
          <cell r="P2133" t="str">
            <v>140F0088BG1</v>
          </cell>
        </row>
        <row r="2134">
          <cell r="B2134" t="str">
            <v>8804BNJB-1</v>
          </cell>
        </row>
        <row r="2134">
          <cell r="P2134" t="str">
            <v>140F0088BN1</v>
          </cell>
        </row>
        <row r="2135">
          <cell r="B2135" t="str">
            <v>8804CPJB-1</v>
          </cell>
        </row>
        <row r="2135">
          <cell r="P2135" t="str">
            <v>140F0088CP1</v>
          </cell>
        </row>
        <row r="2136">
          <cell r="B2136" t="str">
            <v>8804ORBJB-1</v>
          </cell>
        </row>
        <row r="2136">
          <cell r="P2136" t="str">
            <v>140F0088OB1</v>
          </cell>
        </row>
        <row r="2137">
          <cell r="B2137" t="str">
            <v>8808BG JB-1</v>
          </cell>
        </row>
        <row r="2137">
          <cell r="P2137" t="str">
            <v>222F0088BG1</v>
          </cell>
        </row>
        <row r="2138">
          <cell r="B2138" t="str">
            <v>8808BN JB-1</v>
          </cell>
        </row>
        <row r="2138">
          <cell r="P2138" t="str">
            <v>222F0088BN1</v>
          </cell>
        </row>
        <row r="2139">
          <cell r="B2139" t="str">
            <v>8808ORB JB-1</v>
          </cell>
        </row>
        <row r="2139">
          <cell r="P2139" t="str">
            <v>222F0088OB1</v>
          </cell>
        </row>
        <row r="2140">
          <cell r="B2140" t="str">
            <v>8807CPJB-2</v>
          </cell>
        </row>
        <row r="2140">
          <cell r="P2140" t="str">
            <v>221F0088CP1</v>
          </cell>
        </row>
        <row r="2141">
          <cell r="B2141" t="str">
            <v>8807BNJB-2</v>
          </cell>
        </row>
        <row r="2141">
          <cell r="P2141" t="str">
            <v>221F0088BN1</v>
          </cell>
        </row>
        <row r="2142">
          <cell r="B2142" t="str">
            <v>8807ORBJB-2</v>
          </cell>
        </row>
        <row r="2142">
          <cell r="P2142" t="str">
            <v>221F0088OB1</v>
          </cell>
        </row>
        <row r="2143">
          <cell r="B2143" t="str">
            <v>Bundle-30048804-ORB</v>
          </cell>
        </row>
        <row r="2144">
          <cell r="B2144" t="str">
            <v>Bundle-30048804-BK</v>
          </cell>
        </row>
        <row r="2145">
          <cell r="B2145" t="str">
            <v>Bundle-30038804-ORB</v>
          </cell>
        </row>
        <row r="2146">
          <cell r="B2146" t="str">
            <v>Bundle-30048801-BK</v>
          </cell>
        </row>
        <row r="2147">
          <cell r="B2147" t="str">
            <v>Bundle-30038804-BK</v>
          </cell>
        </row>
        <row r="2148">
          <cell r="B2148" t="str">
            <v>Bundle-30038801-BK</v>
          </cell>
        </row>
        <row r="2149">
          <cell r="B2149" t="str">
            <v>8809BK JB-1</v>
          </cell>
        </row>
        <row r="2149">
          <cell r="P2149" t="str">
            <v>223F0088BK1</v>
          </cell>
        </row>
        <row r="2150">
          <cell r="B2150" t="str">
            <v>8808CP JB-1</v>
          </cell>
        </row>
        <row r="2150">
          <cell r="P2150" t="str">
            <v>222F0088CP1</v>
          </cell>
        </row>
        <row r="2151">
          <cell r="B2151" t="str">
            <v>8808BK JB-1</v>
          </cell>
        </row>
        <row r="2151">
          <cell r="P2151" t="str">
            <v>222F0088BK1</v>
          </cell>
        </row>
        <row r="2152">
          <cell r="B2152" t="str">
            <v>8809ORB JB-1</v>
          </cell>
        </row>
        <row r="2152">
          <cell r="P2152" t="str">
            <v>223F0088OB1</v>
          </cell>
        </row>
        <row r="2153">
          <cell r="B2153" t="str">
            <v>8807BGJB-2</v>
          </cell>
        </row>
        <row r="2153">
          <cell r="P2153" t="str">
            <v>221F0088BG1</v>
          </cell>
        </row>
        <row r="2154">
          <cell r="B2154" t="str">
            <v>HM-8801-BN</v>
          </cell>
        </row>
        <row r="2154">
          <cell r="P2154" t="str">
            <v>110F0088BN1</v>
          </cell>
        </row>
        <row r="2155">
          <cell r="B2155" t="str">
            <v>8807BKJB-2</v>
          </cell>
        </row>
        <row r="2155">
          <cell r="P2155" t="str">
            <v>221F0088BK1</v>
          </cell>
        </row>
        <row r="2156">
          <cell r="B2156" t="str">
            <v>8801BKJB-1</v>
          </cell>
        </row>
        <row r="2156">
          <cell r="P2156" t="str">
            <v>110F0088BK1</v>
          </cell>
        </row>
        <row r="2157">
          <cell r="B2157" t="str">
            <v>8801BGJB-1</v>
          </cell>
        </row>
        <row r="2157">
          <cell r="P2157" t="str">
            <v>110F0088BG1</v>
          </cell>
        </row>
        <row r="2158">
          <cell r="B2158" t="str">
            <v>8801ORBJB-1</v>
          </cell>
        </row>
        <row r="2158">
          <cell r="P2158" t="str">
            <v>110F0088OB1</v>
          </cell>
        </row>
        <row r="2159">
          <cell r="B2159" t="str">
            <v>8801BNJB-1</v>
          </cell>
        </row>
        <row r="2159">
          <cell r="P2159" t="str">
            <v>110F0088BN1</v>
          </cell>
        </row>
        <row r="2160">
          <cell r="B2160" t="str">
            <v>Bundle-30028801-BK</v>
          </cell>
        </row>
        <row r="2161">
          <cell r="B2161" t="str">
            <v>Bundle-30048801-CP</v>
          </cell>
        </row>
        <row r="2162">
          <cell r="B2162" t="str">
            <v>Bundle-30048801-BN</v>
          </cell>
        </row>
        <row r="2163">
          <cell r="B2163" t="str">
            <v>Bundle-30038801-BN</v>
          </cell>
        </row>
        <row r="2164">
          <cell r="B2164" t="str">
            <v>8804BKJB-1</v>
          </cell>
        </row>
        <row r="2164">
          <cell r="P2164" t="str">
            <v>140F0088BK1</v>
          </cell>
        </row>
        <row r="2165">
          <cell r="B2165" t="str">
            <v>QC-8909ZZ</v>
          </cell>
        </row>
        <row r="2166">
          <cell r="B2166" t="str">
            <v>HM-8804-BG1</v>
          </cell>
        </row>
        <row r="2166">
          <cell r="P2166" t="str">
            <v>140F0088BG1</v>
          </cell>
        </row>
        <row r="2167">
          <cell r="B2167" t="str">
            <v>HM-8807-BK-zz</v>
          </cell>
        </row>
        <row r="2167">
          <cell r="P2167" t="str">
            <v>221F0088BK1</v>
          </cell>
        </row>
        <row r="2168">
          <cell r="B2168" t="str">
            <v>HM-8801-ORB2</v>
          </cell>
        </row>
        <row r="2168">
          <cell r="P2168" t="str">
            <v>110F0088OB1</v>
          </cell>
        </row>
        <row r="2169">
          <cell r="B2169" t="str">
            <v>JB-101CP</v>
          </cell>
        </row>
        <row r="2169">
          <cell r="P2169" t="str">
            <v>110F0101CP1</v>
          </cell>
        </row>
        <row r="2170">
          <cell r="B2170" t="str">
            <v>HM-8801-BG</v>
          </cell>
        </row>
        <row r="2170">
          <cell r="P2170" t="str">
            <v>110F0088BG1</v>
          </cell>
        </row>
        <row r="2171">
          <cell r="B2171" t="str">
            <v>HM-8801-BK</v>
          </cell>
        </row>
        <row r="2171">
          <cell r="P2171" t="str">
            <v>110F0088BK1</v>
          </cell>
        </row>
        <row r="2172">
          <cell r="B2172" t="str">
            <v>QC-8907</v>
          </cell>
        </row>
        <row r="2173">
          <cell r="B2173" t="str">
            <v>3004CP QC1</v>
          </cell>
        </row>
        <row r="2173">
          <cell r="P2173" t="str">
            <v>240F3004CP1</v>
          </cell>
        </row>
        <row r="2174">
          <cell r="B2174" t="str">
            <v>3004BK QC1</v>
          </cell>
        </row>
        <row r="2174">
          <cell r="P2174" t="str">
            <v>240F3004BK1</v>
          </cell>
        </row>
        <row r="2175">
          <cell r="B2175" t="str">
            <v>3012BN-QC1</v>
          </cell>
        </row>
        <row r="2175">
          <cell r="P2175" t="str">
            <v>230F3012BN2</v>
          </cell>
        </row>
        <row r="2176">
          <cell r="B2176" t="str">
            <v>3012BK QC1</v>
          </cell>
        </row>
        <row r="2176">
          <cell r="P2176" t="str">
            <v>230F3012BK1</v>
          </cell>
        </row>
        <row r="2177">
          <cell r="B2177" t="str">
            <v>3011BG QC1</v>
          </cell>
        </row>
        <row r="2177">
          <cell r="P2177" t="str">
            <v>230F3011BG1</v>
          </cell>
        </row>
        <row r="2178">
          <cell r="B2178" t="str">
            <v>3011ORB QC1</v>
          </cell>
        </row>
        <row r="2178">
          <cell r="P2178" t="str">
            <v>230F3011OB1</v>
          </cell>
        </row>
        <row r="2179">
          <cell r="B2179" t="str">
            <v>3004BG HM1</v>
          </cell>
        </row>
        <row r="2179">
          <cell r="P2179" t="str">
            <v>240F3004BG1</v>
          </cell>
        </row>
        <row r="2180">
          <cell r="B2180" t="str">
            <v>8001HM1</v>
          </cell>
        </row>
        <row r="2181">
          <cell r="B2181" t="str">
            <v>MP104105</v>
          </cell>
        </row>
        <row r="2182">
          <cell r="B2182" t="str">
            <v>MP105CP JB1</v>
          </cell>
        </row>
        <row r="2182">
          <cell r="P2182" t="str">
            <v>130F0105CP1</v>
          </cell>
        </row>
        <row r="2183">
          <cell r="B2183" t="str">
            <v>MP105BK JB1</v>
          </cell>
        </row>
        <row r="2183">
          <cell r="P2183" t="str">
            <v>130F0105BK1</v>
          </cell>
        </row>
        <row r="2184">
          <cell r="B2184" t="str">
            <v>MP104BN JB1</v>
          </cell>
        </row>
        <row r="2184">
          <cell r="P2184" t="str">
            <v>130F0104BN1</v>
          </cell>
        </row>
        <row r="2185">
          <cell r="B2185" t="str">
            <v>MP104CP JB1</v>
          </cell>
        </row>
        <row r="2185">
          <cell r="P2185" t="str">
            <v>130F0104CP1</v>
          </cell>
        </row>
        <row r="2186">
          <cell r="B2186" t="str">
            <v>MP104BK JB1</v>
          </cell>
        </row>
        <row r="2186">
          <cell r="P2186" t="str">
            <v>130F0104BK1</v>
          </cell>
        </row>
        <row r="2187">
          <cell r="B2187" t="str">
            <v>MP104CP JB1</v>
          </cell>
        </row>
        <row r="2187">
          <cell r="P2187" t="str">
            <v>130F0104CP1</v>
          </cell>
        </row>
        <row r="2188">
          <cell r="B2188" t="str">
            <v>MP104BN JB1</v>
          </cell>
        </row>
        <row r="2188">
          <cell r="P2188" t="str">
            <v>130F0104BN1</v>
          </cell>
        </row>
        <row r="2189">
          <cell r="B2189" t="str">
            <v>MP105BN JB1</v>
          </cell>
        </row>
        <row r="2189">
          <cell r="P2189" t="str">
            <v>130F0105BN1</v>
          </cell>
        </row>
        <row r="2190">
          <cell r="B2190" t="str">
            <v>SZ-L-640F0001-AS07400</v>
          </cell>
        </row>
        <row r="2190">
          <cell r="P2190" t="str">
            <v>暂时没有内部SKU</v>
          </cell>
        </row>
        <row r="2191">
          <cell r="B2191" t="str">
            <v>WK-L0001+2212BG</v>
          </cell>
        </row>
        <row r="2192">
          <cell r="B2192" t="str">
            <v>WK-L0001+2212-BK</v>
          </cell>
        </row>
        <row r="2193">
          <cell r="B2193" t="str">
            <v>QC-202507-BK02</v>
          </cell>
        </row>
        <row r="2193">
          <cell r="P2193" t="str">
            <v>221F0022BK1</v>
          </cell>
        </row>
        <row r="2194">
          <cell r="B2194" t="str">
            <v>PHF-40-GM</v>
          </cell>
        </row>
        <row r="2195">
          <cell r="B2195" t="str">
            <v>B2306-ORB</v>
          </cell>
        </row>
        <row r="2196">
          <cell r="B2196" t="str">
            <v>NL2204-BK</v>
          </cell>
        </row>
        <row r="2196">
          <cell r="P2196" t="str">
            <v>140F0022BK1</v>
          </cell>
        </row>
        <row r="2197">
          <cell r="B2197" t="str">
            <v>NL2204-BN</v>
          </cell>
        </row>
        <row r="2197">
          <cell r="P2197" t="str">
            <v>140F0022BN1</v>
          </cell>
        </row>
        <row r="2198">
          <cell r="B2198" t="str">
            <v>JSG-73.5-2</v>
          </cell>
        </row>
        <row r="2198">
          <cell r="P2198" t="str">
            <v>610F0012C01</v>
          </cell>
        </row>
        <row r="2199">
          <cell r="B2199" t="str">
            <v>B0FQ1CQ2SF</v>
          </cell>
        </row>
        <row r="2200">
          <cell r="B2200" t="str">
            <v>PJF-35-NEW</v>
          </cell>
        </row>
        <row r="2200">
          <cell r="P2200" t="str">
            <v>610F0007C01</v>
          </cell>
        </row>
        <row r="2201">
          <cell r="B2201" t="str">
            <v>JSG-69-NEW</v>
          </cell>
        </row>
        <row r="2201">
          <cell r="P2201" t="str">
            <v>610F0013C01</v>
          </cell>
        </row>
        <row r="2202">
          <cell r="B2202" t="str">
            <v>JSG-73.5-NEW</v>
          </cell>
        </row>
        <row r="2203">
          <cell r="B2203" t="str">
            <v>JSG-70-NEW</v>
          </cell>
        </row>
        <row r="2203">
          <cell r="P2203" t="str">
            <v>610F0011C01</v>
          </cell>
        </row>
        <row r="2204">
          <cell r="B2204" t="str">
            <v>WT-9805BK</v>
          </cell>
        </row>
        <row r="2204">
          <cell r="P2204" t="str">
            <v>150F0098BK1</v>
          </cell>
        </row>
        <row r="2205">
          <cell r="B2205" t="str">
            <v>1Y-I8G0-V26N</v>
          </cell>
        </row>
        <row r="2206">
          <cell r="B2206" t="str">
            <v>WT-3317BN5-GM</v>
          </cell>
        </row>
        <row r="2207">
          <cell r="B2207" t="str">
            <v>WT-3317BG3-GM</v>
          </cell>
        </row>
        <row r="2208">
          <cell r="B2208" t="str">
            <v>WT-3317BK1-GM</v>
          </cell>
        </row>
        <row r="2208">
          <cell r="P2208" t="str">
            <v>310F3317BK1</v>
          </cell>
        </row>
        <row r="2209">
          <cell r="B2209" t="str">
            <v>SZ-3504-BG7</v>
          </cell>
        </row>
        <row r="2210">
          <cell r="B2210" t="str">
            <v>SZ-3503-ORB</v>
          </cell>
        </row>
        <row r="2211">
          <cell r="B2211" t="str">
            <v>SZ-3503-BG7</v>
          </cell>
        </row>
        <row r="2212">
          <cell r="B2212" t="str">
            <v>SZ-3504-ORB</v>
          </cell>
        </row>
        <row r="2213">
          <cell r="B2213" t="str">
            <v>SZ-3503-BK</v>
          </cell>
        </row>
        <row r="2213">
          <cell r="P2213" t="str">
            <v>130F3503BK1</v>
          </cell>
        </row>
        <row r="2214">
          <cell r="B2214" t="str">
            <v>SZ-3504-BG</v>
          </cell>
        </row>
        <row r="2214">
          <cell r="P2214" t="str">
            <v>140F3504BG3</v>
          </cell>
        </row>
        <row r="2215">
          <cell r="B2215" t="str">
            <v>SZ-3503-BN</v>
          </cell>
        </row>
        <row r="2215">
          <cell r="P2215" t="str">
            <v>130F3503BN5</v>
          </cell>
        </row>
        <row r="2216">
          <cell r="B2216" t="str">
            <v>SZ-3504-BK</v>
          </cell>
        </row>
        <row r="2216">
          <cell r="P2216" t="str">
            <v>140F3504BK1</v>
          </cell>
        </row>
        <row r="2217">
          <cell r="B2217" t="str">
            <v>SZ-3504-BN</v>
          </cell>
        </row>
        <row r="2217">
          <cell r="P2217" t="str">
            <v>140F3504BN5</v>
          </cell>
        </row>
        <row r="2218">
          <cell r="B2218" t="str">
            <v>SZ-3503-BG</v>
          </cell>
        </row>
        <row r="2218">
          <cell r="P2218" t="str">
            <v>130F3503BG3</v>
          </cell>
        </row>
        <row r="2219">
          <cell r="B2219" t="str">
            <v>SZ-3501-ORB</v>
          </cell>
        </row>
        <row r="2220">
          <cell r="B2220" t="str">
            <v>SZ-3501-BG7</v>
          </cell>
        </row>
        <row r="2221">
          <cell r="B2221" t="str">
            <v>SZ-3501-BN</v>
          </cell>
        </row>
        <row r="2221">
          <cell r="P2221" t="str">
            <v>110F3501BN5</v>
          </cell>
        </row>
        <row r="2222">
          <cell r="B2222" t="str">
            <v>SZ-3501-BK</v>
          </cell>
        </row>
        <row r="2222">
          <cell r="P2222" t="str">
            <v>110F3501BK1</v>
          </cell>
        </row>
        <row r="2223">
          <cell r="B2223" t="str">
            <v>SZ-3501-BG</v>
          </cell>
        </row>
        <row r="2223">
          <cell r="P2223" t="str">
            <v>110F3501BG3</v>
          </cell>
        </row>
        <row r="2224">
          <cell r="B2224" t="str">
            <v>SZ-L-SD-CP-04</v>
          </cell>
        </row>
        <row r="2224">
          <cell r="P2224" t="str">
            <v>暂时没有内部SKU</v>
          </cell>
        </row>
        <row r="2225">
          <cell r="B2225" t="str">
            <v>SZ-L-SD-ORB-05</v>
          </cell>
        </row>
        <row r="2225">
          <cell r="P2225" t="str">
            <v>暂时没有内部SKU</v>
          </cell>
        </row>
        <row r="2226">
          <cell r="B2226" t="str">
            <v>SZ-L-SD-BG-02</v>
          </cell>
        </row>
        <row r="2226">
          <cell r="P2226" t="str">
            <v>490F0002BG3</v>
          </cell>
        </row>
        <row r="2227">
          <cell r="B2227" t="str">
            <v>SZ-L-SD-BN-01</v>
          </cell>
        </row>
        <row r="2227">
          <cell r="P2227" t="str">
            <v>490F0002BN5</v>
          </cell>
        </row>
        <row r="2228">
          <cell r="B2228" t="str">
            <v>SZ-L-SD-BK-03</v>
          </cell>
        </row>
        <row r="2228">
          <cell r="P2228" t="str">
            <v>490F0002BK1</v>
          </cell>
        </row>
        <row r="2229">
          <cell r="B2229" t="str">
            <v>JSG-73.5</v>
          </cell>
        </row>
        <row r="2229">
          <cell r="P2229" t="str">
            <v>610F0012C01</v>
          </cell>
        </row>
        <row r="2230">
          <cell r="B2230" t="str">
            <v>BF-9901-BN</v>
          </cell>
        </row>
        <row r="2231">
          <cell r="B2231" t="str">
            <v>WT-3307BN03</v>
          </cell>
        </row>
        <row r="2231">
          <cell r="P2231" t="str">
            <v>221F3307BN1</v>
          </cell>
        </row>
        <row r="2232">
          <cell r="B2232" t="str">
            <v>WT-3307BN02</v>
          </cell>
        </row>
        <row r="2232">
          <cell r="P2232" t="str">
            <v>221F3307BN1</v>
          </cell>
        </row>
        <row r="2233">
          <cell r="B2233" t="str">
            <v>WT-3307ORB02</v>
          </cell>
        </row>
        <row r="2233">
          <cell r="P2233" t="str">
            <v>221F3307OB1</v>
          </cell>
        </row>
        <row r="2234">
          <cell r="B2234" t="str">
            <v>WT-3307BG3-03</v>
          </cell>
        </row>
        <row r="2234">
          <cell r="P2234" t="str">
            <v>221F3307BG3</v>
          </cell>
        </row>
        <row r="2235">
          <cell r="B2235" t="str">
            <v>WT-3307BNZZ</v>
          </cell>
        </row>
        <row r="2235">
          <cell r="P2235" t="str">
            <v>221F3307BN1</v>
          </cell>
        </row>
        <row r="2236">
          <cell r="B2236" t="str">
            <v>WT-3307ORBZZ</v>
          </cell>
        </row>
        <row r="2236">
          <cell r="P2236" t="str">
            <v>221F3307OB1</v>
          </cell>
        </row>
        <row r="2237">
          <cell r="B2237" t="str">
            <v>WT-3307BK03</v>
          </cell>
        </row>
        <row r="2237">
          <cell r="P2237" t="str">
            <v>221F3307BK1</v>
          </cell>
        </row>
        <row r="2238">
          <cell r="B2238" t="str">
            <v>WT-3307BG3-02</v>
          </cell>
        </row>
        <row r="2238">
          <cell r="P2238" t="str">
            <v>221F3307BG3</v>
          </cell>
        </row>
        <row r="2239">
          <cell r="B2239" t="str">
            <v>WT-3307ORB03</v>
          </cell>
        </row>
        <row r="2239">
          <cell r="P2239" t="str">
            <v>221F3307OB1</v>
          </cell>
        </row>
        <row r="2240">
          <cell r="B2240" t="str">
            <v>WT-3307BK</v>
          </cell>
        </row>
        <row r="2240">
          <cell r="P2240" t="str">
            <v>221F3307BK1</v>
          </cell>
        </row>
        <row r="2241">
          <cell r="B2241" t="str">
            <v>WT-3307BG3</v>
          </cell>
        </row>
        <row r="2241">
          <cell r="P2241" t="str">
            <v>221F3307BG3</v>
          </cell>
        </row>
        <row r="2242">
          <cell r="B2242" t="str">
            <v>WT-3307BN</v>
          </cell>
        </row>
        <row r="2242">
          <cell r="P2242" t="str">
            <v>221F3307BN1</v>
          </cell>
        </row>
        <row r="2243">
          <cell r="B2243" t="str">
            <v>WT-3307ORB</v>
          </cell>
        </row>
        <row r="2243">
          <cell r="P2243" t="str">
            <v>221F3307OB1</v>
          </cell>
        </row>
        <row r="2244">
          <cell r="B2244" t="str">
            <v>WT-3307BKZZ</v>
          </cell>
        </row>
        <row r="2244">
          <cell r="P2244" t="str">
            <v>221F3307BK1</v>
          </cell>
        </row>
        <row r="2245">
          <cell r="B2245" t="str">
            <v>WT-3307BK02</v>
          </cell>
        </row>
        <row r="2245">
          <cell r="P2245" t="str">
            <v>221F3307BK1</v>
          </cell>
        </row>
        <row r="2246">
          <cell r="B2246" t="str">
            <v>WT-3307BG3-ZZ</v>
          </cell>
        </row>
        <row r="2246">
          <cell r="P2246" t="str">
            <v>221F3307BG3</v>
          </cell>
        </row>
        <row r="2247">
          <cell r="B2247" t="str">
            <v>SZ-L-0013-WJSK-CP-04</v>
          </cell>
        </row>
        <row r="2247">
          <cell r="P2247" t="str">
            <v>暂时没有内部SKU</v>
          </cell>
        </row>
        <row r="2248">
          <cell r="B2248" t="str">
            <v>SZ-L-SD-3314-WJSK-BK-03</v>
          </cell>
        </row>
        <row r="2248">
          <cell r="P2248" t="str">
            <v>暂时没有内部SKU</v>
          </cell>
        </row>
        <row r="2249">
          <cell r="B2249" t="str">
            <v>SZ-L-SD-3314-WJSK-ORB-05</v>
          </cell>
        </row>
        <row r="2249">
          <cell r="P2249" t="str">
            <v>暂时没有内部SKU</v>
          </cell>
        </row>
        <row r="2250">
          <cell r="B2250" t="str">
            <v>SZ-L-3314-WJSK-BK-03</v>
          </cell>
        </row>
        <row r="2250">
          <cell r="P2250" t="str">
            <v>暂时没有内部SKU</v>
          </cell>
        </row>
        <row r="2251">
          <cell r="B2251" t="str">
            <v>SZ-L-3315-WJSK-BG-02</v>
          </cell>
        </row>
        <row r="2251">
          <cell r="P2251" t="str">
            <v>暂时没有内部SKU</v>
          </cell>
        </row>
        <row r="2252">
          <cell r="B2252" t="str">
            <v>SZ-L-SD-0013-WJSK-BN-01</v>
          </cell>
        </row>
        <row r="2252">
          <cell r="P2252" t="str">
            <v>暂时没有内部SKU</v>
          </cell>
        </row>
        <row r="2253">
          <cell r="B2253" t="str">
            <v>SZ-L-0013-WJSK-ORB-05</v>
          </cell>
        </row>
        <row r="2253">
          <cell r="P2253" t="str">
            <v>暂时没有内部SKU</v>
          </cell>
        </row>
        <row r="2254">
          <cell r="B2254" t="str">
            <v>SZ-L-3315-WJSK-BK-03</v>
          </cell>
        </row>
        <row r="2254">
          <cell r="P2254" t="str">
            <v>暂时没有内部SKU</v>
          </cell>
        </row>
        <row r="2255">
          <cell r="B2255" t="str">
            <v>SZ-L-0013-WJSK-BN-01</v>
          </cell>
        </row>
        <row r="2255">
          <cell r="P2255" t="str">
            <v>暂时没有内部SKU</v>
          </cell>
        </row>
        <row r="2256">
          <cell r="B2256" t="str">
            <v>SZ-L-3314-WJSK-BG-02</v>
          </cell>
        </row>
        <row r="2256">
          <cell r="P2256" t="str">
            <v>暂时没有内部SKU</v>
          </cell>
        </row>
        <row r="2257">
          <cell r="B2257" t="str">
            <v>SZ-L-0013-WJSK-BK-03</v>
          </cell>
        </row>
        <row r="2257">
          <cell r="P2257" t="str">
            <v>暂时没有内部SKU</v>
          </cell>
        </row>
        <row r="2258">
          <cell r="B2258" t="str">
            <v>SZ-L-0013-WJSK-BG-02</v>
          </cell>
        </row>
        <row r="2258">
          <cell r="P2258" t="str">
            <v>暂时没有内部SKU</v>
          </cell>
        </row>
        <row r="2259">
          <cell r="B2259" t="str">
            <v>SZ-L-3314-WJSK-CP-04</v>
          </cell>
        </row>
        <row r="2259">
          <cell r="P2259" t="str">
            <v>暂时没有内部SKU</v>
          </cell>
        </row>
        <row r="2260">
          <cell r="B2260" t="str">
            <v>SZ-L-SD-0013-WJSK-CP-04</v>
          </cell>
        </row>
        <row r="2260">
          <cell r="P2260" t="str">
            <v>暂时没有内部SKU</v>
          </cell>
        </row>
        <row r="2261">
          <cell r="B2261" t="str">
            <v>SZ-L-SD-0013-WJSK-BK-03</v>
          </cell>
        </row>
        <row r="2261">
          <cell r="P2261" t="str">
            <v>暂时没有内部SKU</v>
          </cell>
        </row>
        <row r="2262">
          <cell r="B2262" t="str">
            <v>SZ-L-3314-WJSK-ORB-05</v>
          </cell>
        </row>
        <row r="2262">
          <cell r="P2262" t="str">
            <v>暂时没有内部SKU</v>
          </cell>
        </row>
        <row r="2263">
          <cell r="B2263" t="str">
            <v>SZ-L-SD-3314-WJSK-BG-02</v>
          </cell>
        </row>
        <row r="2263">
          <cell r="P2263" t="str">
            <v>暂时没有内部SKU</v>
          </cell>
        </row>
        <row r="2264">
          <cell r="B2264" t="str">
            <v>SZ-L-3315-WJSK-ORB-05</v>
          </cell>
        </row>
        <row r="2264">
          <cell r="P2264" t="str">
            <v>暂时没有内部SKU</v>
          </cell>
        </row>
        <row r="2265">
          <cell r="B2265" t="str">
            <v>SZ-L-3315-WJSK-CP-04</v>
          </cell>
        </row>
        <row r="2265">
          <cell r="P2265" t="str">
            <v>暂时没有内部SKU</v>
          </cell>
        </row>
        <row r="2266">
          <cell r="B2266" t="str">
            <v>SZ-L-3315-WJSK-BN-01</v>
          </cell>
        </row>
        <row r="2266">
          <cell r="P2266" t="str">
            <v>暂时没有内部SKU</v>
          </cell>
        </row>
        <row r="2267">
          <cell r="B2267" t="str">
            <v>SZ-L-SD-0013-WJSK-BG-02</v>
          </cell>
        </row>
        <row r="2267">
          <cell r="P2267" t="str">
            <v>暂时没有内部SKU</v>
          </cell>
        </row>
        <row r="2268">
          <cell r="B2268" t="str">
            <v>SZ-L-3314-WJSK-BN-01</v>
          </cell>
        </row>
        <row r="2268">
          <cell r="P2268" t="str">
            <v>暂时没有内部SKU</v>
          </cell>
        </row>
        <row r="2269">
          <cell r="B2269" t="str">
            <v>SZ-L-SD-3314-WJSK-CP-04</v>
          </cell>
        </row>
        <row r="2269">
          <cell r="P2269" t="str">
            <v>暂时没有内部SKU</v>
          </cell>
        </row>
        <row r="2270">
          <cell r="B2270" t="str">
            <v>SZ-L-SD-3314-WJSK-BN-01</v>
          </cell>
        </row>
        <row r="2270">
          <cell r="P2270" t="str">
            <v>暂时没有内部SKU</v>
          </cell>
        </row>
        <row r="2271">
          <cell r="B2271" t="str">
            <v>SZ-L-SD-0013-WJSK-ORB-05</v>
          </cell>
        </row>
        <row r="2271">
          <cell r="P2271" t="str">
            <v>暂时没有内部SKU</v>
          </cell>
        </row>
        <row r="2272">
          <cell r="B2272" t="str">
            <v>BZ-35DL-4K3G</v>
          </cell>
        </row>
        <row r="2273">
          <cell r="B2273" t="str">
            <v>EY-NROH-THQ7</v>
          </cell>
        </row>
        <row r="2274">
          <cell r="B2274" t="str">
            <v>A7-TNUR-7OMB</v>
          </cell>
        </row>
        <row r="2275">
          <cell r="B2275" t="str">
            <v>KZ-9604CP</v>
          </cell>
        </row>
        <row r="2276">
          <cell r="B2276" t="str">
            <v>WT-9807ORBZZ-KK</v>
          </cell>
        </row>
        <row r="2276">
          <cell r="P2276" t="str">
            <v>221F0098OB1</v>
          </cell>
        </row>
        <row r="2277">
          <cell r="B2277" t="str">
            <v>WT-9807BNZZ01-KK</v>
          </cell>
        </row>
        <row r="2277">
          <cell r="P2277" t="str">
            <v>221F0098BN1</v>
          </cell>
        </row>
        <row r="2278">
          <cell r="B2278" t="str">
            <v>WT-9807RGBKZZ-KK</v>
          </cell>
        </row>
        <row r="2278">
          <cell r="P2278" t="str">
            <v>221F0098RB1</v>
          </cell>
        </row>
        <row r="2279">
          <cell r="B2279" t="str">
            <v>WT-9807BGZZ-KK</v>
          </cell>
        </row>
        <row r="2279">
          <cell r="P2279" t="str">
            <v>221F0098BG1</v>
          </cell>
        </row>
        <row r="2280">
          <cell r="B2280" t="str">
            <v>WT-9807BKZZ-KK</v>
          </cell>
        </row>
        <row r="2280">
          <cell r="P2280" t="str">
            <v>221F0098BK1</v>
          </cell>
        </row>
        <row r="2281">
          <cell r="B2281" t="str">
            <v>WT-9807CPZZ-KK</v>
          </cell>
        </row>
        <row r="2281">
          <cell r="P2281" t="str">
            <v>221F0098CP1</v>
          </cell>
        </row>
        <row r="2282">
          <cell r="B2282" t="str">
            <v>WT-9807BKZZ01-KK</v>
          </cell>
        </row>
        <row r="2282">
          <cell r="P2282" t="str">
            <v>221F0098BK1</v>
          </cell>
        </row>
        <row r="2283">
          <cell r="B2283" t="str">
            <v>WT-9807BNZZ-KK</v>
          </cell>
        </row>
        <row r="2283">
          <cell r="P2283" t="str">
            <v>221F0098BN1</v>
          </cell>
        </row>
        <row r="2284">
          <cell r="B2284" t="str">
            <v>8807CPJB-ZZ</v>
          </cell>
        </row>
        <row r="2284">
          <cell r="P2284" t="str">
            <v>221F0088CP1</v>
          </cell>
        </row>
        <row r="2285">
          <cell r="B2285" t="str">
            <v>WT-0009ZZ</v>
          </cell>
        </row>
        <row r="2285">
          <cell r="P2285" t="str">
            <v>230F3007CP1</v>
          </cell>
        </row>
        <row r="2286">
          <cell r="B2286" t="str">
            <v>WT-9807BKZZ06</v>
          </cell>
        </row>
        <row r="2286">
          <cell r="P2286" t="str">
            <v>221F0098BK1</v>
          </cell>
        </row>
        <row r="2287">
          <cell r="B2287" t="str">
            <v>WT-9807BKZZ05</v>
          </cell>
        </row>
        <row r="2287">
          <cell r="P2287" t="str">
            <v>221F0098BK1</v>
          </cell>
        </row>
        <row r="2288">
          <cell r="B2288" t="str">
            <v>8807BNJB-ZZ</v>
          </cell>
        </row>
        <row r="2289">
          <cell r="B2289" t="str">
            <v>8807BGJB-ZZ</v>
          </cell>
        </row>
        <row r="2290">
          <cell r="B2290" t="str">
            <v>TT-9708RGBK-ZZ</v>
          </cell>
        </row>
        <row r="2290">
          <cell r="P2290" t="str">
            <v>222F0097RB1</v>
          </cell>
        </row>
        <row r="2291">
          <cell r="B2291" t="str">
            <v>TT-9709BK-ZZ</v>
          </cell>
        </row>
        <row r="2292">
          <cell r="B2292" t="str">
            <v>SZ-B9906BG</v>
          </cell>
        </row>
        <row r="2292">
          <cell r="P2292" t="str">
            <v>230F0099BG1</v>
          </cell>
        </row>
        <row r="2293">
          <cell r="B2293" t="str">
            <v>TT-9709RGBK</v>
          </cell>
        </row>
        <row r="2294">
          <cell r="B2294" t="str">
            <v>WT-9907CP</v>
          </cell>
        </row>
        <row r="2294">
          <cell r="P2294" t="str">
            <v>221F0099CP1</v>
          </cell>
        </row>
        <row r="2295">
          <cell r="B2295" t="str">
            <v>WT-B830BNZZ06</v>
          </cell>
        </row>
        <row r="2295">
          <cell r="P2295" t="str">
            <v>211F8000BN1</v>
          </cell>
        </row>
        <row r="2296">
          <cell r="B2296" t="str">
            <v>WT-9907BK</v>
          </cell>
        </row>
        <row r="2296">
          <cell r="P2296" t="str">
            <v>221F0099BK1</v>
          </cell>
        </row>
        <row r="2297">
          <cell r="B2297" t="str">
            <v>SZ-B9906ORB</v>
          </cell>
        </row>
        <row r="2297">
          <cell r="P2297" t="str">
            <v>230F0099OB1</v>
          </cell>
        </row>
        <row r="2298">
          <cell r="B2298" t="str">
            <v>SZ-L-HST-Standard-ORB</v>
          </cell>
        </row>
        <row r="2298">
          <cell r="P2298" t="str">
            <v>暂时没有内部SKU</v>
          </cell>
        </row>
        <row r="2299">
          <cell r="B2299" t="str">
            <v>SZ-L-HST-Standard-ORB-02</v>
          </cell>
        </row>
        <row r="2299">
          <cell r="P2299" t="str">
            <v>暂时没有内部SKU</v>
          </cell>
        </row>
        <row r="2300">
          <cell r="B2300" t="str">
            <v>SZ-L-HST-Standard-GD-02</v>
          </cell>
        </row>
        <row r="2300">
          <cell r="P2300" t="str">
            <v>暂时没有内部SKU</v>
          </cell>
        </row>
        <row r="2301">
          <cell r="B2301" t="str">
            <v>SZ-L-HST-Standard-BK-03</v>
          </cell>
        </row>
        <row r="2301">
          <cell r="P2301" t="str">
            <v>暂时没有内部SKU</v>
          </cell>
        </row>
        <row r="2302">
          <cell r="B2302" t="str">
            <v>SZ-W-3313-CP-05</v>
          </cell>
        </row>
        <row r="2302">
          <cell r="P2302" t="str">
            <v>暂时没有内部SKU</v>
          </cell>
        </row>
        <row r="2303">
          <cell r="B2303" t="str">
            <v>SZ-L-HST-Standard-CP-01</v>
          </cell>
        </row>
        <row r="2303">
          <cell r="P2303" t="str">
            <v>暂时没有内部SKU</v>
          </cell>
        </row>
        <row r="2304">
          <cell r="B2304" t="str">
            <v>SZ-L-HST-Standard-ORB-01</v>
          </cell>
        </row>
        <row r="2304">
          <cell r="P2304" t="str">
            <v>暂时没有内部SKU</v>
          </cell>
        </row>
        <row r="2305">
          <cell r="B2305" t="str">
            <v>SZ-S-3314-CP-05</v>
          </cell>
        </row>
        <row r="2305">
          <cell r="P2305" t="str">
            <v>暂时没有内部SKU</v>
          </cell>
        </row>
        <row r="2306">
          <cell r="B2306" t="str">
            <v>SZ-L-SD-3315-CP-05</v>
          </cell>
        </row>
        <row r="2306">
          <cell r="P2306" t="str">
            <v>暂时没有内部SKU</v>
          </cell>
        </row>
        <row r="2307">
          <cell r="B2307" t="str">
            <v>SZ-L-HST-Standard-GD-01</v>
          </cell>
        </row>
        <row r="2307">
          <cell r="P2307" t="str">
            <v>暂时没有内部SKU</v>
          </cell>
        </row>
        <row r="2308">
          <cell r="B2308" t="str">
            <v>SZ-L-HST-Standard-ORB-03</v>
          </cell>
        </row>
        <row r="2308">
          <cell r="P2308" t="str">
            <v>暂时没有内部SKU</v>
          </cell>
        </row>
        <row r="2309">
          <cell r="B2309" t="str">
            <v>SZ-S-3315-CP-05</v>
          </cell>
        </row>
        <row r="2309">
          <cell r="P2309" t="str">
            <v>暂时没有内部SKU</v>
          </cell>
        </row>
        <row r="2310">
          <cell r="B2310" t="str">
            <v>SZ-L-HST-Standard-GD-03</v>
          </cell>
        </row>
        <row r="2310">
          <cell r="P2310" t="str">
            <v>暂时没有内部SKU</v>
          </cell>
        </row>
        <row r="2311">
          <cell r="B2311" t="str">
            <v>SZ-L-HST-Standard-CP-03</v>
          </cell>
        </row>
        <row r="2311">
          <cell r="P2311" t="str">
            <v>暂时没有内部SKU</v>
          </cell>
        </row>
        <row r="2312">
          <cell r="B2312" t="str">
            <v>SZ-L-HST-Standard-CP-02</v>
          </cell>
        </row>
        <row r="2312">
          <cell r="P2312" t="str">
            <v>暂时没有内部SKU</v>
          </cell>
        </row>
        <row r="2313">
          <cell r="B2313" t="str">
            <v>SZ-L-HST-Standard-BK</v>
          </cell>
        </row>
        <row r="2313">
          <cell r="P2313" t="str">
            <v>暂时没有内部SKU</v>
          </cell>
        </row>
        <row r="2314">
          <cell r="B2314" t="str">
            <v>AZ-US-SOEBIZ-13-ORB</v>
          </cell>
        </row>
        <row r="2315">
          <cell r="B2315" t="str">
            <v>AZ-US-SOEBIZ-13-CP</v>
          </cell>
        </row>
        <row r="2316">
          <cell r="B2316" t="str">
            <v>SZ-L-HST-Standard-GD</v>
          </cell>
        </row>
        <row r="2316">
          <cell r="P2316" t="str">
            <v>暂时没有内部SKU</v>
          </cell>
        </row>
        <row r="2317">
          <cell r="B2317" t="str">
            <v>SZ-L-HST-Standard-CP</v>
          </cell>
        </row>
        <row r="2317">
          <cell r="P2317" t="str">
            <v>暂时没有内部SKU</v>
          </cell>
        </row>
        <row r="2318">
          <cell r="B2318" t="str">
            <v>SZ-L-3314-CP-05</v>
          </cell>
        </row>
        <row r="2318">
          <cell r="P2318" t="str">
            <v>暂时没有内部SKU</v>
          </cell>
        </row>
        <row r="2319">
          <cell r="B2319" t="str">
            <v>SZ-L-HST-Standard-BK-01</v>
          </cell>
        </row>
        <row r="2319">
          <cell r="P2319" t="str">
            <v>暂时没有内部SKU</v>
          </cell>
        </row>
        <row r="2320">
          <cell r="B2320" t="str">
            <v>AZ-US-SOEBIZ-33-CP</v>
          </cell>
        </row>
        <row r="2321">
          <cell r="B2321" t="str">
            <v>SZ-C-SD-0013B-CP-05</v>
          </cell>
        </row>
        <row r="2321">
          <cell r="P2321" t="str">
            <v>暂时没有内部SKU</v>
          </cell>
        </row>
        <row r="2322">
          <cell r="B2322" t="str">
            <v>SZ-L-HST-Standard-BK-02</v>
          </cell>
        </row>
        <row r="2322">
          <cell r="P2322" t="str">
            <v>暂时没有内部SKU</v>
          </cell>
        </row>
        <row r="2323">
          <cell r="B2323" t="str">
            <v>AZ-US-SOEBIZ-33-ORB</v>
          </cell>
        </row>
        <row r="2324">
          <cell r="B2324" t="str">
            <v>SZ-B9906BK</v>
          </cell>
        </row>
        <row r="2324">
          <cell r="P2324" t="str">
            <v>230F0099BK1</v>
          </cell>
        </row>
        <row r="2325">
          <cell r="B2325" t="str">
            <v>SZ-L-SLTB-Standard-CP</v>
          </cell>
        </row>
        <row r="2325">
          <cell r="P2325" t="str">
            <v>暂时没有内部SKU</v>
          </cell>
        </row>
        <row r="2326">
          <cell r="B2326" t="str">
            <v>WT-9805BN</v>
          </cell>
        </row>
        <row r="2327">
          <cell r="B2327" t="str">
            <v>TT-9709ORB</v>
          </cell>
        </row>
        <row r="2328">
          <cell r="B2328" t="str">
            <v>TT-9709CP</v>
          </cell>
        </row>
        <row r="2329">
          <cell r="B2329" t="str">
            <v>8809BG JB-1</v>
          </cell>
        </row>
        <row r="2330">
          <cell r="B2330" t="str">
            <v>SZ-B9906BN</v>
          </cell>
        </row>
        <row r="2330">
          <cell r="P2330" t="str">
            <v>230F0099BN1</v>
          </cell>
        </row>
        <row r="2331">
          <cell r="B2331" t="str">
            <v>8809BN JB-1</v>
          </cell>
        </row>
        <row r="2332">
          <cell r="B2332" t="str">
            <v>AZ-US-SOEBIZ-CFSLT-ORB-05</v>
          </cell>
        </row>
        <row r="2333">
          <cell r="B2333" t="str">
            <v>AZ-US-SOEBIZ-CFSLT-CP-04</v>
          </cell>
        </row>
        <row r="2334">
          <cell r="B2334" t="str">
            <v>SZ-L-SD-3313-CP-05</v>
          </cell>
        </row>
        <row r="2334">
          <cell r="P2334" t="str">
            <v>暂时没有内部SKU</v>
          </cell>
        </row>
        <row r="2335">
          <cell r="B2335" t="str">
            <v>SZ-L-SLTPF-1F3F-MT</v>
          </cell>
        </row>
        <row r="2335">
          <cell r="P2335" t="str">
            <v>暂时没有内部SKU</v>
          </cell>
        </row>
        <row r="2336">
          <cell r="B2336" t="str">
            <v>SZ-L-SLTPF-9M1M-MT</v>
          </cell>
        </row>
        <row r="2336">
          <cell r="P2336" t="str">
            <v>暂时没有内部SKU</v>
          </cell>
        </row>
        <row r="2337">
          <cell r="B2337" t="str">
            <v>SZ-L-SLTPF-9M1M-BN</v>
          </cell>
        </row>
        <row r="2337">
          <cell r="P2337" t="str">
            <v>暂时没有内部SKU</v>
          </cell>
        </row>
        <row r="2338">
          <cell r="B2338" t="str">
            <v>SZ-L-SLTPF-1F3M-BN</v>
          </cell>
        </row>
        <row r="2338">
          <cell r="P2338" t="str">
            <v>暂时没有内部SKU</v>
          </cell>
        </row>
        <row r="2339">
          <cell r="B2339" t="str">
            <v>SZ-L-SLTPF-1F3F-BS</v>
          </cell>
        </row>
        <row r="2339">
          <cell r="P2339" t="str">
            <v>暂时没有内部SKU</v>
          </cell>
        </row>
        <row r="2340">
          <cell r="B2340" t="str">
            <v>SZ-L-SLTPF-9M3M-BN</v>
          </cell>
        </row>
        <row r="2340">
          <cell r="P2340" t="str">
            <v>暂时没有内部SKU</v>
          </cell>
        </row>
        <row r="2341">
          <cell r="B2341" t="str">
            <v>SZ-L-SLTPF-1M3M-BS</v>
          </cell>
        </row>
        <row r="2341">
          <cell r="P2341" t="str">
            <v>暂时没有内部SKU</v>
          </cell>
        </row>
        <row r="2342">
          <cell r="B2342" t="str">
            <v>SZ-L-SLTPF-1M3M-MT</v>
          </cell>
        </row>
        <row r="2342">
          <cell r="P2342" t="str">
            <v>暂时没有内部SKU</v>
          </cell>
        </row>
        <row r="2343">
          <cell r="B2343" t="str">
            <v>SZ-L-SLTPF-1F3M-MT</v>
          </cell>
        </row>
        <row r="2343">
          <cell r="P2343" t="str">
            <v>暂时没有内部SKU</v>
          </cell>
        </row>
        <row r="2344">
          <cell r="B2344" t="str">
            <v>SZ-L-SLTPF-9M3F-BN</v>
          </cell>
        </row>
        <row r="2344">
          <cell r="P2344" t="str">
            <v>暂时没有内部SKU</v>
          </cell>
        </row>
        <row r="2345">
          <cell r="B2345" t="str">
            <v>SZ-L-SLTPF-1F3F-BN</v>
          </cell>
        </row>
        <row r="2345">
          <cell r="P2345" t="str">
            <v>暂时没有内部SKU</v>
          </cell>
        </row>
        <row r="2346">
          <cell r="B2346" t="str">
            <v>SZ-L-SLTPF-1M3F-MT</v>
          </cell>
        </row>
        <row r="2346">
          <cell r="P2346" t="str">
            <v>暂时没有内部SKU</v>
          </cell>
        </row>
        <row r="2347">
          <cell r="B2347" t="str">
            <v>SZ-L-SLTPF-9M1F-MT</v>
          </cell>
        </row>
        <row r="2347">
          <cell r="P2347" t="str">
            <v>暂时没有内部SKU</v>
          </cell>
        </row>
        <row r="2348">
          <cell r="B2348" t="str">
            <v>SZ-L-SLTPF-1M3F-BN</v>
          </cell>
        </row>
        <row r="2348">
          <cell r="P2348" t="str">
            <v>暂时没有内部SKU</v>
          </cell>
        </row>
        <row r="2349">
          <cell r="B2349" t="str">
            <v>SZ-L-SLTPF-9M1F-BN</v>
          </cell>
        </row>
        <row r="2349">
          <cell r="P2349" t="str">
            <v>暂时没有内部SKU</v>
          </cell>
        </row>
        <row r="2350">
          <cell r="B2350" t="str">
            <v>SZ-L-SLTPF-9M3M-MT</v>
          </cell>
        </row>
        <row r="2350">
          <cell r="P2350" t="str">
            <v>暂时没有内部SKU</v>
          </cell>
        </row>
        <row r="2351">
          <cell r="B2351" t="str">
            <v>SZ-L-SLTPF-1M3F-BS</v>
          </cell>
        </row>
        <row r="2351">
          <cell r="P2351" t="str">
            <v>暂时没有内部SKU</v>
          </cell>
        </row>
        <row r="2352">
          <cell r="B2352" t="str">
            <v>SZ-L-SLTPF-1M3M-BN</v>
          </cell>
        </row>
        <row r="2352">
          <cell r="P2352" t="str">
            <v>暂时没有内部SKU</v>
          </cell>
        </row>
        <row r="2353">
          <cell r="B2353" t="str">
            <v>SZ-L-SLTPF-1F3M-BS</v>
          </cell>
        </row>
        <row r="2353">
          <cell r="P2353" t="str">
            <v>暂时没有内部SKU</v>
          </cell>
        </row>
        <row r="2354">
          <cell r="B2354" t="str">
            <v>SZ-L-SLTPF-9M3F-MT</v>
          </cell>
        </row>
        <row r="2354">
          <cell r="P2354" t="str">
            <v>暂时没有内部SKU</v>
          </cell>
        </row>
        <row r="2355">
          <cell r="B2355" t="str">
            <v>SZ-L-SLTB-Standard-ORB</v>
          </cell>
        </row>
        <row r="2355">
          <cell r="P2355" t="str">
            <v>暂时没有内部SKU</v>
          </cell>
        </row>
        <row r="2356">
          <cell r="B2356" t="str">
            <v>SZ-L-SLTB-Standard-GD</v>
          </cell>
        </row>
        <row r="2356">
          <cell r="P2356" t="str">
            <v>暂时没有内部SKU</v>
          </cell>
        </row>
        <row r="2357">
          <cell r="B2357" t="str">
            <v>SZ-L-SLTB-Standard-BK</v>
          </cell>
        </row>
        <row r="2357">
          <cell r="P2357" t="str">
            <v>暂时没有内部SKU</v>
          </cell>
        </row>
        <row r="2358">
          <cell r="B2358" t="str">
            <v>SZ-L-HST-Standard-BN-01</v>
          </cell>
        </row>
        <row r="2358">
          <cell r="P2358" t="str">
            <v>480F0003BN1</v>
          </cell>
        </row>
        <row r="2359">
          <cell r="B2359" t="str">
            <v>SZ-L-HST-Standard-BN</v>
          </cell>
        </row>
        <row r="2359">
          <cell r="P2359" t="str">
            <v>暂时没有内部SKU</v>
          </cell>
        </row>
        <row r="2360">
          <cell r="B2360" t="str">
            <v>SZ-L-HST-Standard-BN-03</v>
          </cell>
        </row>
        <row r="2360">
          <cell r="P2360" t="str">
            <v>暂时没有内部SKU</v>
          </cell>
        </row>
        <row r="2361">
          <cell r="B2361" t="str">
            <v>SZ-L-HST-Standard-BN-02</v>
          </cell>
        </row>
        <row r="2361">
          <cell r="P2361" t="str">
            <v>暂时没有内部SKU</v>
          </cell>
        </row>
        <row r="2362">
          <cell r="B2362" t="str">
            <v>SZ-L-SD-3315-BN-01</v>
          </cell>
        </row>
        <row r="2362">
          <cell r="P2362" t="str">
            <v>暂时没有内部SKU</v>
          </cell>
        </row>
        <row r="2363">
          <cell r="B2363" t="str">
            <v>SZ-L-SD-3315-ORB-04</v>
          </cell>
        </row>
        <row r="2363">
          <cell r="P2363" t="str">
            <v>暂时没有内部SKU</v>
          </cell>
        </row>
        <row r="2364">
          <cell r="B2364" t="str">
            <v>SZ-L-SD-3315-BK-03</v>
          </cell>
        </row>
        <row r="2364">
          <cell r="P2364" t="str">
            <v>暂时没有内部SKU</v>
          </cell>
        </row>
        <row r="2365">
          <cell r="B2365" t="str">
            <v>SZ-L-3314-ORB-04</v>
          </cell>
        </row>
        <row r="2365">
          <cell r="P2365" t="str">
            <v>暂时没有内部SKU</v>
          </cell>
        </row>
        <row r="2366">
          <cell r="B2366" t="str">
            <v>SZ-L-3314-BK-03</v>
          </cell>
        </row>
        <row r="2366">
          <cell r="P2366" t="str">
            <v>暂时没有内部SKU</v>
          </cell>
        </row>
        <row r="2367">
          <cell r="B2367" t="str">
            <v>SZ-L-3314-BG-02</v>
          </cell>
        </row>
        <row r="2367">
          <cell r="P2367" t="str">
            <v>暂时没有内部SKU</v>
          </cell>
        </row>
        <row r="2368">
          <cell r="B2368" t="str">
            <v>SZ-L-SD-3315-BG-02</v>
          </cell>
        </row>
        <row r="2368">
          <cell r="P2368" t="str">
            <v>暂时没有内部SKU</v>
          </cell>
        </row>
        <row r="2369">
          <cell r="B2369" t="str">
            <v>SZ-L-3314-BN-01</v>
          </cell>
        </row>
        <row r="2369">
          <cell r="P2369" t="str">
            <v>暂时没有内部SKU</v>
          </cell>
        </row>
        <row r="2370">
          <cell r="B2370" t="str">
            <v>SZ-L-SD-3313-BG-02</v>
          </cell>
        </row>
        <row r="2370">
          <cell r="P2370" t="str">
            <v>暂时没有内部SKU</v>
          </cell>
        </row>
        <row r="2371">
          <cell r="B2371" t="str">
            <v>SZ-L-SD-3313-BN-01</v>
          </cell>
        </row>
        <row r="2371">
          <cell r="P2371" t="str">
            <v>暂时没有内部SKU</v>
          </cell>
        </row>
        <row r="2372">
          <cell r="B2372" t="str">
            <v>SZ-L-SD-3313-ORB-04</v>
          </cell>
        </row>
        <row r="2372">
          <cell r="P2372" t="str">
            <v>暂时没有内部SKU</v>
          </cell>
        </row>
        <row r="2373">
          <cell r="B2373" t="str">
            <v>SZ-L-SD-3313-BK-03</v>
          </cell>
        </row>
        <row r="2373">
          <cell r="P2373" t="str">
            <v>暂时没有内部SKU</v>
          </cell>
        </row>
        <row r="2374">
          <cell r="B2374" t="str">
            <v>BK-A6VI-FL8Z</v>
          </cell>
        </row>
        <row r="2375">
          <cell r="B2375" t="str">
            <v>SZ-L-SD-3313-ORB</v>
          </cell>
        </row>
        <row r="2375">
          <cell r="P2375" t="str">
            <v>暂时没有内部SKU</v>
          </cell>
        </row>
        <row r="2376">
          <cell r="B2376" t="str">
            <v>SZ-L-SD-3313-BK</v>
          </cell>
        </row>
        <row r="2376">
          <cell r="P2376" t="str">
            <v>暂时没有内部SKU</v>
          </cell>
        </row>
        <row r="2377">
          <cell r="B2377" t="str">
            <v>SZ-L-SD-3313-BG</v>
          </cell>
        </row>
        <row r="2377">
          <cell r="P2377" t="str">
            <v>暂时没有内部SKU</v>
          </cell>
        </row>
        <row r="2378">
          <cell r="B2378" t="str">
            <v>SZ-L-SD-3313-BN</v>
          </cell>
        </row>
        <row r="2378">
          <cell r="P2378" t="str">
            <v>暂时没有内部SKU</v>
          </cell>
        </row>
        <row r="2379">
          <cell r="B2379" t="str">
            <v>SZ-B9911BG</v>
          </cell>
        </row>
        <row r="2380">
          <cell r="B2380" t="str">
            <v>QC-3611ORB01</v>
          </cell>
        </row>
        <row r="2380">
          <cell r="P2380" t="str">
            <v>新品，尚无SKU信息</v>
          </cell>
        </row>
        <row r="2381">
          <cell r="B2381" t="str">
            <v>QC-3611BN01</v>
          </cell>
        </row>
        <row r="2381">
          <cell r="P2381" t="str">
            <v>新品，尚无SKU信息</v>
          </cell>
        </row>
        <row r="2382">
          <cell r="B2382" t="str">
            <v>QC-3611CP01</v>
          </cell>
        </row>
        <row r="2382">
          <cell r="P2382" t="str">
            <v>新品，尚无SKU信息</v>
          </cell>
        </row>
        <row r="2383">
          <cell r="B2383" t="str">
            <v>QC-3611BG03</v>
          </cell>
        </row>
        <row r="2383">
          <cell r="P2383" t="str">
            <v>新品，尚无SKU信息</v>
          </cell>
        </row>
        <row r="2384">
          <cell r="B2384" t="str">
            <v>QC-3611BK01</v>
          </cell>
        </row>
        <row r="2384">
          <cell r="P2384" t="str">
            <v>新品，尚无SKU信息</v>
          </cell>
        </row>
        <row r="2385">
          <cell r="B2385" t="str">
            <v>QC-3309BN01</v>
          </cell>
        </row>
        <row r="2385">
          <cell r="P2385" t="str">
            <v>新品，尚无SKU信息</v>
          </cell>
        </row>
        <row r="2386">
          <cell r="B2386" t="str">
            <v>QC-3308BG3-KK</v>
          </cell>
        </row>
        <row r="2386">
          <cell r="P2386" t="str">
            <v>新品，尚无SKU信息</v>
          </cell>
        </row>
        <row r="2387">
          <cell r="B2387" t="str">
            <v>QC-3308ORB-KK</v>
          </cell>
        </row>
        <row r="2387">
          <cell r="P2387" t="str">
            <v>新品，尚无SKU信息</v>
          </cell>
        </row>
        <row r="2388">
          <cell r="B2388" t="str">
            <v>QC-3309CP01</v>
          </cell>
        </row>
        <row r="2388">
          <cell r="P2388" t="str">
            <v>新品，尚无SKU信息</v>
          </cell>
        </row>
        <row r="2389">
          <cell r="B2389" t="str">
            <v>QC-3308BG3-02-KK</v>
          </cell>
        </row>
        <row r="2389">
          <cell r="P2389" t="str">
            <v>新品，尚无SKU信息</v>
          </cell>
        </row>
        <row r="2390">
          <cell r="B2390" t="str">
            <v>QC-3309ORB01</v>
          </cell>
        </row>
        <row r="2390">
          <cell r="P2390" t="str">
            <v>新品，尚无SKU信息</v>
          </cell>
        </row>
        <row r="2391">
          <cell r="B2391" t="str">
            <v>QC-3308CP-KK</v>
          </cell>
        </row>
        <row r="2391">
          <cell r="P2391" t="str">
            <v>新品，尚无SKU信息</v>
          </cell>
        </row>
        <row r="2392">
          <cell r="B2392" t="str">
            <v>QC-3309BK01</v>
          </cell>
        </row>
        <row r="2392">
          <cell r="P2392" t="str">
            <v>新品，尚无SKU信息</v>
          </cell>
        </row>
        <row r="2393">
          <cell r="B2393" t="str">
            <v>QC-3309BG03</v>
          </cell>
        </row>
        <row r="2393">
          <cell r="P2393" t="str">
            <v>新品，尚无SKU信息</v>
          </cell>
        </row>
        <row r="2394">
          <cell r="B2394" t="str">
            <v>QC-3308BN-KK</v>
          </cell>
        </row>
        <row r="2394">
          <cell r="P2394" t="str">
            <v>新品，尚无SKU信息</v>
          </cell>
        </row>
        <row r="2395">
          <cell r="B2395" t="str">
            <v>QC-3308BK-KK</v>
          </cell>
        </row>
        <row r="2395">
          <cell r="P2395" t="str">
            <v>新品，尚无SKU信息</v>
          </cell>
        </row>
        <row r="2396">
          <cell r="B2396" t="str">
            <v>L2202-BG3</v>
          </cell>
        </row>
        <row r="2397">
          <cell r="B2397" t="str">
            <v>L2204-BG3</v>
          </cell>
        </row>
        <row r="2398">
          <cell r="B2398" t="str">
            <v>L2203-BG3</v>
          </cell>
        </row>
        <row r="2399">
          <cell r="B2399" t="str">
            <v>WT-9002ZGZZ01</v>
          </cell>
        </row>
        <row r="2399">
          <cell r="P2399" t="str">
            <v>211F9002BG3</v>
          </cell>
        </row>
        <row r="2400">
          <cell r="B2400" t="str">
            <v>WT-9002ZG</v>
          </cell>
        </row>
        <row r="2400">
          <cell r="P2400" t="str">
            <v>211F9002BG3</v>
          </cell>
        </row>
        <row r="2401">
          <cell r="B2401" t="str">
            <v>WT-9002ZG02</v>
          </cell>
        </row>
        <row r="2401">
          <cell r="P2401" t="str">
            <v>211F9002BG3</v>
          </cell>
        </row>
        <row r="2402">
          <cell r="B2402" t="str">
            <v>HM3002P</v>
          </cell>
        </row>
        <row r="2402">
          <cell r="P2402" t="str">
            <v>220F3003CP1</v>
          </cell>
        </row>
        <row r="2403">
          <cell r="B2403" t="str">
            <v>B2206-BG</v>
          </cell>
        </row>
        <row r="2403">
          <cell r="P2403" t="str">
            <v>230F0022BG1</v>
          </cell>
        </row>
        <row r="2404">
          <cell r="B2404" t="str">
            <v>8907ZG QC1</v>
          </cell>
        </row>
        <row r="2405">
          <cell r="B2405" t="str">
            <v>8907ZG02 QC1</v>
          </cell>
        </row>
        <row r="2406">
          <cell r="B2406" t="str">
            <v>AZ-US-SOEBIZ-3315</v>
          </cell>
        </row>
        <row r="2407">
          <cell r="B2407" t="str">
            <v>AZ-US-SOEBIZ-3314</v>
          </cell>
        </row>
        <row r="2408">
          <cell r="B2408" t="str">
            <v>L3601-BG7</v>
          </cell>
        </row>
        <row r="2408">
          <cell r="P2408" t="str">
            <v>新品，尚无SKU信息</v>
          </cell>
        </row>
        <row r="2409">
          <cell r="B2409" t="str">
            <v>L3601-ORB</v>
          </cell>
        </row>
        <row r="2409">
          <cell r="P2409" t="str">
            <v>新品，尚无SKU信息</v>
          </cell>
        </row>
        <row r="2410">
          <cell r="B2410" t="str">
            <v>AZ-US-SOEBIZ-13-BK</v>
          </cell>
        </row>
        <row r="2410">
          <cell r="P2410" t="str">
            <v>480F0001BK1</v>
          </cell>
        </row>
        <row r="2411">
          <cell r="B2411" t="str">
            <v>AZ-US-SOEBIZ-33-GD</v>
          </cell>
        </row>
        <row r="2412">
          <cell r="B2412" t="str">
            <v>AZ-US-SOEBIZ-13-GD</v>
          </cell>
        </row>
        <row r="2412">
          <cell r="P2412" t="str">
            <v>480F0001BG3</v>
          </cell>
        </row>
        <row r="2413">
          <cell r="B2413" t="str">
            <v>AZ-US-SOEBIZ-33-BK</v>
          </cell>
        </row>
        <row r="2414">
          <cell r="B2414" t="str">
            <v>L3301-BG7</v>
          </cell>
        </row>
        <row r="2414">
          <cell r="P2414" t="str">
            <v>新品，尚无SKU信息</v>
          </cell>
        </row>
        <row r="2415">
          <cell r="B2415" t="str">
            <v>L3301-ORB</v>
          </cell>
        </row>
        <row r="2415">
          <cell r="P2415" t="str">
            <v>新品，尚无SKU信息</v>
          </cell>
        </row>
        <row r="2416">
          <cell r="B2416" t="str">
            <v>L0001-BG7</v>
          </cell>
        </row>
        <row r="2416">
          <cell r="P2416" t="str">
            <v>新品，尚无SKU信息</v>
          </cell>
        </row>
        <row r="2417">
          <cell r="B2417" t="str">
            <v>NL2204-CP</v>
          </cell>
        </row>
        <row r="2417">
          <cell r="P2417" t="str">
            <v>140F0022CP1</v>
          </cell>
        </row>
        <row r="2418">
          <cell r="B2418" t="str">
            <v>TT-9708BK</v>
          </cell>
        </row>
        <row r="2418">
          <cell r="P2418" t="str">
            <v>222F0097BK1</v>
          </cell>
        </row>
        <row r="2419">
          <cell r="B2419" t="str">
            <v>NL2204-ORB</v>
          </cell>
        </row>
        <row r="2419">
          <cell r="P2419" t="str">
            <v>140F0022OB1</v>
          </cell>
        </row>
        <row r="2420">
          <cell r="B2420" t="str">
            <v>TT-9711BN</v>
          </cell>
        </row>
        <row r="2420">
          <cell r="P2420" t="str">
            <v>211F0097BN1</v>
          </cell>
        </row>
        <row r="2421">
          <cell r="B2421" t="str">
            <v>QU-GC20-3GJY</v>
          </cell>
        </row>
        <row r="2421">
          <cell r="P2421" t="str">
            <v>110F0098BG1</v>
          </cell>
        </row>
        <row r="2422">
          <cell r="B2422" t="str">
            <v>TT-9709BN</v>
          </cell>
        </row>
        <row r="2422">
          <cell r="P2422" t="str">
            <v>223F0097BN1</v>
          </cell>
        </row>
        <row r="2423">
          <cell r="B2423" t="str">
            <v>TT-9707BK</v>
          </cell>
        </row>
        <row r="2423">
          <cell r="P2423" t="str">
            <v>221F0097BK1</v>
          </cell>
        </row>
        <row r="2424">
          <cell r="B2424" t="str">
            <v>TT-9708RGBK</v>
          </cell>
        </row>
        <row r="2424">
          <cell r="P2424" t="str">
            <v>222F0097RB1</v>
          </cell>
        </row>
        <row r="2425">
          <cell r="B2425" t="str">
            <v>TT-9708BG-ZZ</v>
          </cell>
        </row>
        <row r="2425">
          <cell r="P2425" t="str">
            <v>222F0097BG1</v>
          </cell>
        </row>
        <row r="2426">
          <cell r="B2426" t="str">
            <v>TT-9708BN</v>
          </cell>
        </row>
        <row r="2426">
          <cell r="P2426" t="str">
            <v>222F0097BN1</v>
          </cell>
        </row>
        <row r="2427">
          <cell r="B2427" t="str">
            <v>TT-9707RGBK</v>
          </cell>
        </row>
        <row r="2427">
          <cell r="P2427" t="str">
            <v>221F0097RB1</v>
          </cell>
        </row>
        <row r="2428">
          <cell r="B2428" t="str">
            <v>SZ-B9901BG01</v>
          </cell>
        </row>
        <row r="2428">
          <cell r="P2428" t="str">
            <v>110F0099BG1</v>
          </cell>
        </row>
        <row r="2429">
          <cell r="B2429" t="str">
            <v>TT-9708CP</v>
          </cell>
        </row>
        <row r="2429">
          <cell r="P2429" t="str">
            <v>222F0097CP1</v>
          </cell>
        </row>
        <row r="2430">
          <cell r="B2430" t="str">
            <v>TT-9707CP</v>
          </cell>
        </row>
        <row r="2430">
          <cell r="P2430" t="str">
            <v>221F0097CP1</v>
          </cell>
        </row>
        <row r="2431">
          <cell r="B2431" t="str">
            <v>TT-9709ORB</v>
          </cell>
        </row>
        <row r="2431">
          <cell r="P2431" t="str">
            <v>223F0097OB1</v>
          </cell>
        </row>
        <row r="2432">
          <cell r="B2432" t="str">
            <v>TT-9707BG</v>
          </cell>
        </row>
        <row r="2432">
          <cell r="P2432" t="str">
            <v>221F0097BG1</v>
          </cell>
        </row>
        <row r="2433">
          <cell r="B2433" t="str">
            <v>SZ-B9901BG01</v>
          </cell>
        </row>
        <row r="2433">
          <cell r="P2433" t="str">
            <v>110F0099BG1</v>
          </cell>
        </row>
        <row r="2434">
          <cell r="B2434" t="str">
            <v>TT-9708RGBK-ZZ</v>
          </cell>
        </row>
        <row r="2434">
          <cell r="P2434" t="str">
            <v>222F0097RB1</v>
          </cell>
        </row>
        <row r="2435">
          <cell r="B2435" t="str">
            <v>TT-9707BK</v>
          </cell>
        </row>
        <row r="2435">
          <cell r="P2435" t="str">
            <v>221F0097BK1</v>
          </cell>
        </row>
        <row r="2436">
          <cell r="B2436" t="str">
            <v>TT-9708BK</v>
          </cell>
        </row>
        <row r="2436">
          <cell r="P2436" t="str">
            <v>222F0097BK1</v>
          </cell>
        </row>
        <row r="2437">
          <cell r="B2437" t="str">
            <v>TT-9709RGBK</v>
          </cell>
        </row>
        <row r="2437">
          <cell r="P2437" t="str">
            <v>223F0097RB1</v>
          </cell>
        </row>
        <row r="2438">
          <cell r="B2438" t="str">
            <v>TT-9707BN</v>
          </cell>
        </row>
        <row r="2438">
          <cell r="P2438" t="str">
            <v>221F0097BN1</v>
          </cell>
        </row>
        <row r="2439">
          <cell r="B2439" t="str">
            <v>SZ-B9901BG01</v>
          </cell>
        </row>
        <row r="2439">
          <cell r="P2439" t="str">
            <v>110F0099BG1</v>
          </cell>
        </row>
        <row r="2440">
          <cell r="B2440" t="str">
            <v>SZ-B9901BG02-ZZ</v>
          </cell>
        </row>
        <row r="2440">
          <cell r="P2440" t="str">
            <v>110F0099BG1</v>
          </cell>
        </row>
        <row r="2441">
          <cell r="B2441" t="str">
            <v>SZ-B9901BG02-ZZ</v>
          </cell>
        </row>
        <row r="2441">
          <cell r="P2441" t="str">
            <v>110F0099BG1</v>
          </cell>
        </row>
        <row r="2442">
          <cell r="B2442" t="str">
            <v>TT-9708BK-ZZ</v>
          </cell>
        </row>
        <row r="2442">
          <cell r="P2442" t="str">
            <v>222F0097BK1</v>
          </cell>
        </row>
        <row r="2443">
          <cell r="B2443" t="str">
            <v>SZ-B9901BG03-ZZ</v>
          </cell>
        </row>
        <row r="2443">
          <cell r="P2443" t="str">
            <v>110F0099BG1</v>
          </cell>
        </row>
        <row r="2444">
          <cell r="B2444" t="str">
            <v>SZ-B9901BG03-ZZ</v>
          </cell>
        </row>
        <row r="2444">
          <cell r="P2444" t="str">
            <v>110F0099BG1</v>
          </cell>
        </row>
        <row r="2445">
          <cell r="B2445" t="str">
            <v>TT-9709CP</v>
          </cell>
        </row>
        <row r="2445">
          <cell r="P2445" t="str">
            <v>223F0097CP1</v>
          </cell>
        </row>
        <row r="2446">
          <cell r="B2446" t="str">
            <v>TT-9711BK</v>
          </cell>
        </row>
        <row r="2446">
          <cell r="P2446" t="str">
            <v>211F0097BK2</v>
          </cell>
        </row>
        <row r="2447">
          <cell r="B2447" t="str">
            <v>SZ-B9901BK01</v>
          </cell>
        </row>
        <row r="2447">
          <cell r="P2447" t="str">
            <v>110F0099BK1</v>
          </cell>
        </row>
        <row r="2448">
          <cell r="B2448" t="str">
            <v>SZ-B9901BK01</v>
          </cell>
        </row>
        <row r="2448">
          <cell r="P2448" t="str">
            <v>110F0099BK1</v>
          </cell>
        </row>
        <row r="2449">
          <cell r="B2449" t="str">
            <v>SZ-B9901BK01</v>
          </cell>
        </row>
        <row r="2449">
          <cell r="P2449" t="str">
            <v>110F0099BK1</v>
          </cell>
        </row>
        <row r="2450">
          <cell r="B2450" t="str">
            <v>SZ-B9901BK02-ZZ</v>
          </cell>
        </row>
        <row r="2450">
          <cell r="P2450" t="str">
            <v>110F0099BK1</v>
          </cell>
        </row>
        <row r="2451">
          <cell r="B2451" t="str">
            <v>TT-9711BG</v>
          </cell>
        </row>
        <row r="2451">
          <cell r="P2451" t="str">
            <v>211F0097BG1</v>
          </cell>
        </row>
        <row r="2452">
          <cell r="B2452" t="str">
            <v>SZ-B9901BK02-ZZ</v>
          </cell>
        </row>
        <row r="2452">
          <cell r="P2452" t="str">
            <v>110F0099BK1</v>
          </cell>
        </row>
        <row r="2453">
          <cell r="B2453" t="str">
            <v>TT-9708BG</v>
          </cell>
        </row>
        <row r="2453">
          <cell r="P2453" t="str">
            <v>222F0097BG1</v>
          </cell>
        </row>
        <row r="2454">
          <cell r="B2454" t="str">
            <v>TT-9708ORB</v>
          </cell>
        </row>
        <row r="2454">
          <cell r="P2454" t="str">
            <v>222F0097OB1</v>
          </cell>
        </row>
        <row r="2455">
          <cell r="B2455" t="str">
            <v>TT-9709BN</v>
          </cell>
        </row>
        <row r="2455">
          <cell r="P2455" t="str">
            <v>223F0097BN1</v>
          </cell>
        </row>
        <row r="2456">
          <cell r="B2456" t="str">
            <v>TT-9709BG-ZZ</v>
          </cell>
        </row>
        <row r="2456">
          <cell r="P2456" t="str">
            <v>223F0097BG1</v>
          </cell>
        </row>
        <row r="2457">
          <cell r="B2457" t="str">
            <v>TT-9709BN-ZZ</v>
          </cell>
        </row>
        <row r="2457">
          <cell r="P2457" t="str">
            <v>223F0097BN1</v>
          </cell>
        </row>
        <row r="2458">
          <cell r="B2458" t="str">
            <v>SZ-B9901BK03-ZZ</v>
          </cell>
        </row>
        <row r="2458">
          <cell r="P2458" t="str">
            <v>110F0099BK1</v>
          </cell>
        </row>
        <row r="2459">
          <cell r="B2459" t="str">
            <v>TT-9709BK-ZZ</v>
          </cell>
        </row>
        <row r="2459">
          <cell r="P2459" t="str">
            <v>223F0097BK1</v>
          </cell>
        </row>
        <row r="2460">
          <cell r="B2460" t="str">
            <v>TT-9711BN</v>
          </cell>
        </row>
        <row r="2460">
          <cell r="P2460" t="str">
            <v>211F0097BN1</v>
          </cell>
        </row>
        <row r="2461">
          <cell r="B2461" t="str">
            <v>TT-9708RGBK</v>
          </cell>
        </row>
        <row r="2461">
          <cell r="P2461" t="str">
            <v>222F0097RB1</v>
          </cell>
        </row>
        <row r="2462">
          <cell r="B2462" t="str">
            <v>SZ-B9901BK03-ZZ</v>
          </cell>
        </row>
        <row r="2462">
          <cell r="P2462" t="str">
            <v>110F0099BK1</v>
          </cell>
        </row>
        <row r="2463">
          <cell r="B2463" t="str">
            <v>TT-9701ORB+CP</v>
          </cell>
        </row>
        <row r="2464">
          <cell r="B2464" t="str">
            <v>TT-9711BN-ZZ</v>
          </cell>
        </row>
        <row r="2464">
          <cell r="P2464" t="str">
            <v>211F0097BN1</v>
          </cell>
        </row>
        <row r="2465">
          <cell r="B2465" t="str">
            <v>TT-9711-ZZ</v>
          </cell>
        </row>
        <row r="2466">
          <cell r="B2466" t="str">
            <v>TT-9711BK-ZZ</v>
          </cell>
        </row>
        <row r="2466">
          <cell r="P2466" t="str">
            <v>211F0097BK2</v>
          </cell>
        </row>
        <row r="2467">
          <cell r="B2467" t="str">
            <v>TT-9708ZZ</v>
          </cell>
        </row>
        <row r="2468">
          <cell r="B2468" t="str">
            <v>TT-9709-ZZ</v>
          </cell>
        </row>
        <row r="2469">
          <cell r="B2469" t="str">
            <v>TT-9701BK+BG</v>
          </cell>
        </row>
        <row r="2470">
          <cell r="B2470" t="str">
            <v>TT-9707</v>
          </cell>
        </row>
        <row r="2471">
          <cell r="B2471" t="str">
            <v>TT-9711BK</v>
          </cell>
        </row>
        <row r="2471">
          <cell r="P2471" t="str">
            <v>211F0097BK2</v>
          </cell>
        </row>
        <row r="2472">
          <cell r="B2472" t="str">
            <v>TT-9708</v>
          </cell>
        </row>
        <row r="2473">
          <cell r="B2473" t="str">
            <v>TT-9709BG-ZZ</v>
          </cell>
        </row>
        <row r="2473">
          <cell r="P2473" t="str">
            <v>223F0097BG1</v>
          </cell>
        </row>
        <row r="2474">
          <cell r="B2474" t="str">
            <v>SZ-B9901BN</v>
          </cell>
        </row>
        <row r="2474">
          <cell r="P2474" t="str">
            <v>110F0099BN1</v>
          </cell>
        </row>
        <row r="2475">
          <cell r="B2475" t="str">
            <v>TT-9704-Kit02</v>
          </cell>
        </row>
        <row r="2476">
          <cell r="B2476" t="str">
            <v>TT-9711BG-ZZ</v>
          </cell>
        </row>
        <row r="2476">
          <cell r="P2476" t="str">
            <v>211F0097BG1</v>
          </cell>
        </row>
        <row r="2477">
          <cell r="B2477" t="str">
            <v>SZ-B9901BN</v>
          </cell>
        </row>
        <row r="2477">
          <cell r="P2477" t="str">
            <v>110F0099BN1</v>
          </cell>
        </row>
        <row r="2478">
          <cell r="B2478" t="str">
            <v>SZ-B9901BN</v>
          </cell>
        </row>
        <row r="2478">
          <cell r="P2478" t="str">
            <v>110F0099BN1</v>
          </cell>
        </row>
        <row r="2479">
          <cell r="B2479" t="str">
            <v>TT-9708BK-ZZ</v>
          </cell>
        </row>
        <row r="2479">
          <cell r="P2479" t="str">
            <v>222F0097BK1</v>
          </cell>
        </row>
        <row r="2480">
          <cell r="B2480" t="str">
            <v>SZ-B9901BN</v>
          </cell>
        </row>
        <row r="2480">
          <cell r="P2480" t="str">
            <v>110F0099BN1</v>
          </cell>
        </row>
        <row r="2481">
          <cell r="B2481" t="str">
            <v>TT-9707BG</v>
          </cell>
        </row>
        <row r="2481">
          <cell r="P2481" t="str">
            <v>221F0097BG1</v>
          </cell>
        </row>
        <row r="2482">
          <cell r="B2482" t="str">
            <v>SZ-B9901CP</v>
          </cell>
        </row>
        <row r="2482">
          <cell r="P2482" t="str">
            <v>110F0099CP1</v>
          </cell>
        </row>
        <row r="2483">
          <cell r="B2483" t="str">
            <v>TT-9707BK-ZZ</v>
          </cell>
        </row>
        <row r="2483">
          <cell r="P2483" t="str">
            <v>221F0097BK1</v>
          </cell>
        </row>
        <row r="2484">
          <cell r="B2484" t="str">
            <v>SZ-B9901CP</v>
          </cell>
        </row>
        <row r="2484">
          <cell r="P2484" t="str">
            <v>110F0099CP1</v>
          </cell>
        </row>
        <row r="2485">
          <cell r="B2485" t="str">
            <v>TT-9704kit01</v>
          </cell>
        </row>
        <row r="2486">
          <cell r="B2486" t="str">
            <v>TT-9701-Kit01</v>
          </cell>
        </row>
        <row r="2487">
          <cell r="B2487" t="str">
            <v>TT-9708BG-ZZ</v>
          </cell>
        </row>
        <row r="2487">
          <cell r="P2487" t="str">
            <v>222F0097BG1</v>
          </cell>
        </row>
        <row r="2488">
          <cell r="B2488" t="str">
            <v>SZ-B9901CP</v>
          </cell>
        </row>
        <row r="2488">
          <cell r="P2488" t="str">
            <v>110F0099CP1</v>
          </cell>
        </row>
        <row r="2489">
          <cell r="B2489" t="str">
            <v>TT-9701-Kit02</v>
          </cell>
        </row>
        <row r="2490">
          <cell r="B2490" t="str">
            <v>TT-9709BN-ZZ</v>
          </cell>
        </row>
        <row r="2490">
          <cell r="P2490" t="str">
            <v>223F0097BN1</v>
          </cell>
        </row>
        <row r="2491">
          <cell r="B2491" t="str">
            <v>TT-9707BG-ZZ</v>
          </cell>
        </row>
        <row r="2491">
          <cell r="P2491" t="str">
            <v>221F0097BG1</v>
          </cell>
        </row>
        <row r="2492">
          <cell r="B2492" t="str">
            <v>SZ-B9901ORB</v>
          </cell>
        </row>
        <row r="2492">
          <cell r="P2492" t="str">
            <v>110F0099OB1</v>
          </cell>
        </row>
        <row r="2493">
          <cell r="B2493" t="str">
            <v>SZ-B9901ORB</v>
          </cell>
        </row>
        <row r="2493">
          <cell r="P2493" t="str">
            <v>110F0099OB1</v>
          </cell>
        </row>
        <row r="2494">
          <cell r="B2494" t="str">
            <v>TT-9707BN</v>
          </cell>
        </row>
        <row r="2494">
          <cell r="P2494" t="str">
            <v>221F0097BN1</v>
          </cell>
        </row>
        <row r="2495">
          <cell r="B2495" t="str">
            <v>B2212-ORB</v>
          </cell>
        </row>
        <row r="2495">
          <cell r="P2495" t="str">
            <v>320F0022OB1</v>
          </cell>
        </row>
        <row r="2496">
          <cell r="B2496" t="str">
            <v>SZ-B9901ORB</v>
          </cell>
        </row>
        <row r="2496">
          <cell r="P2496" t="str">
            <v>110F0099OB1</v>
          </cell>
        </row>
        <row r="2497">
          <cell r="B2497" t="str">
            <v>B2208-CP</v>
          </cell>
        </row>
        <row r="2497">
          <cell r="P2497" t="str">
            <v>222F0022CP1</v>
          </cell>
        </row>
        <row r="2498">
          <cell r="B2498" t="str">
            <v>K2213-BN</v>
          </cell>
        </row>
        <row r="2498">
          <cell r="P2498" t="str">
            <v>420F0022BN1</v>
          </cell>
        </row>
        <row r="2499">
          <cell r="B2499" t="str">
            <v>SZ-B9902BG</v>
          </cell>
        </row>
        <row r="2499">
          <cell r="P2499" t="str">
            <v>120F0099BG1</v>
          </cell>
        </row>
        <row r="2500">
          <cell r="B2500" t="str">
            <v>SZ-B9902BG</v>
          </cell>
        </row>
        <row r="2500">
          <cell r="P2500" t="str">
            <v>120F0099BG1</v>
          </cell>
        </row>
        <row r="2501">
          <cell r="B2501" t="str">
            <v>K2213-CP</v>
          </cell>
        </row>
        <row r="2501">
          <cell r="P2501" t="str">
            <v>420F0022CP1</v>
          </cell>
        </row>
        <row r="2502">
          <cell r="B2502" t="str">
            <v>SZ-B9902BG</v>
          </cell>
        </row>
        <row r="2502">
          <cell r="P2502" t="str">
            <v>120F0099BG1</v>
          </cell>
        </row>
        <row r="2503">
          <cell r="B2503" t="str">
            <v>KSD01-BK</v>
          </cell>
        </row>
        <row r="2503">
          <cell r="P2503" t="str">
            <v>490F0022BK1</v>
          </cell>
        </row>
        <row r="2504">
          <cell r="B2504" t="str">
            <v>SZ-B9902BG</v>
          </cell>
        </row>
        <row r="2504">
          <cell r="P2504" t="str">
            <v>120F0099BG1</v>
          </cell>
        </row>
        <row r="2505">
          <cell r="B2505" t="str">
            <v>SZ-B9902BK</v>
          </cell>
        </row>
        <row r="2505">
          <cell r="P2505" t="str">
            <v>120F0099BK1</v>
          </cell>
        </row>
        <row r="2506">
          <cell r="B2506" t="str">
            <v>SZ-B9902BK</v>
          </cell>
        </row>
        <row r="2506">
          <cell r="P2506" t="str">
            <v>120F0099BK1</v>
          </cell>
        </row>
        <row r="2507">
          <cell r="B2507" t="str">
            <v>SZ-B9902BK</v>
          </cell>
        </row>
        <row r="2507">
          <cell r="P2507" t="str">
            <v>120F0099BK1</v>
          </cell>
        </row>
        <row r="2508">
          <cell r="B2508" t="str">
            <v>WK-2208+12-BN</v>
          </cell>
        </row>
        <row r="2509">
          <cell r="B2509" t="str">
            <v>SZ-B9902BN</v>
          </cell>
        </row>
        <row r="2509">
          <cell r="P2509" t="str">
            <v>120F0099BN1</v>
          </cell>
        </row>
        <row r="2510">
          <cell r="B2510" t="str">
            <v>B2212-BN2</v>
          </cell>
        </row>
        <row r="2510">
          <cell r="P2510" t="str">
            <v>320F0023BN1</v>
          </cell>
        </row>
        <row r="2511">
          <cell r="B2511" t="str">
            <v>SZ-B9902BN</v>
          </cell>
        </row>
        <row r="2511">
          <cell r="P2511" t="str">
            <v>120F0099BN1</v>
          </cell>
        </row>
        <row r="2512">
          <cell r="B2512" t="str">
            <v>WY-MKWR-PWLQ</v>
          </cell>
        </row>
        <row r="2513">
          <cell r="B2513" t="str">
            <v>SZ-B9902BN</v>
          </cell>
        </row>
        <row r="2513">
          <cell r="P2513" t="str">
            <v>120F0099BN1</v>
          </cell>
        </row>
        <row r="2514">
          <cell r="B2514" t="str">
            <v>SZ-B9902BN</v>
          </cell>
        </row>
        <row r="2514">
          <cell r="P2514" t="str">
            <v>120F0099BN1</v>
          </cell>
        </row>
        <row r="2515">
          <cell r="B2515" t="str">
            <v>KZ-9604BG-ZZ</v>
          </cell>
        </row>
        <row r="2515">
          <cell r="P2515" t="str">
            <v>140F0096BG1</v>
          </cell>
        </row>
        <row r="2516">
          <cell r="B2516" t="str">
            <v>KZ-9601CP</v>
          </cell>
        </row>
        <row r="2516">
          <cell r="P2516" t="str">
            <v>110F0096CP1</v>
          </cell>
        </row>
        <row r="2517">
          <cell r="B2517" t="str">
            <v>KZ-3002CP-ZZ</v>
          </cell>
        </row>
        <row r="2517">
          <cell r="P2517" t="str">
            <v>221F3002CP1</v>
          </cell>
        </row>
        <row r="2518">
          <cell r="B2518" t="str">
            <v>KZ-9601BK-ZZ</v>
          </cell>
        </row>
        <row r="2518">
          <cell r="P2518" t="str">
            <v>110F0096BK1</v>
          </cell>
        </row>
        <row r="2519">
          <cell r="B2519" t="str">
            <v>LY08083ORB</v>
          </cell>
        </row>
        <row r="2519">
          <cell r="P2519" t="str">
            <v>321F0122OB1</v>
          </cell>
        </row>
        <row r="2520">
          <cell r="B2520" t="str">
            <v>LY08081CP</v>
          </cell>
        </row>
        <row r="2520">
          <cell r="P2520" t="str">
            <v>320F0121CP1</v>
          </cell>
        </row>
        <row r="2521">
          <cell r="B2521" t="str">
            <v>KZ-9601BG</v>
          </cell>
        </row>
        <row r="2521">
          <cell r="P2521" t="str">
            <v>110F0096BG1</v>
          </cell>
        </row>
        <row r="2522">
          <cell r="B2522" t="str">
            <v>PF01ORB</v>
          </cell>
        </row>
        <row r="2522">
          <cell r="P2522" t="str">
            <v>430F0800OB1</v>
          </cell>
        </row>
        <row r="2523">
          <cell r="B2523" t="str">
            <v>LY08082CP</v>
          </cell>
        </row>
        <row r="2523">
          <cell r="P2523" t="str">
            <v>320F9082CP1</v>
          </cell>
        </row>
        <row r="2524">
          <cell r="B2524" t="str">
            <v>KZ-9611BK-ZZ</v>
          </cell>
        </row>
        <row r="2524">
          <cell r="P2524" t="str">
            <v>211F0096BK2</v>
          </cell>
        </row>
        <row r="2525">
          <cell r="B2525" t="str">
            <v>YG6302BN</v>
          </cell>
        </row>
        <row r="2525">
          <cell r="P2525" t="str">
            <v>221F6301BN3</v>
          </cell>
        </row>
        <row r="2526">
          <cell r="B2526" t="str">
            <v>PF01CP</v>
          </cell>
        </row>
        <row r="2526">
          <cell r="P2526" t="str">
            <v>430F0800CP1</v>
          </cell>
        </row>
        <row r="2527">
          <cell r="B2527" t="str">
            <v>KZ-9604BG</v>
          </cell>
        </row>
        <row r="2527">
          <cell r="P2527" t="str">
            <v>140F0096BG1</v>
          </cell>
        </row>
        <row r="2528">
          <cell r="B2528" t="str">
            <v>LY08081BG</v>
          </cell>
        </row>
        <row r="2528">
          <cell r="P2528" t="str">
            <v>320F0121BG1</v>
          </cell>
        </row>
        <row r="2529">
          <cell r="B2529" t="str">
            <v>KZ-9604CP</v>
          </cell>
        </row>
        <row r="2529">
          <cell r="P2529" t="str">
            <v>140F0096CP1</v>
          </cell>
        </row>
        <row r="2530">
          <cell r="B2530" t="str">
            <v>KZ-9607-9608-9609-YG</v>
          </cell>
        </row>
        <row r="2530">
          <cell r="P2530" t="str">
            <v>父体</v>
          </cell>
        </row>
        <row r="2531">
          <cell r="B2531" t="str">
            <v>KZ-9604BG-ZZ</v>
          </cell>
        </row>
        <row r="2531">
          <cell r="P2531" t="str">
            <v>140F0096BG1</v>
          </cell>
        </row>
        <row r="2532">
          <cell r="B2532" t="str">
            <v>KZ-9601BK</v>
          </cell>
        </row>
        <row r="2532">
          <cell r="P2532" t="str">
            <v>110F0096BK1</v>
          </cell>
        </row>
        <row r="2533">
          <cell r="B2533" t="str">
            <v>KZ-9611BN-ZZ</v>
          </cell>
        </row>
        <row r="2533">
          <cell r="P2533" t="str">
            <v>211F0096BN1</v>
          </cell>
        </row>
        <row r="2534">
          <cell r="B2534" t="str">
            <v>LY08081</v>
          </cell>
        </row>
        <row r="2535">
          <cell r="B2535" t="str">
            <v>KZ-9604ORB</v>
          </cell>
        </row>
        <row r="2535">
          <cell r="P2535" t="str">
            <v>140F0096OB1</v>
          </cell>
        </row>
        <row r="2536">
          <cell r="B2536" t="str">
            <v>LY08081CP</v>
          </cell>
        </row>
        <row r="2536">
          <cell r="P2536" t="str">
            <v>320F0121CP1</v>
          </cell>
        </row>
        <row r="2537">
          <cell r="B2537" t="str">
            <v>LY08083BN</v>
          </cell>
        </row>
        <row r="2537">
          <cell r="P2537" t="str">
            <v>321F0122BN2</v>
          </cell>
        </row>
        <row r="2538">
          <cell r="B2538" t="str">
            <v>PF02BN</v>
          </cell>
        </row>
        <row r="2538">
          <cell r="P2538" t="str">
            <v>430F0800BN2</v>
          </cell>
        </row>
        <row r="2539">
          <cell r="B2539" t="str">
            <v>LY08082MB</v>
          </cell>
        </row>
        <row r="2539">
          <cell r="P2539" t="str">
            <v>320F9082BK1</v>
          </cell>
        </row>
        <row r="2540">
          <cell r="B2540" t="str">
            <v>KZ-9601BG</v>
          </cell>
        </row>
        <row r="2540">
          <cell r="P2540" t="str">
            <v>110F0096BG1</v>
          </cell>
        </row>
        <row r="2541">
          <cell r="B2541" t="str">
            <v>LY08082BN</v>
          </cell>
        </row>
        <row r="2541">
          <cell r="P2541" t="str">
            <v>320F9082BN2</v>
          </cell>
        </row>
        <row r="2542">
          <cell r="B2542" t="str">
            <v>KZ-3002BK-ZZ</v>
          </cell>
        </row>
        <row r="2542">
          <cell r="P2542" t="str">
            <v>221F3002BK1</v>
          </cell>
        </row>
        <row r="2543">
          <cell r="B2543" t="str">
            <v>LY08082CP</v>
          </cell>
        </row>
        <row r="2543">
          <cell r="P2543" t="str">
            <v>320F9082CP1</v>
          </cell>
        </row>
        <row r="2544">
          <cell r="B2544" t="str">
            <v>KZ-9611BK-ZZ</v>
          </cell>
        </row>
        <row r="2544">
          <cell r="P2544" t="str">
            <v>211F0096BK2</v>
          </cell>
        </row>
        <row r="2545">
          <cell r="B2545" t="str">
            <v>KZ-3002BK-ZZ</v>
          </cell>
        </row>
        <row r="2545">
          <cell r="P2545" t="str">
            <v>221F3002BK1</v>
          </cell>
        </row>
        <row r="2546">
          <cell r="B2546" t="str">
            <v>LY08082MB</v>
          </cell>
        </row>
        <row r="2546">
          <cell r="P2546" t="str">
            <v>320F9082BK1</v>
          </cell>
        </row>
        <row r="2547">
          <cell r="B2547" t="str">
            <v>LY08081MB</v>
          </cell>
        </row>
        <row r="2547">
          <cell r="P2547" t="str">
            <v>320F0121BK1</v>
          </cell>
        </row>
        <row r="2548">
          <cell r="B2548" t="str">
            <v>9611-8081-8083</v>
          </cell>
        </row>
        <row r="2549">
          <cell r="B2549" t="str">
            <v>KZ-9608+09</v>
          </cell>
        </row>
        <row r="2550">
          <cell r="B2550" t="str">
            <v>KZ-9604BG+KZ-9608BG</v>
          </cell>
        </row>
        <row r="2551">
          <cell r="B2551" t="str">
            <v>PF01MB</v>
          </cell>
        </row>
        <row r="2551">
          <cell r="P2551" t="str">
            <v>430F0800BK1</v>
          </cell>
        </row>
        <row r="2552">
          <cell r="B2552" t="str">
            <v>LY08081CP</v>
          </cell>
        </row>
        <row r="2552">
          <cell r="P2552" t="str">
            <v>320F0121CP1</v>
          </cell>
        </row>
        <row r="2553">
          <cell r="B2553" t="str">
            <v>LY08081BN</v>
          </cell>
        </row>
        <row r="2553">
          <cell r="P2553" t="str">
            <v>320F0121BN2</v>
          </cell>
        </row>
        <row r="2554">
          <cell r="B2554" t="str">
            <v>KZ-9611CP-ZZ</v>
          </cell>
        </row>
        <row r="2554">
          <cell r="P2554" t="str">
            <v>211F0096CP1</v>
          </cell>
        </row>
        <row r="2555">
          <cell r="B2555" t="str">
            <v>PF01MB</v>
          </cell>
        </row>
        <row r="2555">
          <cell r="P2555" t="str">
            <v>430F0800BK1</v>
          </cell>
        </row>
        <row r="2556">
          <cell r="B2556" t="str">
            <v>KZ-9611ORB</v>
          </cell>
        </row>
        <row r="2556">
          <cell r="P2556" t="str">
            <v>211F0096OB1</v>
          </cell>
        </row>
        <row r="2557">
          <cell r="B2557" t="str">
            <v>LY08083MB</v>
          </cell>
        </row>
        <row r="2557">
          <cell r="P2557" t="str">
            <v>321F0122BK1</v>
          </cell>
        </row>
        <row r="2558">
          <cell r="B2558" t="str">
            <v>LY08081</v>
          </cell>
        </row>
        <row r="2559">
          <cell r="B2559" t="str">
            <v>LY08082ORB</v>
          </cell>
        </row>
        <row r="2559">
          <cell r="P2559" t="str">
            <v>320F9082OB1</v>
          </cell>
        </row>
        <row r="2560">
          <cell r="B2560" t="str">
            <v>9604+9608BK</v>
          </cell>
        </row>
        <row r="2561">
          <cell r="B2561" t="str">
            <v>KZ-9611BK</v>
          </cell>
        </row>
        <row r="2561">
          <cell r="P2561" t="str">
            <v>211F0096BK2</v>
          </cell>
        </row>
        <row r="2562">
          <cell r="B2562" t="str">
            <v>LY08081BG</v>
          </cell>
        </row>
        <row r="2562">
          <cell r="P2562" t="str">
            <v>320F0121BG1</v>
          </cell>
        </row>
        <row r="2563">
          <cell r="B2563" t="str">
            <v>KZ-9611-VINE</v>
          </cell>
        </row>
        <row r="2564">
          <cell r="B2564" t="str">
            <v>KZ-9608ORB02</v>
          </cell>
        </row>
        <row r="2564">
          <cell r="P2564" t="str">
            <v>222F0096OB1</v>
          </cell>
        </row>
        <row r="2565">
          <cell r="B2565" t="str">
            <v>PF01CP</v>
          </cell>
        </row>
        <row r="2565">
          <cell r="P2565" t="str">
            <v>430F0800CP1</v>
          </cell>
        </row>
        <row r="2566">
          <cell r="B2566" t="str">
            <v>9601+9609BN</v>
          </cell>
        </row>
        <row r="2567">
          <cell r="B2567" t="str">
            <v>YG6302ORB</v>
          </cell>
        </row>
        <row r="2567">
          <cell r="P2567" t="str">
            <v>221F6301OB1</v>
          </cell>
        </row>
        <row r="2568">
          <cell r="B2568" t="str">
            <v>KZ-9611BG</v>
          </cell>
        </row>
        <row r="2568">
          <cell r="P2568" t="str">
            <v>211F0096BG1</v>
          </cell>
        </row>
        <row r="2569">
          <cell r="B2569" t="str">
            <v>KZ-9609BN</v>
          </cell>
        </row>
        <row r="2569">
          <cell r="P2569" t="str">
            <v>223F0096BN1</v>
          </cell>
        </row>
        <row r="2570">
          <cell r="B2570" t="str">
            <v>LY08083BG</v>
          </cell>
        </row>
        <row r="2570">
          <cell r="P2570" t="str">
            <v>321F0122BG1</v>
          </cell>
        </row>
        <row r="2571">
          <cell r="B2571" t="str">
            <v>PF01BG</v>
          </cell>
        </row>
        <row r="2571">
          <cell r="P2571" t="str">
            <v>430F0800BG1</v>
          </cell>
        </row>
        <row r="2572">
          <cell r="B2572" t="str">
            <v>LY08082BN</v>
          </cell>
        </row>
        <row r="2572">
          <cell r="P2572" t="str">
            <v>320F9082BN2</v>
          </cell>
        </row>
        <row r="2573">
          <cell r="B2573" t="str">
            <v>KZ-3002BK-ZZ</v>
          </cell>
        </row>
        <row r="2573">
          <cell r="P2573" t="str">
            <v>221F3002BK1</v>
          </cell>
        </row>
        <row r="2574">
          <cell r="B2574" t="str">
            <v>YG6353&amp;6302</v>
          </cell>
        </row>
        <row r="2575">
          <cell r="B2575" t="str">
            <v>KZ-9601CP</v>
          </cell>
        </row>
        <row r="2575">
          <cell r="P2575" t="str">
            <v>110F0096CP1</v>
          </cell>
        </row>
        <row r="2576">
          <cell r="B2576" t="str">
            <v>KZ-9604CP</v>
          </cell>
        </row>
        <row r="2576">
          <cell r="P2576" t="str">
            <v>140F0096CP1</v>
          </cell>
        </row>
        <row r="2577">
          <cell r="B2577" t="str">
            <v>PF01BN</v>
          </cell>
        </row>
        <row r="2577">
          <cell r="P2577" t="str">
            <v>430F0800BN2</v>
          </cell>
        </row>
        <row r="2578">
          <cell r="B2578" t="str">
            <v>PF01SERIES</v>
          </cell>
        </row>
        <row r="2579">
          <cell r="B2579" t="str">
            <v>KZ-9611BN-ZZ</v>
          </cell>
        </row>
        <row r="2579">
          <cell r="P2579" t="str">
            <v>211F0096BN1</v>
          </cell>
        </row>
        <row r="2580">
          <cell r="B2580" t="str">
            <v>KZ-9601BK-ZZ</v>
          </cell>
        </row>
        <row r="2580">
          <cell r="P2580" t="str">
            <v>110F0096BK1</v>
          </cell>
        </row>
        <row r="2581">
          <cell r="B2581" t="str">
            <v>PF02BN</v>
          </cell>
        </row>
        <row r="2581">
          <cell r="P2581" t="str">
            <v>430F0800BN2</v>
          </cell>
        </row>
        <row r="2582">
          <cell r="B2582" t="str">
            <v>LY08081ORB</v>
          </cell>
        </row>
        <row r="2582">
          <cell r="P2582" t="str">
            <v>320F0121OB1</v>
          </cell>
        </row>
        <row r="2583">
          <cell r="B2583" t="str">
            <v>PF01MG</v>
          </cell>
        </row>
        <row r="2583">
          <cell r="P2583" t="str">
            <v>430F0800BK1</v>
          </cell>
        </row>
        <row r="2584">
          <cell r="B2584" t="str">
            <v>KZ-9607BK-ZZ</v>
          </cell>
        </row>
        <row r="2584">
          <cell r="P2584" t="str">
            <v>221F0096BK1</v>
          </cell>
        </row>
        <row r="2585">
          <cell r="B2585" t="str">
            <v>YG6302BN</v>
          </cell>
        </row>
        <row r="2585">
          <cell r="P2585" t="str">
            <v>221F6301BN3</v>
          </cell>
        </row>
        <row r="2586">
          <cell r="B2586" t="str">
            <v>KZ-9601BG-ZZ</v>
          </cell>
        </row>
        <row r="2586">
          <cell r="P2586" t="str">
            <v>110F0096BG1</v>
          </cell>
        </row>
        <row r="2587">
          <cell r="B2587" t="str">
            <v>KZ-9604ORB</v>
          </cell>
        </row>
        <row r="2587">
          <cell r="P2587" t="str">
            <v>140F0096OB1</v>
          </cell>
        </row>
        <row r="2588">
          <cell r="B2588" t="str">
            <v>PF01ORB</v>
          </cell>
        </row>
        <row r="2588">
          <cell r="P2588" t="str">
            <v>430F0800OB1</v>
          </cell>
        </row>
        <row r="2589">
          <cell r="B2589" t="str">
            <v>PF01ORB</v>
          </cell>
        </row>
        <row r="2589">
          <cell r="P2589" t="str">
            <v>430F0800OB1</v>
          </cell>
        </row>
        <row r="2590">
          <cell r="B2590" t="str">
            <v>KZ-9609BN</v>
          </cell>
        </row>
        <row r="2590">
          <cell r="P2590" t="str">
            <v>223F0096BN1</v>
          </cell>
        </row>
        <row r="2591">
          <cell r="B2591" t="str">
            <v>PF01ORB</v>
          </cell>
        </row>
        <row r="2591">
          <cell r="P2591" t="str">
            <v>430F0800OB1</v>
          </cell>
        </row>
        <row r="2592">
          <cell r="B2592" t="str">
            <v>YG6353BG</v>
          </cell>
        </row>
        <row r="2592">
          <cell r="P2592" t="str">
            <v>223F5300BG1</v>
          </cell>
        </row>
        <row r="2593">
          <cell r="B2593" t="str">
            <v>KZ-9601BK</v>
          </cell>
        </row>
        <row r="2593">
          <cell r="P2593" t="str">
            <v>110F0096BK1</v>
          </cell>
        </row>
        <row r="2594">
          <cell r="B2594" t="str">
            <v>KZ-9611BK-ZZ</v>
          </cell>
        </row>
        <row r="2594">
          <cell r="P2594" t="str">
            <v>211F0096BK2</v>
          </cell>
        </row>
        <row r="2595">
          <cell r="B2595" t="str">
            <v>YG6302MB</v>
          </cell>
        </row>
        <row r="2595">
          <cell r="P2595" t="str">
            <v>221F6301BK1</v>
          </cell>
        </row>
        <row r="2596">
          <cell r="B2596" t="str">
            <v>KZ-9601ORB</v>
          </cell>
        </row>
        <row r="2596">
          <cell r="P2596" t="str">
            <v>110F0096OB1</v>
          </cell>
        </row>
        <row r="2597">
          <cell r="B2597" t="str">
            <v>LY08083BG</v>
          </cell>
        </row>
        <row r="2597">
          <cell r="P2597" t="str">
            <v>321F0122BG1</v>
          </cell>
        </row>
        <row r="2598">
          <cell r="B2598" t="str">
            <v>LY08082BG</v>
          </cell>
        </row>
        <row r="2598">
          <cell r="P2598" t="str">
            <v>320F9082BG1</v>
          </cell>
        </row>
        <row r="2599">
          <cell r="B2599" t="str">
            <v>9609+9604ORB</v>
          </cell>
        </row>
        <row r="2600">
          <cell r="B2600" t="str">
            <v>PF01BG</v>
          </cell>
        </row>
        <row r="2600">
          <cell r="P2600" t="str">
            <v>430F0800BG1</v>
          </cell>
        </row>
        <row r="2601">
          <cell r="B2601" t="str">
            <v>KZ-9601BN</v>
          </cell>
        </row>
        <row r="2601">
          <cell r="P2601" t="str">
            <v>110F0096BN1</v>
          </cell>
        </row>
        <row r="2602">
          <cell r="B2602" t="str">
            <v>LY08081BN</v>
          </cell>
        </row>
        <row r="2602">
          <cell r="P2602" t="str">
            <v>320F0121BN2</v>
          </cell>
        </row>
        <row r="2603">
          <cell r="B2603" t="str">
            <v>PF01MG</v>
          </cell>
        </row>
        <row r="2603">
          <cell r="P2603" t="str">
            <v>430F0800BK1</v>
          </cell>
        </row>
        <row r="2604">
          <cell r="B2604" t="str">
            <v>PF01BG</v>
          </cell>
        </row>
        <row r="2604">
          <cell r="P2604" t="str">
            <v>430F0800BG1</v>
          </cell>
        </row>
        <row r="2605">
          <cell r="B2605" t="str">
            <v>PF01CP</v>
          </cell>
        </row>
        <row r="2605">
          <cell r="P2605" t="str">
            <v>430F0800CP1</v>
          </cell>
        </row>
        <row r="2606">
          <cell r="B2606" t="str">
            <v>KZ-9604BN+KZ-9608BN</v>
          </cell>
        </row>
        <row r="2607">
          <cell r="B2607" t="str">
            <v>LY08081ORB</v>
          </cell>
        </row>
        <row r="2607">
          <cell r="P2607" t="str">
            <v>320F0121OB1</v>
          </cell>
        </row>
        <row r="2608">
          <cell r="B2608" t="str">
            <v>PF01MG</v>
          </cell>
        </row>
        <row r="2608">
          <cell r="P2608" t="str">
            <v>430F0800BK1</v>
          </cell>
        </row>
        <row r="2609">
          <cell r="B2609" t="str">
            <v>9601+9607</v>
          </cell>
        </row>
        <row r="2610">
          <cell r="B2610" t="str">
            <v>9604+9609BN</v>
          </cell>
        </row>
        <row r="2611">
          <cell r="B2611" t="str">
            <v>KZ-9601ORB</v>
          </cell>
        </row>
        <row r="2611">
          <cell r="P2611" t="str">
            <v>110F0096OB1</v>
          </cell>
        </row>
        <row r="2612">
          <cell r="B2612" t="str">
            <v>LY08081MB</v>
          </cell>
        </row>
        <row r="2612">
          <cell r="P2612" t="str">
            <v>320F0121BK1</v>
          </cell>
        </row>
        <row r="2613">
          <cell r="B2613" t="str">
            <v>KZ-9611CP</v>
          </cell>
        </row>
        <row r="2613">
          <cell r="P2613" t="str">
            <v>211F0096CP1</v>
          </cell>
        </row>
        <row r="2614">
          <cell r="B2614" t="str">
            <v>KZ-9607BK-ZZ</v>
          </cell>
        </row>
        <row r="2614">
          <cell r="P2614" t="str">
            <v>221F0096BK1</v>
          </cell>
        </row>
        <row r="2615">
          <cell r="B2615" t="str">
            <v>YG6353BN</v>
          </cell>
        </row>
        <row r="2615">
          <cell r="P2615" t="str">
            <v>223F5300BN2</v>
          </cell>
        </row>
        <row r="2616">
          <cell r="B2616" t="str">
            <v>LY08082ORB</v>
          </cell>
        </row>
        <row r="2616">
          <cell r="P2616" t="str">
            <v>320F9082OB1</v>
          </cell>
        </row>
        <row r="2617">
          <cell r="B2617" t="str">
            <v>YG6302CP</v>
          </cell>
        </row>
        <row r="2617">
          <cell r="P2617" t="str">
            <v>221F6301CP1</v>
          </cell>
        </row>
        <row r="2618">
          <cell r="B2618" t="str">
            <v>KZ-9601BK</v>
          </cell>
        </row>
        <row r="2618">
          <cell r="P2618" t="str">
            <v>110F0096BK1</v>
          </cell>
        </row>
        <row r="2619">
          <cell r="B2619" t="str">
            <v>YG6353CP</v>
          </cell>
        </row>
        <row r="2619">
          <cell r="P2619" t="str">
            <v>223F5300CP1</v>
          </cell>
        </row>
        <row r="2620">
          <cell r="B2620" t="str">
            <v>LY08082ORB</v>
          </cell>
        </row>
        <row r="2620">
          <cell r="P2620" t="str">
            <v>320F9082OB1</v>
          </cell>
        </row>
        <row r="2621">
          <cell r="B2621" t="str">
            <v>KZ-9604BK</v>
          </cell>
        </row>
        <row r="2621">
          <cell r="P2621" t="str">
            <v>140F0096BK1</v>
          </cell>
        </row>
        <row r="2622">
          <cell r="B2622" t="str">
            <v>KZ-9604BG</v>
          </cell>
        </row>
        <row r="2622">
          <cell r="P2622" t="str">
            <v>140F0096BG1</v>
          </cell>
        </row>
        <row r="2623">
          <cell r="B2623" t="str">
            <v>KZ-9604BK-ZZ</v>
          </cell>
        </row>
        <row r="2623">
          <cell r="P2623" t="str">
            <v>140F0096BK1</v>
          </cell>
        </row>
        <row r="2624">
          <cell r="B2624" t="str">
            <v>KZ-9611BK</v>
          </cell>
        </row>
        <row r="2624">
          <cell r="P2624" t="str">
            <v>211F0096BK2</v>
          </cell>
        </row>
        <row r="2625">
          <cell r="B2625" t="str">
            <v>BG9607+9604</v>
          </cell>
        </row>
        <row r="2626">
          <cell r="B2626" t="str">
            <v>9604+9608CP</v>
          </cell>
        </row>
        <row r="2627">
          <cell r="B2627" t="str">
            <v>KZ-9611-SC</v>
          </cell>
        </row>
        <row r="2628">
          <cell r="B2628" t="str">
            <v>YG6302BG</v>
          </cell>
        </row>
        <row r="2628">
          <cell r="P2628" t="str">
            <v>221F6301BG4</v>
          </cell>
        </row>
        <row r="2629">
          <cell r="B2629" t="str">
            <v>PF01CP</v>
          </cell>
        </row>
        <row r="2629">
          <cell r="P2629" t="str">
            <v>430F0800CP1</v>
          </cell>
        </row>
        <row r="2630">
          <cell r="B2630" t="str">
            <v>BN9607+9604</v>
          </cell>
        </row>
        <row r="2631">
          <cell r="B2631" t="str">
            <v>KZ-9607BG-ZZ</v>
          </cell>
        </row>
        <row r="2631">
          <cell r="P2631" t="str">
            <v>221F0096BG1</v>
          </cell>
        </row>
        <row r="2632">
          <cell r="B2632" t="str">
            <v>YG6302ORB</v>
          </cell>
        </row>
        <row r="2632">
          <cell r="P2632" t="str">
            <v>221F6301OB1</v>
          </cell>
        </row>
        <row r="2633">
          <cell r="B2633" t="str">
            <v>LY08083CP</v>
          </cell>
        </row>
        <row r="2633">
          <cell r="P2633" t="str">
            <v>321F0122CP1</v>
          </cell>
        </row>
        <row r="2634">
          <cell r="B2634" t="str">
            <v>LY08081ORB</v>
          </cell>
        </row>
        <row r="2634">
          <cell r="P2634" t="str">
            <v>320F0121OB1</v>
          </cell>
        </row>
        <row r="2635">
          <cell r="B2635" t="str">
            <v>YG6353MB</v>
          </cell>
        </row>
        <row r="2635">
          <cell r="P2635" t="str">
            <v>223F5300BK1</v>
          </cell>
        </row>
        <row r="2636">
          <cell r="B2636" t="str">
            <v>YG6302BN</v>
          </cell>
        </row>
        <row r="2636">
          <cell r="P2636" t="str">
            <v>221F6301BN3</v>
          </cell>
        </row>
        <row r="2637">
          <cell r="B2637" t="str">
            <v>YG6302MB</v>
          </cell>
        </row>
        <row r="2637">
          <cell r="P2637" t="str">
            <v>221F6301BK1</v>
          </cell>
        </row>
        <row r="2638">
          <cell r="B2638" t="str">
            <v>9604+9608BG</v>
          </cell>
        </row>
        <row r="2639">
          <cell r="B2639" t="str">
            <v>KZ-9601BN</v>
          </cell>
        </row>
        <row r="2639">
          <cell r="P2639" t="str">
            <v>110F0096BN1</v>
          </cell>
        </row>
        <row r="2640">
          <cell r="B2640" t="str">
            <v>KZ-3002CP-ZZ</v>
          </cell>
        </row>
        <row r="2640">
          <cell r="P2640" t="str">
            <v>221F3002CP1</v>
          </cell>
        </row>
        <row r="2641">
          <cell r="B2641" t="str">
            <v>9601+9607BN</v>
          </cell>
        </row>
        <row r="2642">
          <cell r="B2642" t="str">
            <v>KZ-9604BG+9607BG</v>
          </cell>
        </row>
        <row r="2643">
          <cell r="B2643" t="str">
            <v>KZ-9601BG-ZZ</v>
          </cell>
        </row>
        <row r="2643">
          <cell r="P2643" t="str">
            <v>110F0096BG1</v>
          </cell>
        </row>
        <row r="2644">
          <cell r="B2644" t="str">
            <v>KZ-9611CP-ZZ</v>
          </cell>
        </row>
        <row r="2644">
          <cell r="P2644" t="str">
            <v>211F0096CP1</v>
          </cell>
        </row>
        <row r="2645">
          <cell r="B2645" t="str">
            <v>LY08082MB</v>
          </cell>
        </row>
        <row r="2645">
          <cell r="P2645" t="str">
            <v>320F9082BK1</v>
          </cell>
        </row>
        <row r="2646">
          <cell r="B2646" t="str">
            <v>LY08083ORB</v>
          </cell>
        </row>
        <row r="2646">
          <cell r="P2646" t="str">
            <v>321F0122OB1</v>
          </cell>
        </row>
        <row r="2647">
          <cell r="B2647" t="str">
            <v>KZ-9601BK-ZZ</v>
          </cell>
        </row>
        <row r="2647">
          <cell r="P2647" t="str">
            <v>110F0096BK1</v>
          </cell>
        </row>
        <row r="2648">
          <cell r="B2648" t="str">
            <v>KZ-9608+09</v>
          </cell>
        </row>
        <row r="2648">
          <cell r="P2648" t="str">
            <v>父体</v>
          </cell>
        </row>
        <row r="2649">
          <cell r="B2649" t="str">
            <v>KZ-9611BG</v>
          </cell>
        </row>
        <row r="2649">
          <cell r="P2649" t="str">
            <v>211F0096BG1</v>
          </cell>
        </row>
        <row r="2650">
          <cell r="B2650" t="str">
            <v>YG6353BG</v>
          </cell>
        </row>
        <row r="2650">
          <cell r="P2650" t="str">
            <v>223F5300BG1</v>
          </cell>
        </row>
        <row r="2651">
          <cell r="B2651" t="str">
            <v>YG6353CP</v>
          </cell>
        </row>
        <row r="2651">
          <cell r="P2651" t="str">
            <v>223F5300CP1</v>
          </cell>
        </row>
        <row r="2652">
          <cell r="B2652" t="str">
            <v>KZ-9601-main</v>
          </cell>
        </row>
        <row r="2653">
          <cell r="B2653" t="str">
            <v>9601+9607ORB</v>
          </cell>
        </row>
        <row r="2654">
          <cell r="B2654" t="str">
            <v>9604+9609ORB</v>
          </cell>
        </row>
        <row r="2655">
          <cell r="B2655" t="str">
            <v>KZ-9607BG-ZZ</v>
          </cell>
        </row>
        <row r="2655">
          <cell r="P2655" t="str">
            <v>221F0096BG1</v>
          </cell>
        </row>
        <row r="2656">
          <cell r="B2656" t="str">
            <v>YG6302CP</v>
          </cell>
        </row>
        <row r="2656">
          <cell r="P2656" t="str">
            <v>221F6301CP1</v>
          </cell>
        </row>
        <row r="2657">
          <cell r="B2657" t="str">
            <v>9604+9608BN</v>
          </cell>
        </row>
        <row r="2658">
          <cell r="B2658" t="str">
            <v>YG6302CP</v>
          </cell>
        </row>
        <row r="2658">
          <cell r="P2658" t="str">
            <v>221F6301CP1</v>
          </cell>
        </row>
        <row r="2659">
          <cell r="B2659" t="str">
            <v>9604+9607BN</v>
          </cell>
        </row>
        <row r="2660">
          <cell r="B2660" t="str">
            <v>LY081083</v>
          </cell>
        </row>
        <row r="2661">
          <cell r="B2661" t="str">
            <v>LY08082CP</v>
          </cell>
        </row>
        <row r="2661">
          <cell r="P2661" t="str">
            <v>320F9082CP1</v>
          </cell>
        </row>
        <row r="2662">
          <cell r="B2662" t="str">
            <v>KZ-3002CP-ZZ</v>
          </cell>
        </row>
        <row r="2662">
          <cell r="P2662" t="str">
            <v>221F3002CP1</v>
          </cell>
        </row>
        <row r="2663">
          <cell r="B2663" t="str">
            <v>YG6302+6353</v>
          </cell>
        </row>
        <row r="2664">
          <cell r="B2664" t="str">
            <v>KZ-9601-ZZ</v>
          </cell>
        </row>
        <row r="2665">
          <cell r="B2665" t="str">
            <v>YG6302MB</v>
          </cell>
        </row>
        <row r="2665">
          <cell r="P2665" t="str">
            <v>221F6301BK1</v>
          </cell>
        </row>
        <row r="2666">
          <cell r="B2666" t="str">
            <v>KZ-9611BN-ZZ</v>
          </cell>
        </row>
        <row r="2666">
          <cell r="P2666" t="str">
            <v>211F0096BN1</v>
          </cell>
        </row>
        <row r="2667">
          <cell r="B2667" t="str">
            <v>9601+9609BK</v>
          </cell>
        </row>
        <row r="2668">
          <cell r="B2668" t="str">
            <v>KZ-9604-main</v>
          </cell>
        </row>
        <row r="2669">
          <cell r="B2669" t="str">
            <v>YG6353MB</v>
          </cell>
        </row>
        <row r="2669">
          <cell r="P2669" t="str">
            <v>223F5300BK1</v>
          </cell>
        </row>
        <row r="2670">
          <cell r="B2670" t="str">
            <v>LY08082BN</v>
          </cell>
        </row>
        <row r="2670">
          <cell r="P2670" t="str">
            <v>320F9082BN2</v>
          </cell>
        </row>
        <row r="2671">
          <cell r="B2671" t="str">
            <v>KZ-9604BK-ZZ</v>
          </cell>
        </row>
        <row r="2671">
          <cell r="P2671" t="str">
            <v>140F0096BK1</v>
          </cell>
        </row>
        <row r="2672">
          <cell r="B2672" t="str">
            <v>LY08083ORB</v>
          </cell>
        </row>
        <row r="2672">
          <cell r="P2672" t="str">
            <v>321F0122OB1</v>
          </cell>
        </row>
        <row r="2673">
          <cell r="B2673" t="str">
            <v>LY08082BG</v>
          </cell>
        </row>
        <row r="2673">
          <cell r="P2673" t="str">
            <v>320F9082BG1</v>
          </cell>
        </row>
        <row r="2674">
          <cell r="B2674" t="str">
            <v>PF02BN</v>
          </cell>
        </row>
        <row r="2674">
          <cell r="P2674" t="str">
            <v>430F0800BN2</v>
          </cell>
        </row>
        <row r="2675">
          <cell r="B2675" t="str">
            <v>LY08083BN</v>
          </cell>
        </row>
        <row r="2675">
          <cell r="P2675" t="str">
            <v>321F0122BN2</v>
          </cell>
        </row>
        <row r="2676">
          <cell r="B2676" t="str">
            <v>LY08083CP</v>
          </cell>
        </row>
        <row r="2676">
          <cell r="P2676" t="str">
            <v>321F0122CP1</v>
          </cell>
        </row>
        <row r="2677">
          <cell r="B2677" t="str">
            <v>LY08081MB</v>
          </cell>
        </row>
        <row r="2677">
          <cell r="P2677" t="str">
            <v>320F0121BK1</v>
          </cell>
        </row>
        <row r="2678">
          <cell r="B2678" t="str">
            <v>KZ-9601CP</v>
          </cell>
        </row>
        <row r="2678">
          <cell r="P2678" t="str">
            <v>110F0096CP1</v>
          </cell>
        </row>
        <row r="2679">
          <cell r="B2679" t="str">
            <v>KZ-9604BK+KZ-9608BK</v>
          </cell>
        </row>
        <row r="2680">
          <cell r="B2680" t="str">
            <v>PF01BG</v>
          </cell>
        </row>
        <row r="2680">
          <cell r="P2680" t="str">
            <v>430F0800BG1</v>
          </cell>
        </row>
        <row r="2681">
          <cell r="B2681" t="str">
            <v>YG6302</v>
          </cell>
        </row>
        <row r="2682">
          <cell r="B2682" t="str">
            <v>LY08083CP</v>
          </cell>
        </row>
        <row r="2682">
          <cell r="P2682" t="str">
            <v>321F0122CP1</v>
          </cell>
        </row>
        <row r="2683">
          <cell r="B2683" t="str">
            <v>LY08083BN</v>
          </cell>
        </row>
        <row r="2683">
          <cell r="P2683" t="str">
            <v>321F0122BN2</v>
          </cell>
        </row>
        <row r="2684">
          <cell r="B2684" t="str">
            <v>KZ-9607BK-ZZ</v>
          </cell>
        </row>
        <row r="2684">
          <cell r="P2684" t="str">
            <v>221F0096BK1</v>
          </cell>
        </row>
        <row r="2685">
          <cell r="B2685" t="str">
            <v>KZ-9604BG-ZZ</v>
          </cell>
        </row>
        <row r="2685">
          <cell r="P2685" t="str">
            <v>140F0096BG1</v>
          </cell>
        </row>
        <row r="2686">
          <cell r="B2686" t="str">
            <v>9601+9607BK</v>
          </cell>
        </row>
        <row r="2687">
          <cell r="B2687" t="str">
            <v>KZ-9601BG-ZZ</v>
          </cell>
        </row>
        <row r="2687">
          <cell r="P2687" t="str">
            <v>110F0096BG1</v>
          </cell>
        </row>
        <row r="2688">
          <cell r="B2688" t="str">
            <v>KZ-9604BK-ZZ</v>
          </cell>
        </row>
        <row r="2688">
          <cell r="P2688" t="str">
            <v>140F0096BK1</v>
          </cell>
        </row>
        <row r="2689">
          <cell r="B2689" t="str">
            <v>PF01MG</v>
          </cell>
        </row>
        <row r="2689">
          <cell r="P2689" t="str">
            <v>430F0800BK1</v>
          </cell>
        </row>
        <row r="2690">
          <cell r="B2690" t="str">
            <v>9604+9608ORB</v>
          </cell>
        </row>
        <row r="2691">
          <cell r="B2691" t="str">
            <v>YG6353ORB</v>
          </cell>
        </row>
        <row r="2691">
          <cell r="P2691" t="str">
            <v>223F5300OB1</v>
          </cell>
        </row>
        <row r="2692">
          <cell r="B2692" t="str">
            <v>KZ-9604-ZZ</v>
          </cell>
        </row>
        <row r="2693">
          <cell r="B2693" t="str">
            <v>KZ-9607BG-ZZ</v>
          </cell>
        </row>
        <row r="2693">
          <cell r="P2693" t="str">
            <v>221F0096BG1</v>
          </cell>
        </row>
        <row r="2694">
          <cell r="B2694" t="str">
            <v>PF01MB</v>
          </cell>
        </row>
        <row r="2694">
          <cell r="P2694" t="str">
            <v>430F0800BK1</v>
          </cell>
        </row>
        <row r="2695">
          <cell r="B2695" t="str">
            <v>LY08083BG</v>
          </cell>
        </row>
        <row r="2695">
          <cell r="P2695" t="str">
            <v>321F0122BG1</v>
          </cell>
        </row>
        <row r="2696">
          <cell r="B2696" t="str">
            <v>PF01MB</v>
          </cell>
        </row>
        <row r="2696">
          <cell r="P2696" t="str">
            <v>430F0800BK1</v>
          </cell>
        </row>
        <row r="2697">
          <cell r="B2697" t="str">
            <v>NK-2211-BK</v>
          </cell>
        </row>
        <row r="2697">
          <cell r="P2697" t="str">
            <v>211F0022BK2</v>
          </cell>
        </row>
        <row r="2698">
          <cell r="B2698" t="str">
            <v>NK-2212-BK</v>
          </cell>
        </row>
        <row r="2698">
          <cell r="P2698" t="str">
            <v>320F0022BK1</v>
          </cell>
        </row>
        <row r="2699">
          <cell r="B2699" t="str">
            <v>B6206-GY</v>
          </cell>
        </row>
        <row r="2699">
          <cell r="P2699" t="str">
            <v>F3-3005GY</v>
          </cell>
        </row>
        <row r="2700">
          <cell r="B2700" t="str">
            <v>SZ-B9902CP</v>
          </cell>
        </row>
        <row r="2700">
          <cell r="P2700" t="str">
            <v>120F0099CP1</v>
          </cell>
        </row>
        <row r="2701">
          <cell r="B2701" t="str">
            <v>SZ-B9902CP</v>
          </cell>
        </row>
        <row r="2701">
          <cell r="P2701" t="str">
            <v>120F0099CP1</v>
          </cell>
        </row>
        <row r="2702">
          <cell r="B2702" t="str">
            <v>NK-2212-BK-ZZ1</v>
          </cell>
        </row>
        <row r="2702">
          <cell r="P2702" t="str">
            <v>320F0022BK1</v>
          </cell>
        </row>
        <row r="2703">
          <cell r="B2703" t="str">
            <v>SZ-B9902CP</v>
          </cell>
        </row>
        <row r="2703">
          <cell r="P2703" t="str">
            <v>120F0099CP1</v>
          </cell>
        </row>
        <row r="2704">
          <cell r="B2704" t="str">
            <v>NK-2211-BN</v>
          </cell>
        </row>
        <row r="2704">
          <cell r="P2704" t="str">
            <v>211F0022BN1</v>
          </cell>
        </row>
        <row r="2705">
          <cell r="B2705" t="str">
            <v>12-BK-ZZ-3</v>
          </cell>
        </row>
        <row r="2705">
          <cell r="P2705" t="str">
            <v>320F0099BK1</v>
          </cell>
        </row>
        <row r="2706">
          <cell r="B2706" t="str">
            <v>NB2207-01</v>
          </cell>
        </row>
        <row r="2707">
          <cell r="B2707" t="str">
            <v>NK-2212-BN</v>
          </cell>
        </row>
        <row r="2707">
          <cell r="P2707" t="str">
            <v>320F0022BN1</v>
          </cell>
        </row>
        <row r="2708">
          <cell r="B2708" t="str">
            <v>NK-2212-BN-ZZ1</v>
          </cell>
        </row>
        <row r="2708">
          <cell r="P2708" t="str">
            <v>320F0022BN1</v>
          </cell>
        </row>
        <row r="2709">
          <cell r="B2709" t="str">
            <v>11-BN-ZZ2</v>
          </cell>
        </row>
        <row r="2709">
          <cell r="P2709" t="str">
            <v>211F1005BN3</v>
          </cell>
        </row>
        <row r="2710">
          <cell r="B2710" t="str">
            <v>NB2208-BK</v>
          </cell>
        </row>
        <row r="2710">
          <cell r="P2710" t="str">
            <v>222F0022BK1</v>
          </cell>
        </row>
        <row r="2711">
          <cell r="B2711" t="str">
            <v>SZ-B9902CP</v>
          </cell>
        </row>
        <row r="2711">
          <cell r="P2711" t="str">
            <v>120F0099CP1</v>
          </cell>
        </row>
        <row r="2712">
          <cell r="B2712" t="str">
            <v>B6206-BG</v>
          </cell>
        </row>
        <row r="2712">
          <cell r="P2712" t="str">
            <v>230F3005BG1</v>
          </cell>
        </row>
        <row r="2713">
          <cell r="B2713" t="str">
            <v>NB2208-VN</v>
          </cell>
        </row>
        <row r="2714">
          <cell r="B2714" t="str">
            <v>NK-2212-ORB-ZZ1</v>
          </cell>
        </row>
        <row r="2714">
          <cell r="P2714" t="str">
            <v>320F0022OB1</v>
          </cell>
        </row>
        <row r="2715">
          <cell r="B2715" t="str">
            <v>11-BK-ZZ1</v>
          </cell>
        </row>
        <row r="2715">
          <cell r="P2715" t="str">
            <v>211F1005BK2</v>
          </cell>
        </row>
        <row r="2716">
          <cell r="B2716" t="str">
            <v>NB2208 NEW</v>
          </cell>
        </row>
        <row r="2717">
          <cell r="B2717" t="str">
            <v>SZ-B9902ORB</v>
          </cell>
        </row>
        <row r="2717">
          <cell r="P2717" t="str">
            <v>120F0099OB1</v>
          </cell>
        </row>
        <row r="2718">
          <cell r="B2718" t="str">
            <v>NB2208-BN</v>
          </cell>
        </row>
        <row r="2718">
          <cell r="P2718" t="str">
            <v>222F0022BN1</v>
          </cell>
        </row>
        <row r="2719">
          <cell r="B2719" t="str">
            <v>NK-2212-BG</v>
          </cell>
        </row>
        <row r="2719">
          <cell r="P2719" t="str">
            <v>320F0022BG1</v>
          </cell>
        </row>
        <row r="2720">
          <cell r="B2720" t="str">
            <v>NK-2212-ORB</v>
          </cell>
        </row>
        <row r="2720">
          <cell r="P2720" t="str">
            <v>320F0022OB1</v>
          </cell>
        </row>
        <row r="2721">
          <cell r="B2721" t="str">
            <v>11-ORB-ZZ1</v>
          </cell>
        </row>
        <row r="2721">
          <cell r="P2721" t="str">
            <v>211F1005OB1</v>
          </cell>
        </row>
        <row r="2722">
          <cell r="B2722" t="str">
            <v>SZ-B9902ORB</v>
          </cell>
        </row>
        <row r="2722">
          <cell r="P2722" t="str">
            <v>120F0099OB1</v>
          </cell>
        </row>
        <row r="2723">
          <cell r="B2723" t="str">
            <v>11-ORB-ZZ2</v>
          </cell>
        </row>
        <row r="2723">
          <cell r="P2723" t="str">
            <v>211F1005OB1</v>
          </cell>
        </row>
        <row r="2724">
          <cell r="B2724" t="str">
            <v>SZ-B9902ORB</v>
          </cell>
        </row>
        <row r="2724">
          <cell r="P2724" t="str">
            <v>120F0099OB1</v>
          </cell>
        </row>
        <row r="2725">
          <cell r="B2725" t="str">
            <v>NK-2211-CP</v>
          </cell>
        </row>
        <row r="2725">
          <cell r="P2725" t="str">
            <v>211F0022CP1</v>
          </cell>
        </row>
        <row r="2726">
          <cell r="B2726" t="str">
            <v>11-BN-ZZ1</v>
          </cell>
        </row>
        <row r="2726">
          <cell r="P2726" t="str">
            <v>211F1005BN3</v>
          </cell>
        </row>
        <row r="2727">
          <cell r="B2727" t="str">
            <v>B6206-ORB</v>
          </cell>
        </row>
        <row r="2727">
          <cell r="P2727" t="str">
            <v>230F3005OB1</v>
          </cell>
        </row>
        <row r="2728">
          <cell r="B2728" t="str">
            <v>NK-2211-ORB</v>
          </cell>
        </row>
        <row r="2728">
          <cell r="P2728" t="str">
            <v>211F0022OB1</v>
          </cell>
        </row>
        <row r="2729">
          <cell r="B2729" t="str">
            <v>SZ-B9904BG01</v>
          </cell>
        </row>
        <row r="2729">
          <cell r="P2729" t="str">
            <v>140F0099BG1</v>
          </cell>
        </row>
        <row r="2730">
          <cell r="B2730" t="str">
            <v>NK-2211-BG</v>
          </cell>
        </row>
        <row r="2730">
          <cell r="P2730" t="str">
            <v>211F0022BG1</v>
          </cell>
        </row>
        <row r="2731">
          <cell r="B2731" t="str">
            <v>NB2207</v>
          </cell>
        </row>
        <row r="2732">
          <cell r="B2732" t="str">
            <v>SZ-B9904BG01</v>
          </cell>
        </row>
        <row r="2732">
          <cell r="P2732" t="str">
            <v>140F0099BG1</v>
          </cell>
        </row>
        <row r="2733">
          <cell r="B2733" t="str">
            <v>B6206-BN</v>
          </cell>
        </row>
        <row r="2734">
          <cell r="B2734" t="str">
            <v>NK-2212-CP</v>
          </cell>
        </row>
        <row r="2734">
          <cell r="P2734" t="str">
            <v>320F0022CP1</v>
          </cell>
        </row>
        <row r="2735">
          <cell r="B2735" t="str">
            <v>SZ-B9904BG01</v>
          </cell>
        </row>
        <row r="2735">
          <cell r="P2735" t="str">
            <v>140F0099BG1</v>
          </cell>
        </row>
        <row r="2736">
          <cell r="B2736" t="str">
            <v>WT-9812BGZZ03</v>
          </cell>
        </row>
        <row r="2736">
          <cell r="P2736" t="str">
            <v>320F0098BG1</v>
          </cell>
        </row>
        <row r="2737">
          <cell r="B2737" t="str">
            <v>WT-9804CP</v>
          </cell>
        </row>
        <row r="2737">
          <cell r="P2737" t="str">
            <v>140F0098CP1</v>
          </cell>
        </row>
        <row r="2738">
          <cell r="B2738" t="str">
            <v>WT-9811CP</v>
          </cell>
        </row>
        <row r="2738">
          <cell r="P2738" t="str">
            <v>211F0098CP1</v>
          </cell>
        </row>
        <row r="2739">
          <cell r="B2739" t="str">
            <v>WT-9802CP</v>
          </cell>
        </row>
        <row r="2739">
          <cell r="P2739" t="str">
            <v>120F0098CP1</v>
          </cell>
        </row>
        <row r="2740">
          <cell r="B2740" t="str">
            <v>WT-0010ZZ</v>
          </cell>
        </row>
        <row r="2740">
          <cell r="P2740" t="str">
            <v>230F3007BG4</v>
          </cell>
        </row>
        <row r="2741">
          <cell r="B2741" t="str">
            <v>WT-9808CPZZ</v>
          </cell>
        </row>
        <row r="2741">
          <cell r="P2741" t="str">
            <v>222F0098CP1</v>
          </cell>
        </row>
        <row r="2742">
          <cell r="B2742" t="str">
            <v>WT-9807CP</v>
          </cell>
        </row>
        <row r="2742">
          <cell r="P2742" t="str">
            <v>221F0098CP1</v>
          </cell>
        </row>
        <row r="2743">
          <cell r="B2743" t="str">
            <v>WT-9807BKZZ03</v>
          </cell>
        </row>
        <row r="2743">
          <cell r="P2743" t="str">
            <v>221F0098BK1</v>
          </cell>
        </row>
        <row r="2744">
          <cell r="B2744" t="str">
            <v>WT-9807ORB</v>
          </cell>
        </row>
        <row r="2744">
          <cell r="P2744" t="str">
            <v>221F0098OB1</v>
          </cell>
        </row>
        <row r="2745">
          <cell r="B2745" t="str">
            <v>WT-9809BN</v>
          </cell>
        </row>
        <row r="2745">
          <cell r="P2745" t="str">
            <v>223F0098BN1</v>
          </cell>
        </row>
        <row r="2746">
          <cell r="B2746" t="str">
            <v>WT-ZZ01BN05</v>
          </cell>
        </row>
        <row r="2746">
          <cell r="P2746" t="str">
            <v>390F0001BN1</v>
          </cell>
        </row>
        <row r="2747">
          <cell r="B2747" t="str">
            <v>WT-9812RGBK</v>
          </cell>
        </row>
        <row r="2747">
          <cell r="P2747" t="str">
            <v>320F0098RB1</v>
          </cell>
        </row>
        <row r="2748">
          <cell r="B2748" t="str">
            <v>WT-ZZ01CP07</v>
          </cell>
        </row>
        <row r="2748">
          <cell r="P2748" t="str">
            <v>390F0001CP1</v>
          </cell>
        </row>
        <row r="2749">
          <cell r="B2749" t="str">
            <v>WT-9805BG</v>
          </cell>
        </row>
        <row r="2749">
          <cell r="P2749" t="str">
            <v>150F0098BG1</v>
          </cell>
        </row>
        <row r="2750">
          <cell r="B2750" t="str">
            <v>WT-B830BNZZ03</v>
          </cell>
        </row>
        <row r="2750">
          <cell r="P2750" t="str">
            <v>211F8000BN1</v>
          </cell>
        </row>
        <row r="2751">
          <cell r="B2751" t="str">
            <v>WT-ZZ01BN03</v>
          </cell>
        </row>
        <row r="2751">
          <cell r="P2751" t="str">
            <v>390F0001BN1</v>
          </cell>
        </row>
        <row r="2752">
          <cell r="B2752" t="str">
            <v>WT-9801ORB</v>
          </cell>
        </row>
        <row r="2752">
          <cell r="P2752" t="str">
            <v>110F0098OB1</v>
          </cell>
        </row>
        <row r="2753">
          <cell r="B2753" t="str">
            <v>WT-9805RGBK</v>
          </cell>
        </row>
        <row r="2753">
          <cell r="P2753" t="str">
            <v>150F0098RB1</v>
          </cell>
        </row>
        <row r="2754">
          <cell r="B2754" t="str">
            <v>WT-9801RGBK01</v>
          </cell>
        </row>
        <row r="2754">
          <cell r="P2754" t="str">
            <v>110F0098RB1</v>
          </cell>
        </row>
        <row r="2755">
          <cell r="B2755" t="str">
            <v>WT-0008ZZ</v>
          </cell>
        </row>
        <row r="2755">
          <cell r="P2755" t="str">
            <v>230F3007BN3</v>
          </cell>
        </row>
        <row r="2756">
          <cell r="B2756" t="str">
            <v>WT-9806BKZZ02</v>
          </cell>
        </row>
        <row r="2756">
          <cell r="P2756" t="str">
            <v>230F0098BK1</v>
          </cell>
        </row>
        <row r="2757">
          <cell r="B2757" t="str">
            <v>WT-9801CP</v>
          </cell>
        </row>
        <row r="2757">
          <cell r="P2757" t="str">
            <v>110F0098CP1</v>
          </cell>
        </row>
        <row r="2758">
          <cell r="B2758" t="str">
            <v>WT-9802RGBKZZ02</v>
          </cell>
        </row>
        <row r="2758">
          <cell r="P2758" t="str">
            <v>120F0098RB1</v>
          </cell>
        </row>
        <row r="2759">
          <cell r="B2759" t="str">
            <v>WT-9805CP</v>
          </cell>
        </row>
        <row r="2759">
          <cell r="P2759" t="str">
            <v>150F0098CP1</v>
          </cell>
        </row>
        <row r="2760">
          <cell r="B2760" t="str">
            <v>WT-9809BKZZ</v>
          </cell>
        </row>
        <row r="2760">
          <cell r="P2760" t="str">
            <v>223F0098BK1</v>
          </cell>
        </row>
        <row r="2761">
          <cell r="B2761" t="str">
            <v>WT-9801BK03-ZZ</v>
          </cell>
        </row>
        <row r="2761">
          <cell r="P2761" t="str">
            <v>110F0098BK1</v>
          </cell>
        </row>
        <row r="2762">
          <cell r="B2762" t="str">
            <v>WT-9809ORBZZ</v>
          </cell>
        </row>
        <row r="2762">
          <cell r="P2762" t="str">
            <v>223F0098OB1</v>
          </cell>
        </row>
        <row r="2763">
          <cell r="B2763" t="str">
            <v>WT-9811BGZZ02</v>
          </cell>
        </row>
        <row r="2763">
          <cell r="P2763" t="str">
            <v>211F0098BG1</v>
          </cell>
        </row>
        <row r="2764">
          <cell r="B2764" t="str">
            <v>WT-9805ORB</v>
          </cell>
        </row>
        <row r="2764">
          <cell r="P2764" t="str">
            <v>150F0098OB1</v>
          </cell>
        </row>
        <row r="2765">
          <cell r="B2765" t="str">
            <v>WT-9808RGBKZZ02</v>
          </cell>
        </row>
        <row r="2765">
          <cell r="P2765" t="str">
            <v>222F0098RB1</v>
          </cell>
        </row>
        <row r="2766">
          <cell r="B2766" t="str">
            <v>WT-9805BKZZ00</v>
          </cell>
        </row>
        <row r="2766">
          <cell r="P2766" t="str">
            <v>150F0098BK1</v>
          </cell>
        </row>
        <row r="2767">
          <cell r="B2767" t="str">
            <v>WT-9806RGBK</v>
          </cell>
        </row>
        <row r="2767">
          <cell r="P2767" t="str">
            <v>230F0098RB1</v>
          </cell>
        </row>
        <row r="2768">
          <cell r="B2768" t="str">
            <v>WT-9907BG</v>
          </cell>
        </row>
        <row r="2768">
          <cell r="P2768" t="str">
            <v>221F0099BG1</v>
          </cell>
        </row>
        <row r="2769">
          <cell r="B2769" t="str">
            <v>WT-ZZ01CP13</v>
          </cell>
        </row>
        <row r="2769">
          <cell r="P2769" t="str">
            <v>390F0001CP1</v>
          </cell>
        </row>
        <row r="2770">
          <cell r="B2770" t="str">
            <v>WT-9806ORBZZ02</v>
          </cell>
        </row>
        <row r="2770">
          <cell r="P2770" t="str">
            <v>230F0098OB1</v>
          </cell>
        </row>
        <row r="2771">
          <cell r="B2771" t="str">
            <v>SZ-B9904BG01</v>
          </cell>
        </row>
        <row r="2771">
          <cell r="P2771" t="str">
            <v>140F0099BG1</v>
          </cell>
        </row>
        <row r="2772">
          <cell r="B2772" t="str">
            <v>WT-ZZ01BK03</v>
          </cell>
        </row>
        <row r="2772">
          <cell r="P2772" t="str">
            <v>390F0001BK1</v>
          </cell>
        </row>
        <row r="2773">
          <cell r="B2773" t="str">
            <v>WT-ZZ01CP14</v>
          </cell>
        </row>
        <row r="2773">
          <cell r="P2773" t="str">
            <v>390F0001CP1</v>
          </cell>
        </row>
        <row r="2774">
          <cell r="B2774" t="str">
            <v>WT-9802ORB</v>
          </cell>
        </row>
        <row r="2774">
          <cell r="P2774" t="str">
            <v>120F0098OB1</v>
          </cell>
        </row>
        <row r="2775">
          <cell r="B2775" t="str">
            <v>WT-ZZ01CP04</v>
          </cell>
        </row>
        <row r="2775">
          <cell r="P2775" t="str">
            <v>390F0001CP1</v>
          </cell>
        </row>
        <row r="2776">
          <cell r="B2776" t="str">
            <v>WT-9907CP</v>
          </cell>
        </row>
        <row r="2776">
          <cell r="P2776" t="str">
            <v>221F0099CP1</v>
          </cell>
        </row>
        <row r="2777">
          <cell r="B2777" t="str">
            <v>WT-9804BG</v>
          </cell>
        </row>
        <row r="2777">
          <cell r="P2777" t="str">
            <v>140F0098BG1</v>
          </cell>
        </row>
        <row r="2778">
          <cell r="B2778" t="str">
            <v>WT-ZZ01CP02</v>
          </cell>
        </row>
        <row r="2778">
          <cell r="P2778" t="str">
            <v>390F0001CP1</v>
          </cell>
        </row>
        <row r="2779">
          <cell r="B2779" t="str">
            <v>WT-ZZ01CP11</v>
          </cell>
        </row>
        <row r="2779">
          <cell r="P2779" t="str">
            <v>390F0001CP1</v>
          </cell>
        </row>
        <row r="2780">
          <cell r="B2780" t="str">
            <v>WT-ZZ01CP07</v>
          </cell>
        </row>
        <row r="2780">
          <cell r="P2780" t="str">
            <v>390F0001CP1</v>
          </cell>
        </row>
        <row r="2781">
          <cell r="B2781" t="str">
            <v>WT-9807BGZZ</v>
          </cell>
        </row>
        <row r="2781">
          <cell r="P2781" t="str">
            <v>221F0098BG1</v>
          </cell>
        </row>
        <row r="2782">
          <cell r="B2782" t="str">
            <v>WT-9809BGZZ</v>
          </cell>
        </row>
        <row r="2782">
          <cell r="P2782" t="str">
            <v>223F0098BG1</v>
          </cell>
        </row>
        <row r="2783">
          <cell r="B2783" t="str">
            <v>WT-9807BKZZ06</v>
          </cell>
        </row>
        <row r="2783">
          <cell r="P2783" t="str">
            <v>221F0098BK1</v>
          </cell>
        </row>
        <row r="2784">
          <cell r="B2784" t="str">
            <v>WT-9801RGBK01</v>
          </cell>
        </row>
        <row r="2784">
          <cell r="P2784" t="str">
            <v>110F0098RB1</v>
          </cell>
        </row>
        <row r="2785">
          <cell r="B2785" t="str">
            <v>WT-ZZ01CP06</v>
          </cell>
        </row>
        <row r="2785">
          <cell r="P2785" t="str">
            <v>390F0001CP1</v>
          </cell>
        </row>
        <row r="2786">
          <cell r="B2786" t="str">
            <v>WT-ZZ01CP12</v>
          </cell>
        </row>
        <row r="2786">
          <cell r="P2786" t="str">
            <v>390F0001CP1</v>
          </cell>
        </row>
        <row r="2787">
          <cell r="B2787" t="str">
            <v>WT-9807BK</v>
          </cell>
        </row>
        <row r="2787">
          <cell r="P2787" t="str">
            <v>221F0098BK1</v>
          </cell>
        </row>
        <row r="2788">
          <cell r="B2788" t="str">
            <v>WT-ZZ01CP08</v>
          </cell>
        </row>
        <row r="2788">
          <cell r="P2788" t="str">
            <v>390F0001CP1</v>
          </cell>
        </row>
        <row r="2789">
          <cell r="B2789" t="str">
            <v>WT-9907BN</v>
          </cell>
        </row>
        <row r="2789">
          <cell r="P2789" t="str">
            <v>221F0099BN1</v>
          </cell>
        </row>
        <row r="2790">
          <cell r="B2790" t="str">
            <v>WT-ZZ01BK02</v>
          </cell>
        </row>
        <row r="2790">
          <cell r="P2790" t="str">
            <v>390F0001BK1</v>
          </cell>
        </row>
        <row r="2791">
          <cell r="B2791" t="str">
            <v>WT-9804ORB</v>
          </cell>
        </row>
        <row r="2791">
          <cell r="P2791" t="str">
            <v>140F0098OB1</v>
          </cell>
        </row>
        <row r="2792">
          <cell r="B2792" t="str">
            <v>WT-9805BKZZ04</v>
          </cell>
        </row>
        <row r="2792">
          <cell r="P2792" t="str">
            <v>150F0098BK1</v>
          </cell>
        </row>
        <row r="2793">
          <cell r="B2793" t="str">
            <v>WT-9809BNZZ02</v>
          </cell>
        </row>
        <row r="2793">
          <cell r="P2793" t="str">
            <v>223F0098BN1</v>
          </cell>
        </row>
        <row r="2794">
          <cell r="B2794" t="str">
            <v>WT-9805BKZZ02</v>
          </cell>
        </row>
        <row r="2794">
          <cell r="P2794" t="str">
            <v>150F0098BK1</v>
          </cell>
        </row>
        <row r="2795">
          <cell r="B2795" t="str">
            <v>WT-9807CPZZ</v>
          </cell>
        </row>
        <row r="2795">
          <cell r="P2795" t="str">
            <v>221F0098CP1</v>
          </cell>
        </row>
        <row r="2796">
          <cell r="B2796" t="str">
            <v>WT-ZZ01BN02</v>
          </cell>
        </row>
        <row r="2796">
          <cell r="P2796" t="str">
            <v>390F0001BN1</v>
          </cell>
        </row>
        <row r="2797">
          <cell r="B2797" t="str">
            <v>WT-ZZ01BK04</v>
          </cell>
        </row>
        <row r="2797">
          <cell r="P2797" t="str">
            <v>390F0001BK1</v>
          </cell>
        </row>
        <row r="2798">
          <cell r="B2798" t="str">
            <v>WT-9805BKZZ03</v>
          </cell>
        </row>
        <row r="2798">
          <cell r="P2798" t="str">
            <v>150F0098BK1</v>
          </cell>
        </row>
        <row r="2799">
          <cell r="B2799" t="str">
            <v>WT-9907BK</v>
          </cell>
        </row>
        <row r="2799">
          <cell r="P2799" t="str">
            <v>221F0099BK1</v>
          </cell>
        </row>
        <row r="2800">
          <cell r="B2800" t="str">
            <v>WT-9808RGBK</v>
          </cell>
        </row>
        <row r="2800">
          <cell r="P2800" t="str">
            <v>222F0098RB1</v>
          </cell>
        </row>
        <row r="2801">
          <cell r="B2801" t="str">
            <v>WT-9805BN</v>
          </cell>
        </row>
        <row r="2801">
          <cell r="P2801" t="str">
            <v>150F0098BN1</v>
          </cell>
        </row>
        <row r="2802">
          <cell r="B2802" t="str">
            <v>WT-9802BKZZ02</v>
          </cell>
        </row>
        <row r="2802">
          <cell r="P2802" t="str">
            <v>120F0098BK1</v>
          </cell>
        </row>
        <row r="2803">
          <cell r="B2803" t="str">
            <v>WT-9802BGZZ02</v>
          </cell>
        </row>
        <row r="2803">
          <cell r="P2803" t="str">
            <v>120F0098BG1</v>
          </cell>
        </row>
        <row r="2804">
          <cell r="B2804" t="str">
            <v>WT-9807ORBZZ02</v>
          </cell>
        </row>
        <row r="2804">
          <cell r="P2804" t="str">
            <v>221F0098OB1</v>
          </cell>
        </row>
        <row r="2805">
          <cell r="B2805" t="str">
            <v>WT-1005-BKZZ</v>
          </cell>
        </row>
        <row r="2805">
          <cell r="P2805" t="str">
            <v>211F1005BK2</v>
          </cell>
        </row>
        <row r="2806">
          <cell r="B2806" t="str">
            <v>WT-9801BN</v>
          </cell>
        </row>
        <row r="2806">
          <cell r="P2806" t="str">
            <v>110F0098BN1</v>
          </cell>
        </row>
        <row r="2807">
          <cell r="B2807" t="str">
            <v>WT-9807BNZZ03</v>
          </cell>
        </row>
        <row r="2807">
          <cell r="P2807" t="str">
            <v>221F0098BN1</v>
          </cell>
        </row>
        <row r="2808">
          <cell r="B2808" t="str">
            <v>WT-9808BGZZ</v>
          </cell>
        </row>
        <row r="2808">
          <cell r="P2808" t="str">
            <v>222F0098BG1</v>
          </cell>
        </row>
        <row r="2809">
          <cell r="B2809" t="str">
            <v>WT-9807BKZZ06</v>
          </cell>
        </row>
        <row r="2809">
          <cell r="P2809" t="str">
            <v>221F0098BK1</v>
          </cell>
        </row>
        <row r="2810">
          <cell r="B2810" t="str">
            <v>WT-9807BNZZ</v>
          </cell>
        </row>
        <row r="2810">
          <cell r="P2810" t="str">
            <v>221F0098BN1</v>
          </cell>
        </row>
        <row r="2811">
          <cell r="B2811" t="str">
            <v>WT-9002CPZZ</v>
          </cell>
        </row>
        <row r="2811">
          <cell r="P2811" t="str">
            <v>211F9002CP1</v>
          </cell>
        </row>
        <row r="2812">
          <cell r="B2812" t="str">
            <v>WT-9808ORBZZ</v>
          </cell>
        </row>
        <row r="2812">
          <cell r="P2812" t="str">
            <v>222F0098OB1</v>
          </cell>
        </row>
        <row r="2813">
          <cell r="B2813" t="str">
            <v>WT-9802RGBK</v>
          </cell>
        </row>
        <row r="2813">
          <cell r="P2813" t="str">
            <v>120F0098RB1</v>
          </cell>
        </row>
        <row r="2814">
          <cell r="B2814" t="str">
            <v>WT-ZZ01CP14</v>
          </cell>
        </row>
        <row r="2814">
          <cell r="P2814" t="str">
            <v>390F0001CP1</v>
          </cell>
        </row>
        <row r="2815">
          <cell r="B2815" t="str">
            <v>WT-9002CPZZ02</v>
          </cell>
        </row>
        <row r="2815">
          <cell r="P2815" t="str">
            <v>211F9002CP1</v>
          </cell>
        </row>
        <row r="2816">
          <cell r="B2816" t="str">
            <v>WT-9802BGZZ00</v>
          </cell>
        </row>
        <row r="2816">
          <cell r="P2816" t="str">
            <v>120F0098BG1</v>
          </cell>
        </row>
        <row r="2817">
          <cell r="B2817" t="str">
            <v>WT-ZZ01CP10</v>
          </cell>
        </row>
        <row r="2817">
          <cell r="P2817" t="str">
            <v>390F0001CP1</v>
          </cell>
        </row>
        <row r="2818">
          <cell r="B2818" t="str">
            <v>WT-B830BNZZ07</v>
          </cell>
        </row>
        <row r="2818">
          <cell r="P2818" t="str">
            <v>211F8000BN1</v>
          </cell>
        </row>
        <row r="2819">
          <cell r="B2819" t="str">
            <v>SZ-B9904BG02-zz</v>
          </cell>
        </row>
        <row r="2819">
          <cell r="P2819" t="str">
            <v>140F0099BG1</v>
          </cell>
        </row>
        <row r="2820">
          <cell r="B2820" t="str">
            <v>WT-9809BKZZ02</v>
          </cell>
        </row>
        <row r="2820">
          <cell r="P2820" t="str">
            <v>223F0098BK1</v>
          </cell>
        </row>
        <row r="2821">
          <cell r="B2821" t="str">
            <v>WT-9807ORBZZ</v>
          </cell>
        </row>
        <row r="2821">
          <cell r="P2821" t="str">
            <v>221F0098OB1</v>
          </cell>
        </row>
        <row r="2822">
          <cell r="B2822" t="str">
            <v>WT-9802BG</v>
          </cell>
        </row>
        <row r="2822">
          <cell r="P2822" t="str">
            <v>120F0098BG1</v>
          </cell>
        </row>
        <row r="2823">
          <cell r="B2823" t="str">
            <v>WT-ZZ01CP08</v>
          </cell>
        </row>
        <row r="2823">
          <cell r="P2823" t="str">
            <v>390F0001CP1</v>
          </cell>
        </row>
        <row r="2824">
          <cell r="B2824" t="str">
            <v>WT-9809BKZZ</v>
          </cell>
        </row>
        <row r="2824">
          <cell r="P2824" t="str">
            <v>223F0098BK1</v>
          </cell>
        </row>
        <row r="2825">
          <cell r="B2825" t="str">
            <v>WT-9804BK</v>
          </cell>
        </row>
        <row r="2825">
          <cell r="P2825" t="str">
            <v>140F0098BK1</v>
          </cell>
        </row>
        <row r="2826">
          <cell r="B2826" t="str">
            <v>WT-9811ORB</v>
          </cell>
        </row>
        <row r="2826">
          <cell r="P2826" t="str">
            <v>211F0098OB1</v>
          </cell>
        </row>
        <row r="2827">
          <cell r="B2827" t="str">
            <v>WT-9804BK-ZZ</v>
          </cell>
        </row>
        <row r="2827">
          <cell r="P2827" t="str">
            <v>140F0098BK1</v>
          </cell>
        </row>
        <row r="2828">
          <cell r="B2828" t="str">
            <v>WT-9804RGBK</v>
          </cell>
        </row>
        <row r="2828">
          <cell r="P2828" t="str">
            <v>140F0098RB1</v>
          </cell>
        </row>
        <row r="2829">
          <cell r="B2829" t="str">
            <v>WT-9807BKZZ02</v>
          </cell>
        </row>
        <row r="2829">
          <cell r="P2829" t="str">
            <v>221F0098BK1</v>
          </cell>
        </row>
        <row r="2830">
          <cell r="B2830" t="str">
            <v>WT-9812RGBKZZ</v>
          </cell>
        </row>
        <row r="2830">
          <cell r="P2830" t="str">
            <v>320F0098RB1</v>
          </cell>
        </row>
        <row r="2831">
          <cell r="B2831" t="str">
            <v>WT-9809CPZZ</v>
          </cell>
        </row>
        <row r="2831">
          <cell r="P2831" t="str">
            <v>223F0098CP1</v>
          </cell>
        </row>
        <row r="2832">
          <cell r="B2832" t="str">
            <v>WT-9802RGBK</v>
          </cell>
        </row>
        <row r="2832">
          <cell r="P2832" t="str">
            <v>120F0098RB1</v>
          </cell>
        </row>
        <row r="2833">
          <cell r="B2833" t="str">
            <v>WT-9801BK01</v>
          </cell>
        </row>
        <row r="2833">
          <cell r="P2833" t="str">
            <v>110F0098BK1</v>
          </cell>
        </row>
        <row r="2834">
          <cell r="B2834" t="str">
            <v>WT-9808BG</v>
          </cell>
        </row>
        <row r="2834">
          <cell r="P2834" t="str">
            <v>222F0098BG1</v>
          </cell>
        </row>
        <row r="2835">
          <cell r="B2835" t="str">
            <v>WT-9809ORB</v>
          </cell>
        </row>
        <row r="2835">
          <cell r="P2835" t="str">
            <v>223F0098OB1</v>
          </cell>
        </row>
        <row r="2836">
          <cell r="B2836" t="str">
            <v>WT-ZZ01BN04</v>
          </cell>
        </row>
        <row r="2836">
          <cell r="P2836" t="str">
            <v>390F0001BN1</v>
          </cell>
        </row>
        <row r="2837">
          <cell r="B2837" t="str">
            <v>WT-9811BGZZ</v>
          </cell>
        </row>
        <row r="2837">
          <cell r="P2837" t="str">
            <v>211F0098BG1</v>
          </cell>
        </row>
        <row r="2838">
          <cell r="B2838" t="str">
            <v>WT-ZZ01BN05</v>
          </cell>
        </row>
        <row r="2838">
          <cell r="P2838" t="str">
            <v>390F0001BN1</v>
          </cell>
        </row>
        <row r="2839">
          <cell r="B2839" t="str">
            <v>WT-ZZ01BK05</v>
          </cell>
        </row>
        <row r="2839">
          <cell r="P2839" t="str">
            <v>390F0001BK1</v>
          </cell>
        </row>
        <row r="2840">
          <cell r="B2840" t="str">
            <v>WT-9804BK</v>
          </cell>
        </row>
        <row r="2840">
          <cell r="P2840" t="str">
            <v>140F0098BK1</v>
          </cell>
        </row>
        <row r="2841">
          <cell r="B2841" t="str">
            <v>WT-ZZ01CP05</v>
          </cell>
        </row>
        <row r="2841">
          <cell r="P2841" t="str">
            <v>390F0001CP1</v>
          </cell>
        </row>
        <row r="2842">
          <cell r="B2842" t="str">
            <v>WT-9808BNZZ02</v>
          </cell>
        </row>
        <row r="2842">
          <cell r="P2842" t="str">
            <v>222F0098BN1</v>
          </cell>
        </row>
        <row r="2843">
          <cell r="B2843" t="str">
            <v>WT-9002BKZZ02</v>
          </cell>
        </row>
        <row r="2843">
          <cell r="P2843" t="str">
            <v>211F9002BK2</v>
          </cell>
        </row>
        <row r="2844">
          <cell r="B2844" t="str">
            <v>WT-9002ORBZZ</v>
          </cell>
        </row>
        <row r="2844">
          <cell r="P2844" t="str">
            <v>211F9002OB1</v>
          </cell>
        </row>
        <row r="2845">
          <cell r="B2845" t="str">
            <v>WT-9808CPZZ02</v>
          </cell>
        </row>
        <row r="2845">
          <cell r="P2845" t="str">
            <v>222F0098CP1</v>
          </cell>
        </row>
        <row r="2846">
          <cell r="B2846" t="str">
            <v>WT-B830BNZZ04</v>
          </cell>
        </row>
        <row r="2846">
          <cell r="P2846" t="str">
            <v>211F8000BN1</v>
          </cell>
        </row>
        <row r="2847">
          <cell r="B2847" t="str">
            <v>WT-9801BK01</v>
          </cell>
        </row>
        <row r="2847">
          <cell r="P2847" t="str">
            <v>110F0098BK1</v>
          </cell>
        </row>
        <row r="2848">
          <cell r="B2848" t="str">
            <v>WT-9807BNZZ03</v>
          </cell>
        </row>
        <row r="2848">
          <cell r="P2848" t="str">
            <v>221F0098BN1</v>
          </cell>
        </row>
        <row r="2849">
          <cell r="B2849" t="str">
            <v>WT-9808BNZZ02</v>
          </cell>
        </row>
        <row r="2849">
          <cell r="P2849" t="str">
            <v>222F0098BN1</v>
          </cell>
        </row>
        <row r="2850">
          <cell r="B2850" t="str">
            <v>WT-9002BGZZ02</v>
          </cell>
        </row>
        <row r="2850">
          <cell r="P2850" t="str">
            <v>211F9002BG1</v>
          </cell>
        </row>
        <row r="2851">
          <cell r="B2851" t="str">
            <v>WT-9809BKZZ02</v>
          </cell>
        </row>
        <row r="2851">
          <cell r="P2851" t="str">
            <v>223F0098BK1</v>
          </cell>
        </row>
        <row r="2852">
          <cell r="B2852" t="str">
            <v>WT-9807ORB02</v>
          </cell>
        </row>
        <row r="2852">
          <cell r="P2852" t="str">
            <v>221F0098OB1</v>
          </cell>
        </row>
        <row r="2853">
          <cell r="B2853" t="str">
            <v>WT-B830BNZZ03</v>
          </cell>
        </row>
        <row r="2853">
          <cell r="P2853" t="str">
            <v>211F8000BN1</v>
          </cell>
        </row>
        <row r="2854">
          <cell r="B2854" t="str">
            <v>WT-9802RGBKZZ</v>
          </cell>
        </row>
        <row r="2854">
          <cell r="P2854" t="str">
            <v>120F0098RB1</v>
          </cell>
        </row>
        <row r="2855">
          <cell r="B2855" t="str">
            <v>WT-ZZ01BN04</v>
          </cell>
        </row>
        <row r="2855">
          <cell r="P2855" t="str">
            <v>390F0001BN1</v>
          </cell>
        </row>
        <row r="2856">
          <cell r="B2856" t="str">
            <v>WT-9809RGBKZZ02</v>
          </cell>
        </row>
        <row r="2856">
          <cell r="P2856" t="str">
            <v>223F0098RB1</v>
          </cell>
        </row>
        <row r="2857">
          <cell r="B2857" t="str">
            <v>WT-9807BGZZ</v>
          </cell>
        </row>
        <row r="2857">
          <cell r="P2857" t="str">
            <v>221F0098BG1</v>
          </cell>
        </row>
        <row r="2858">
          <cell r="B2858" t="str">
            <v>WT-9807BKZZ</v>
          </cell>
        </row>
        <row r="2858">
          <cell r="P2858" t="str">
            <v>221F0098BK1</v>
          </cell>
        </row>
        <row r="2859">
          <cell r="B2859" t="str">
            <v>WT-9801BK01</v>
          </cell>
        </row>
        <row r="2859">
          <cell r="P2859" t="str">
            <v>110F0098BK1</v>
          </cell>
        </row>
        <row r="2860">
          <cell r="B2860" t="str">
            <v>WT-9808BNZZ</v>
          </cell>
        </row>
        <row r="2860">
          <cell r="P2860" t="str">
            <v>222F0098BN1</v>
          </cell>
        </row>
        <row r="2861">
          <cell r="B2861" t="str">
            <v>WT-9808BKZZ</v>
          </cell>
        </row>
        <row r="2861">
          <cell r="P2861" t="str">
            <v>222F0098BK1</v>
          </cell>
        </row>
        <row r="2862">
          <cell r="B2862" t="str">
            <v>WT-0007ZZ</v>
          </cell>
        </row>
        <row r="2863">
          <cell r="B2863" t="str">
            <v>CR-NOCP-Z21P</v>
          </cell>
        </row>
        <row r="2863">
          <cell r="P2863" t="str">
            <v>211F8000BG1</v>
          </cell>
        </row>
        <row r="2864">
          <cell r="B2864" t="str">
            <v>WT-9806BNZZ02</v>
          </cell>
        </row>
        <row r="2864">
          <cell r="P2864" t="str">
            <v>230F0098BN1</v>
          </cell>
        </row>
        <row r="2865">
          <cell r="B2865" t="str">
            <v>WT-ZZ01CP09</v>
          </cell>
        </row>
        <row r="2865">
          <cell r="P2865" t="str">
            <v>390F0001CP1</v>
          </cell>
        </row>
        <row r="2866">
          <cell r="B2866" t="str">
            <v>WT-9802BGZZ00</v>
          </cell>
        </row>
        <row r="2866">
          <cell r="P2866" t="str">
            <v>120F0098BG1</v>
          </cell>
        </row>
        <row r="2867">
          <cell r="B2867" t="str">
            <v>WT-1007-ORBZZ</v>
          </cell>
        </row>
        <row r="2867">
          <cell r="P2867" t="str">
            <v>211F1007OB1</v>
          </cell>
        </row>
        <row r="2868">
          <cell r="B2868" t="str">
            <v>M3-QVQ8-BKW4</v>
          </cell>
        </row>
        <row r="2868">
          <cell r="P2868" t="str">
            <v>211F8000BK2</v>
          </cell>
        </row>
        <row r="2869">
          <cell r="B2869" t="str">
            <v>WT-9802BKZZ00</v>
          </cell>
        </row>
        <row r="2869">
          <cell r="P2869" t="str">
            <v>120F0098BK1</v>
          </cell>
        </row>
        <row r="2870">
          <cell r="B2870" t="str">
            <v>WT-9802BK</v>
          </cell>
        </row>
        <row r="2870">
          <cell r="P2870" t="str">
            <v>120F0098BK1</v>
          </cell>
        </row>
        <row r="2871">
          <cell r="B2871" t="str">
            <v>SZ-B9904BG02-zz</v>
          </cell>
        </row>
        <row r="2871">
          <cell r="P2871" t="str">
            <v>140F0099BG1</v>
          </cell>
        </row>
        <row r="2872">
          <cell r="B2872" t="str">
            <v>WT-9811BG</v>
          </cell>
        </row>
        <row r="2872">
          <cell r="P2872" t="str">
            <v>211F0098BG1</v>
          </cell>
        </row>
        <row r="2873">
          <cell r="B2873" t="str">
            <v>WT-9811RGBK</v>
          </cell>
        </row>
        <row r="2873">
          <cell r="P2873" t="str">
            <v>211F0098RB1</v>
          </cell>
        </row>
        <row r="2874">
          <cell r="B2874" t="str">
            <v>CR-NOCP-Z21P</v>
          </cell>
        </row>
        <row r="2874">
          <cell r="P2874" t="str">
            <v>211F8000BG1</v>
          </cell>
        </row>
        <row r="2875">
          <cell r="B2875" t="str">
            <v>WT-1005-CPZZ</v>
          </cell>
        </row>
        <row r="2875">
          <cell r="P2875" t="str">
            <v>211F1005CP1</v>
          </cell>
        </row>
        <row r="2876">
          <cell r="B2876" t="str">
            <v>WT-9807ORBZZ</v>
          </cell>
        </row>
        <row r="2876">
          <cell r="P2876" t="str">
            <v>221F0098OB1</v>
          </cell>
        </row>
        <row r="2877">
          <cell r="B2877" t="str">
            <v>WT-9812CPZZ</v>
          </cell>
        </row>
        <row r="2877">
          <cell r="P2877" t="str">
            <v>320F0098CP1</v>
          </cell>
        </row>
        <row r="2878">
          <cell r="B2878" t="str">
            <v>WT-ZZ01BK03</v>
          </cell>
        </row>
        <row r="2878">
          <cell r="P2878" t="str">
            <v>390F0001BK1</v>
          </cell>
        </row>
        <row r="2879">
          <cell r="B2879" t="str">
            <v>WT-9907BN</v>
          </cell>
        </row>
        <row r="2879">
          <cell r="P2879" t="str">
            <v>221F0099BN1</v>
          </cell>
        </row>
        <row r="2880">
          <cell r="B2880" t="str">
            <v>WT-9805BK</v>
          </cell>
        </row>
        <row r="2880">
          <cell r="P2880" t="str">
            <v>150F0098BK1</v>
          </cell>
        </row>
        <row r="2881">
          <cell r="B2881" t="str">
            <v>WT-B830BNZZ02</v>
          </cell>
        </row>
        <row r="2881">
          <cell r="P2881" t="str">
            <v>211F8000BN1</v>
          </cell>
        </row>
        <row r="2882">
          <cell r="B2882" t="str">
            <v>AX-1FZA-UKWS</v>
          </cell>
        </row>
        <row r="2882">
          <cell r="P2882" t="str">
            <v>211F8000CP1</v>
          </cell>
        </row>
        <row r="2883">
          <cell r="B2883" t="str">
            <v>WT-9812BKZZ</v>
          </cell>
        </row>
        <row r="2883">
          <cell r="P2883" t="str">
            <v>320F0098BK1</v>
          </cell>
        </row>
        <row r="2884">
          <cell r="B2884" t="str">
            <v>WT-9809CPZZ</v>
          </cell>
        </row>
        <row r="2884">
          <cell r="P2884" t="str">
            <v>223F0098CP1</v>
          </cell>
        </row>
        <row r="2885">
          <cell r="B2885" t="str">
            <v>WT-ZZ01CP06</v>
          </cell>
        </row>
        <row r="2885">
          <cell r="P2885" t="str">
            <v>390F0001CP1</v>
          </cell>
        </row>
        <row r="2886">
          <cell r="B2886" t="str">
            <v>SZ-B9904BG02-zz</v>
          </cell>
        </row>
        <row r="2886">
          <cell r="P2886" t="str">
            <v>140F0099BG1</v>
          </cell>
        </row>
        <row r="2887">
          <cell r="B2887" t="str">
            <v>WT-9811BKZZ02</v>
          </cell>
        </row>
        <row r="2887">
          <cell r="P2887" t="str">
            <v>211F0098BK2</v>
          </cell>
        </row>
        <row r="2888">
          <cell r="B2888" t="str">
            <v>WT-9811CPZZ</v>
          </cell>
        </row>
        <row r="2888">
          <cell r="P2888" t="str">
            <v>211F0098CP1</v>
          </cell>
        </row>
        <row r="2889">
          <cell r="B2889" t="str">
            <v>WT-9809BGZZ</v>
          </cell>
        </row>
        <row r="2889">
          <cell r="P2889" t="str">
            <v>223F0098BG1</v>
          </cell>
        </row>
        <row r="2890">
          <cell r="B2890" t="str">
            <v>WT-9805CP</v>
          </cell>
        </row>
        <row r="2890">
          <cell r="P2890" t="str">
            <v>150F0098CP1</v>
          </cell>
        </row>
        <row r="2891">
          <cell r="B2891" t="str">
            <v>WT-9804ORB</v>
          </cell>
        </row>
        <row r="2891">
          <cell r="P2891" t="str">
            <v>140F0098OB1</v>
          </cell>
        </row>
        <row r="2892">
          <cell r="B2892" t="str">
            <v>WT-ZZ01CP03</v>
          </cell>
        </row>
        <row r="2892">
          <cell r="P2892" t="str">
            <v>390F0001CP1</v>
          </cell>
        </row>
        <row r="2893">
          <cell r="B2893" t="str">
            <v>WT-9801RGBK01</v>
          </cell>
        </row>
        <row r="2893">
          <cell r="P2893" t="str">
            <v>110F0098RB1</v>
          </cell>
        </row>
        <row r="2894">
          <cell r="B2894" t="str">
            <v>WT-9002BNZZ02</v>
          </cell>
        </row>
        <row r="2894">
          <cell r="P2894" t="str">
            <v>211F9002BN2</v>
          </cell>
        </row>
        <row r="2895">
          <cell r="B2895" t="str">
            <v>WT-B830BNZZ</v>
          </cell>
        </row>
        <row r="2895">
          <cell r="P2895" t="str">
            <v>211F8000BN1</v>
          </cell>
        </row>
        <row r="2896">
          <cell r="B2896" t="str">
            <v>WT-B830BNZZ06</v>
          </cell>
        </row>
        <row r="2896">
          <cell r="P2896" t="str">
            <v>211F8000BN1</v>
          </cell>
        </row>
        <row r="2897">
          <cell r="B2897" t="str">
            <v>WT-9804BG</v>
          </cell>
        </row>
        <row r="2897">
          <cell r="P2897" t="str">
            <v>140F0098BG1</v>
          </cell>
        </row>
        <row r="2898">
          <cell r="B2898" t="str">
            <v>WT-9809BN</v>
          </cell>
        </row>
        <row r="2898">
          <cell r="P2898" t="str">
            <v>223F0098BN1</v>
          </cell>
        </row>
        <row r="2899">
          <cell r="B2899" t="str">
            <v>WT-9802CPZZ</v>
          </cell>
        </row>
        <row r="2899">
          <cell r="P2899" t="str">
            <v>120F0098CP1</v>
          </cell>
        </row>
        <row r="2900">
          <cell r="B2900" t="str">
            <v>WT-9812RGBK</v>
          </cell>
        </row>
        <row r="2900">
          <cell r="P2900" t="str">
            <v>320F0098RB1</v>
          </cell>
        </row>
        <row r="2901">
          <cell r="B2901" t="str">
            <v>WT-9806CPZZ02</v>
          </cell>
        </row>
        <row r="2901">
          <cell r="P2901" t="str">
            <v>230F0098CP1</v>
          </cell>
        </row>
        <row r="2902">
          <cell r="B2902" t="str">
            <v>WT-9807CPZZ</v>
          </cell>
        </row>
        <row r="2902">
          <cell r="P2902" t="str">
            <v>221F0098CP1</v>
          </cell>
        </row>
        <row r="2903">
          <cell r="B2903" t="str">
            <v>M3-QVQ8-BKW4</v>
          </cell>
        </row>
        <row r="2903">
          <cell r="P2903" t="str">
            <v>211F8000BK2</v>
          </cell>
        </row>
        <row r="2904">
          <cell r="B2904" t="str">
            <v>WT-9002BKZZ</v>
          </cell>
        </row>
        <row r="2904">
          <cell r="P2904" t="str">
            <v>211F9002BK2</v>
          </cell>
        </row>
        <row r="2905">
          <cell r="B2905" t="str">
            <v>WT-9807BKZZ05</v>
          </cell>
        </row>
        <row r="2905">
          <cell r="P2905" t="str">
            <v>221F0098BK1</v>
          </cell>
        </row>
        <row r="2906">
          <cell r="B2906" t="str">
            <v>WT-9805CP</v>
          </cell>
        </row>
        <row r="2906">
          <cell r="P2906" t="str">
            <v>150F0098CP1</v>
          </cell>
        </row>
        <row r="2907">
          <cell r="B2907" t="str">
            <v>WT-9807BKZZ05</v>
          </cell>
        </row>
        <row r="2907">
          <cell r="P2907" t="str">
            <v>221F0098BK1</v>
          </cell>
        </row>
        <row r="2908">
          <cell r="B2908" t="str">
            <v>WT-9805RGBK</v>
          </cell>
        </row>
        <row r="2908">
          <cell r="P2908" t="str">
            <v>150F0098RB1</v>
          </cell>
        </row>
        <row r="2909">
          <cell r="B2909" t="str">
            <v>WT-9802RGBK</v>
          </cell>
        </row>
        <row r="2909">
          <cell r="P2909" t="str">
            <v>120F0098RB1</v>
          </cell>
        </row>
        <row r="2910">
          <cell r="B2910" t="str">
            <v>WT-9801ORB</v>
          </cell>
        </row>
        <row r="2910">
          <cell r="P2910" t="str">
            <v>110F0098OB1</v>
          </cell>
        </row>
        <row r="2911">
          <cell r="B2911" t="str">
            <v>WT-1005-ORBZZ</v>
          </cell>
        </row>
        <row r="2911">
          <cell r="P2911" t="str">
            <v>211F1005OB1</v>
          </cell>
        </row>
        <row r="2912">
          <cell r="B2912" t="str">
            <v>WT-9802BNZZ02</v>
          </cell>
        </row>
        <row r="2912">
          <cell r="P2912" t="str">
            <v>120F0098BN1</v>
          </cell>
        </row>
        <row r="2913">
          <cell r="B2913" t="str">
            <v>WT-9807BNZZ02</v>
          </cell>
        </row>
        <row r="2913">
          <cell r="P2913" t="str">
            <v>221F0098BN1</v>
          </cell>
        </row>
        <row r="2914">
          <cell r="B2914" t="str">
            <v>WT-9811BK</v>
          </cell>
        </row>
        <row r="2914">
          <cell r="P2914" t="str">
            <v>211F0098BK2</v>
          </cell>
        </row>
        <row r="2915">
          <cell r="B2915" t="str">
            <v>WT-ZZ01CP11</v>
          </cell>
        </row>
        <row r="2915">
          <cell r="P2915" t="str">
            <v>390F0001CP1</v>
          </cell>
        </row>
        <row r="2916">
          <cell r="B2916" t="str">
            <v>WT-9805BKZZ02</v>
          </cell>
        </row>
        <row r="2916">
          <cell r="P2916" t="str">
            <v>150F0098BK1</v>
          </cell>
        </row>
        <row r="2917">
          <cell r="B2917" t="str">
            <v>WT-9811ORBZZ</v>
          </cell>
        </row>
        <row r="2917">
          <cell r="P2917" t="str">
            <v>211F0098OB1</v>
          </cell>
        </row>
        <row r="2918">
          <cell r="B2918" t="str">
            <v>WT-9806RGBKZZ02</v>
          </cell>
        </row>
        <row r="2918">
          <cell r="P2918" t="str">
            <v>230F0098RB1</v>
          </cell>
        </row>
        <row r="2919">
          <cell r="B2919" t="str">
            <v>WT-9807BKZZ02</v>
          </cell>
        </row>
        <row r="2919">
          <cell r="P2919" t="str">
            <v>221F0098BK1</v>
          </cell>
        </row>
        <row r="2920">
          <cell r="B2920" t="str">
            <v>WT-9807BKZZ04</v>
          </cell>
        </row>
        <row r="2920">
          <cell r="P2920" t="str">
            <v>221F0098BK1</v>
          </cell>
        </row>
        <row r="2921">
          <cell r="B2921" t="str">
            <v>WT-9802BKZZ00</v>
          </cell>
        </row>
        <row r="2921">
          <cell r="P2921" t="str">
            <v>120F0098BK1</v>
          </cell>
        </row>
        <row r="2922">
          <cell r="B2922" t="str">
            <v>WT-ZZ01CP09</v>
          </cell>
        </row>
        <row r="2922">
          <cell r="P2922" t="str">
            <v>390F0001CP1</v>
          </cell>
        </row>
        <row r="2923">
          <cell r="B2923" t="str">
            <v>WT-9802BGZZ02</v>
          </cell>
        </row>
        <row r="2923">
          <cell r="P2923" t="str">
            <v>120F0098BG1</v>
          </cell>
        </row>
        <row r="2924">
          <cell r="B2924" t="str">
            <v>WT-B830BNZZ05</v>
          </cell>
        </row>
        <row r="2924">
          <cell r="P2924" t="str">
            <v>211F8000BN1</v>
          </cell>
        </row>
        <row r="2925">
          <cell r="B2925" t="str">
            <v>WT-0005ZZ</v>
          </cell>
        </row>
        <row r="2926">
          <cell r="B2926" t="str">
            <v>WT-9808BGZZ02</v>
          </cell>
        </row>
        <row r="2926">
          <cell r="P2926" t="str">
            <v>222F0098BG1</v>
          </cell>
        </row>
        <row r="2927">
          <cell r="B2927" t="str">
            <v>WT-9808CP</v>
          </cell>
        </row>
        <row r="2927">
          <cell r="P2927" t="str">
            <v>222F0098CP1</v>
          </cell>
        </row>
        <row r="2928">
          <cell r="B2928" t="str">
            <v>WT-9806BKZZ02</v>
          </cell>
        </row>
        <row r="2928">
          <cell r="P2928" t="str">
            <v>230F0098BK1</v>
          </cell>
        </row>
        <row r="2929">
          <cell r="B2929" t="str">
            <v>WT-9807CPZZ03</v>
          </cell>
        </row>
        <row r="2929">
          <cell r="P2929" t="str">
            <v>221F0098CP1</v>
          </cell>
        </row>
        <row r="2930">
          <cell r="B2930" t="str">
            <v>WT-9812BNZZ03</v>
          </cell>
        </row>
        <row r="2930">
          <cell r="P2930" t="str">
            <v>320F0098BN1</v>
          </cell>
        </row>
        <row r="2931">
          <cell r="B2931" t="str">
            <v>WT-9812CP</v>
          </cell>
        </row>
        <row r="2931">
          <cell r="P2931" t="str">
            <v>320F0098CP1</v>
          </cell>
        </row>
        <row r="2932">
          <cell r="B2932" t="str">
            <v>WT-9002ORBZZ02</v>
          </cell>
        </row>
        <row r="2932">
          <cell r="P2932" t="str">
            <v>211F9002OB1</v>
          </cell>
        </row>
        <row r="2933">
          <cell r="B2933" t="str">
            <v>WT-1007-CPZZ</v>
          </cell>
        </row>
        <row r="2933">
          <cell r="P2933" t="str">
            <v>211F1007CP1</v>
          </cell>
        </row>
        <row r="2934">
          <cell r="B2934" t="str">
            <v>WT-9812BGZZ03</v>
          </cell>
        </row>
        <row r="2934">
          <cell r="P2934" t="str">
            <v>320F0098BG1</v>
          </cell>
        </row>
        <row r="2935">
          <cell r="B2935" t="str">
            <v>WT-9812RGBKZZ03</v>
          </cell>
        </row>
        <row r="2935">
          <cell r="P2935" t="str">
            <v>320F0098RB1</v>
          </cell>
        </row>
        <row r="2936">
          <cell r="B2936" t="str">
            <v>WT-9907BK</v>
          </cell>
        </row>
        <row r="2936">
          <cell r="P2936" t="str">
            <v>221F0099BK1</v>
          </cell>
        </row>
        <row r="2937">
          <cell r="B2937" t="str">
            <v>WT-9804RGBK</v>
          </cell>
        </row>
        <row r="2937">
          <cell r="P2937" t="str">
            <v>140F0098RB1</v>
          </cell>
        </row>
        <row r="2938">
          <cell r="B2938" t="str">
            <v>WT-9802BK</v>
          </cell>
        </row>
        <row r="2938">
          <cell r="P2938" t="str">
            <v>120F0098BK1</v>
          </cell>
        </row>
        <row r="2939">
          <cell r="B2939" t="str">
            <v>WT-9808CPZZ</v>
          </cell>
        </row>
        <row r="2939">
          <cell r="P2939" t="str">
            <v>222F0098CP1</v>
          </cell>
        </row>
        <row r="2940">
          <cell r="B2940" t="str">
            <v>WT-9811BNZZ</v>
          </cell>
        </row>
        <row r="2940">
          <cell r="P2940" t="str">
            <v>211F0098BN1</v>
          </cell>
        </row>
        <row r="2941">
          <cell r="B2941" t="str">
            <v>WT-9809BNZZ</v>
          </cell>
        </row>
        <row r="2941">
          <cell r="P2941" t="str">
            <v>223F0098BN1</v>
          </cell>
        </row>
        <row r="2942">
          <cell r="B2942" t="str">
            <v>WT-ZZ01BK05</v>
          </cell>
        </row>
        <row r="2942">
          <cell r="P2942" t="str">
            <v>390F0001BK1</v>
          </cell>
        </row>
        <row r="2943">
          <cell r="B2943" t="str">
            <v>WT-9806BNZZ02</v>
          </cell>
        </row>
        <row r="2943">
          <cell r="P2943" t="str">
            <v>230F0098BN1</v>
          </cell>
        </row>
        <row r="2944">
          <cell r="B2944" t="str">
            <v>WT-ZZ01CP05</v>
          </cell>
        </row>
        <row r="2944">
          <cell r="P2944" t="str">
            <v>390F0001CP1</v>
          </cell>
        </row>
        <row r="2945">
          <cell r="B2945" t="str">
            <v>WT-9812CPZZ03</v>
          </cell>
        </row>
        <row r="2945">
          <cell r="P2945" t="str">
            <v>320F0098CP1</v>
          </cell>
        </row>
        <row r="2946">
          <cell r="B2946" t="str">
            <v>WT-9802CPZZ</v>
          </cell>
        </row>
        <row r="2946">
          <cell r="P2946" t="str">
            <v>120F0098CP1</v>
          </cell>
        </row>
        <row r="2947">
          <cell r="B2947" t="str">
            <v>WT-0009ZZ</v>
          </cell>
        </row>
        <row r="2947">
          <cell r="P2947" t="str">
            <v>230F3007CP1</v>
          </cell>
        </row>
        <row r="2948">
          <cell r="B2948" t="str">
            <v>WT-9907ORB</v>
          </cell>
        </row>
        <row r="2948">
          <cell r="P2948" t="str">
            <v>221F0099OB1</v>
          </cell>
        </row>
        <row r="2949">
          <cell r="B2949" t="str">
            <v>WT-9804RGBK</v>
          </cell>
        </row>
        <row r="2949">
          <cell r="P2949" t="str">
            <v>140F0098RB1</v>
          </cell>
        </row>
        <row r="2950">
          <cell r="B2950" t="str">
            <v>WT-9907BG</v>
          </cell>
        </row>
        <row r="2950">
          <cell r="P2950" t="str">
            <v>221F0099BG1</v>
          </cell>
        </row>
        <row r="2951">
          <cell r="B2951" t="str">
            <v>WT-9804BN</v>
          </cell>
        </row>
        <row r="2951">
          <cell r="P2951" t="str">
            <v>140F0098BN1</v>
          </cell>
        </row>
        <row r="2952">
          <cell r="B2952" t="str">
            <v>WT-9808BGZZ02</v>
          </cell>
        </row>
        <row r="2952">
          <cell r="P2952" t="str">
            <v>222F0098BG1</v>
          </cell>
        </row>
        <row r="2953">
          <cell r="B2953" t="str">
            <v>WT-ZZ01CP04</v>
          </cell>
        </row>
        <row r="2953">
          <cell r="P2953" t="str">
            <v>390F0001CP1</v>
          </cell>
        </row>
        <row r="2954">
          <cell r="B2954" t="str">
            <v>WT-ZZ01BK04</v>
          </cell>
        </row>
        <row r="2954">
          <cell r="P2954" t="str">
            <v>390F0001BK1</v>
          </cell>
        </row>
        <row r="2955">
          <cell r="B2955" t="str">
            <v>SZ-B9904BK01</v>
          </cell>
        </row>
        <row r="2955">
          <cell r="P2955" t="str">
            <v>140F0099BK1</v>
          </cell>
        </row>
        <row r="2956">
          <cell r="B2956" t="str">
            <v>WT-9907ORB</v>
          </cell>
        </row>
        <row r="2956">
          <cell r="P2956" t="str">
            <v>221F0099OB1</v>
          </cell>
        </row>
        <row r="2957">
          <cell r="B2957" t="str">
            <v>WT-1005-BGZZ</v>
          </cell>
        </row>
        <row r="2957">
          <cell r="P2957" t="str">
            <v>211F1005BG4</v>
          </cell>
        </row>
        <row r="2958">
          <cell r="B2958" t="str">
            <v>WT-9805BK</v>
          </cell>
        </row>
        <row r="2958">
          <cell r="P2958" t="str">
            <v>150F0098BK1</v>
          </cell>
        </row>
        <row r="2959">
          <cell r="B2959" t="str">
            <v>WT-9812BNZZ</v>
          </cell>
        </row>
        <row r="2959">
          <cell r="P2959" t="str">
            <v>320F0098BN1</v>
          </cell>
        </row>
        <row r="2960">
          <cell r="B2960" t="str">
            <v>WT-9801BN</v>
          </cell>
        </row>
        <row r="2960">
          <cell r="P2960" t="str">
            <v>110F0098BN1</v>
          </cell>
        </row>
        <row r="2961">
          <cell r="B2961" t="str">
            <v>SZ-B9904BK01</v>
          </cell>
        </row>
        <row r="2961">
          <cell r="P2961" t="str">
            <v>140F0099BK1</v>
          </cell>
        </row>
        <row r="2962">
          <cell r="B2962" t="str">
            <v>WT-9808RGBK</v>
          </cell>
        </row>
        <row r="2962">
          <cell r="P2962" t="str">
            <v>222F0098RB1</v>
          </cell>
        </row>
        <row r="2963">
          <cell r="B2963" t="str">
            <v>WT-9811RGBK</v>
          </cell>
        </row>
        <row r="2963">
          <cell r="P2963" t="str">
            <v>211F0098RB1</v>
          </cell>
        </row>
        <row r="2964">
          <cell r="B2964" t="str">
            <v>WT-9802BNZZ</v>
          </cell>
        </row>
        <row r="2964">
          <cell r="P2964" t="str">
            <v>120F0098BN1</v>
          </cell>
        </row>
        <row r="2965">
          <cell r="B2965" t="str">
            <v>WT-9002BNZZ</v>
          </cell>
        </row>
        <row r="2965">
          <cell r="P2965" t="str">
            <v>211F9002BN2</v>
          </cell>
        </row>
        <row r="2966">
          <cell r="B2966" t="str">
            <v>WT-9809ORBZZ02</v>
          </cell>
        </row>
        <row r="2966">
          <cell r="P2966" t="str">
            <v>223F0098OB1</v>
          </cell>
        </row>
        <row r="2967">
          <cell r="B2967" t="str">
            <v>WT-B830</v>
          </cell>
        </row>
        <row r="2968">
          <cell r="B2968" t="str">
            <v>WT-ZZ01CP02</v>
          </cell>
        </row>
        <row r="2968">
          <cell r="P2968" t="str">
            <v>390F0001CP1</v>
          </cell>
        </row>
        <row r="2969">
          <cell r="B2969" t="str">
            <v>WT-9806BGZZ02</v>
          </cell>
        </row>
        <row r="2969">
          <cell r="P2969" t="str">
            <v>230F0098BG1</v>
          </cell>
        </row>
        <row r="2970">
          <cell r="B2970" t="str">
            <v>WT-9802BN</v>
          </cell>
        </row>
        <row r="2970">
          <cell r="P2970" t="str">
            <v>120F0098BN1</v>
          </cell>
        </row>
        <row r="2971">
          <cell r="B2971" t="str">
            <v>WT-9804BN</v>
          </cell>
        </row>
        <row r="2971">
          <cell r="P2971" t="str">
            <v>140F0098BN1</v>
          </cell>
        </row>
        <row r="2972">
          <cell r="B2972" t="str">
            <v>WT-9808BGZZ</v>
          </cell>
        </row>
        <row r="2972">
          <cell r="P2972" t="str">
            <v>222F0098BG1</v>
          </cell>
        </row>
        <row r="2973">
          <cell r="B2973" t="str">
            <v>WT-ZZ01BN03</v>
          </cell>
        </row>
        <row r="2973">
          <cell r="P2973" t="str">
            <v>390F0001BN1</v>
          </cell>
        </row>
        <row r="2974">
          <cell r="B2974" t="str">
            <v>WT-ZZ01CP13</v>
          </cell>
        </row>
        <row r="2974">
          <cell r="P2974" t="str">
            <v>390F0001CP1</v>
          </cell>
        </row>
        <row r="2975">
          <cell r="B2975" t="str">
            <v>WT-9801BG</v>
          </cell>
        </row>
        <row r="2975">
          <cell r="P2975" t="str">
            <v>110F0098BG1</v>
          </cell>
        </row>
        <row r="2976">
          <cell r="B2976" t="str">
            <v>WT-9802BNZZ</v>
          </cell>
        </row>
        <row r="2976">
          <cell r="P2976" t="str">
            <v>120F0098BN1</v>
          </cell>
        </row>
        <row r="2977">
          <cell r="B2977" t="str">
            <v>WT-9809RGBKZZ02</v>
          </cell>
        </row>
        <row r="2977">
          <cell r="P2977" t="str">
            <v>223F0098RB1</v>
          </cell>
        </row>
        <row r="2978">
          <cell r="B2978" t="str">
            <v>WT-9801RGBK03-ZZ</v>
          </cell>
        </row>
        <row r="2978">
          <cell r="P2978" t="str">
            <v>110F0098RB1</v>
          </cell>
        </row>
        <row r="2979">
          <cell r="B2979" t="str">
            <v>WT-ZZ01BN02</v>
          </cell>
        </row>
        <row r="2979">
          <cell r="P2979" t="str">
            <v>390F0001BN1</v>
          </cell>
        </row>
        <row r="2980">
          <cell r="B2980" t="str">
            <v>CR-NOCP-Z21P</v>
          </cell>
        </row>
        <row r="2980">
          <cell r="P2980" t="str">
            <v>211F8000BG1</v>
          </cell>
        </row>
        <row r="2981">
          <cell r="B2981" t="str">
            <v>WT-ZZ01CP10</v>
          </cell>
        </row>
        <row r="2981">
          <cell r="P2981" t="str">
            <v>390F0001CP1</v>
          </cell>
        </row>
        <row r="2982">
          <cell r="B2982" t="str">
            <v>WT-9811RGBKZZ</v>
          </cell>
        </row>
        <row r="2982">
          <cell r="P2982" t="str">
            <v>211F0098RB1</v>
          </cell>
        </row>
        <row r="2983">
          <cell r="B2983" t="str">
            <v>WT-9802BKZZ02</v>
          </cell>
        </row>
        <row r="2983">
          <cell r="P2983" t="str">
            <v>120F0098BK1</v>
          </cell>
        </row>
        <row r="2984">
          <cell r="B2984" t="str">
            <v>WT-ZZ01BK02</v>
          </cell>
        </row>
        <row r="2984">
          <cell r="P2984" t="str">
            <v>390F0001BK1</v>
          </cell>
        </row>
        <row r="2985">
          <cell r="B2985" t="str">
            <v>WT-ZZ01CP12</v>
          </cell>
        </row>
        <row r="2985">
          <cell r="P2985" t="str">
            <v>390F0001CP1</v>
          </cell>
        </row>
        <row r="2986">
          <cell r="B2986" t="str">
            <v>WT-9802CP</v>
          </cell>
        </row>
        <row r="2986">
          <cell r="P2986" t="str">
            <v>120F0098CP1</v>
          </cell>
        </row>
        <row r="2987">
          <cell r="B2987" t="str">
            <v>WT-9809CPZZ02</v>
          </cell>
        </row>
        <row r="2987">
          <cell r="P2987" t="str">
            <v>223F0098CP1</v>
          </cell>
        </row>
        <row r="2988">
          <cell r="B2988" t="str">
            <v>WT-9805ORB</v>
          </cell>
        </row>
        <row r="2988">
          <cell r="P2988" t="str">
            <v>150F0098OB1</v>
          </cell>
        </row>
        <row r="2989">
          <cell r="B2989" t="str">
            <v>PU-4540-MYN4</v>
          </cell>
        </row>
        <row r="2989">
          <cell r="P2989" t="str">
            <v>211F8000OB1</v>
          </cell>
        </row>
        <row r="2990">
          <cell r="B2990" t="str">
            <v>WT-0006ZZ</v>
          </cell>
        </row>
        <row r="2991">
          <cell r="B2991" t="str">
            <v>WT-9804BK</v>
          </cell>
        </row>
        <row r="2991">
          <cell r="P2991" t="str">
            <v>140F0098BK1</v>
          </cell>
        </row>
        <row r="2992">
          <cell r="B2992" t="str">
            <v>WT-9804CP</v>
          </cell>
        </row>
        <row r="2992">
          <cell r="P2992" t="str">
            <v>140F0098CP1</v>
          </cell>
        </row>
        <row r="2993">
          <cell r="B2993" t="str">
            <v>WT-9809CPZZ02</v>
          </cell>
        </row>
        <row r="2993">
          <cell r="P2993" t="str">
            <v>223F0098CP1</v>
          </cell>
        </row>
        <row r="2994">
          <cell r="B2994" t="str">
            <v>WT-9809BNZZ</v>
          </cell>
        </row>
        <row r="2994">
          <cell r="P2994" t="str">
            <v>223F0098BN1</v>
          </cell>
        </row>
        <row r="2995">
          <cell r="B2995" t="str">
            <v>WT-0010ZZ</v>
          </cell>
        </row>
        <row r="2995">
          <cell r="P2995" t="str">
            <v>230F3007BG4</v>
          </cell>
        </row>
        <row r="2996">
          <cell r="B2996" t="str">
            <v>WT-9804BG-ZZ</v>
          </cell>
        </row>
        <row r="2996">
          <cell r="P2996" t="str">
            <v>140F0098BG1</v>
          </cell>
        </row>
        <row r="2997">
          <cell r="B2997" t="str">
            <v>WT-9806BGZZ02</v>
          </cell>
        </row>
        <row r="2997">
          <cell r="P2997" t="str">
            <v>230F0098BG1</v>
          </cell>
        </row>
        <row r="2998">
          <cell r="B2998" t="str">
            <v>WT-9808ORB</v>
          </cell>
        </row>
        <row r="2998">
          <cell r="P2998" t="str">
            <v>222F0098OB1</v>
          </cell>
        </row>
        <row r="2999">
          <cell r="B2999" t="str">
            <v>WT-9809ORB</v>
          </cell>
        </row>
        <row r="2999">
          <cell r="P2999" t="str">
            <v>223F0098OB1</v>
          </cell>
        </row>
        <row r="3000">
          <cell r="B3000" t="str">
            <v>WT-9801BK03-ZZ</v>
          </cell>
        </row>
        <row r="3000">
          <cell r="P3000" t="str">
            <v>110F0098BK1</v>
          </cell>
        </row>
        <row r="3001">
          <cell r="B3001" t="str">
            <v>WT-9806ORBZZ02</v>
          </cell>
        </row>
        <row r="3001">
          <cell r="P3001" t="str">
            <v>230F0098OB1</v>
          </cell>
        </row>
        <row r="3002">
          <cell r="B3002" t="str">
            <v>WT-9809CP</v>
          </cell>
        </row>
        <row r="3002">
          <cell r="P3002" t="str">
            <v>223F0098CP1</v>
          </cell>
        </row>
        <row r="3003">
          <cell r="B3003" t="str">
            <v>WT-9808BK</v>
          </cell>
        </row>
        <row r="3003">
          <cell r="P3003" t="str">
            <v>222F0098BK1</v>
          </cell>
        </row>
        <row r="3004">
          <cell r="B3004" t="str">
            <v>WT-0009ZZ</v>
          </cell>
        </row>
        <row r="3004">
          <cell r="P3004" t="str">
            <v>230F3007CP1</v>
          </cell>
        </row>
        <row r="3005">
          <cell r="B3005" t="str">
            <v>M3-QVQ8-BKW4</v>
          </cell>
        </row>
        <row r="3005">
          <cell r="P3005" t="str">
            <v>211F8000BK2</v>
          </cell>
        </row>
        <row r="3006">
          <cell r="B3006" t="str">
            <v>WT-9802BG</v>
          </cell>
        </row>
        <row r="3006">
          <cell r="P3006" t="str">
            <v>120F0098BG1</v>
          </cell>
        </row>
        <row r="3007">
          <cell r="B3007" t="str">
            <v>WT-9806RGBK</v>
          </cell>
        </row>
        <row r="3007">
          <cell r="P3007" t="str">
            <v>230F0098RB1</v>
          </cell>
        </row>
        <row r="3008">
          <cell r="B3008" t="str">
            <v>WT-9801RGBK02-ZZ</v>
          </cell>
        </row>
        <row r="3008">
          <cell r="P3008" t="str">
            <v>110F0098RB1</v>
          </cell>
        </row>
        <row r="3009">
          <cell r="B3009" t="str">
            <v>WT-B830ORBZZ</v>
          </cell>
        </row>
        <row r="3009">
          <cell r="P3009" t="str">
            <v>211F8000OB1</v>
          </cell>
        </row>
        <row r="3010">
          <cell r="B3010" t="str">
            <v>SZ-B9904BK01</v>
          </cell>
        </row>
        <row r="3010">
          <cell r="P3010" t="str">
            <v>140F0099BK1</v>
          </cell>
        </row>
        <row r="3011">
          <cell r="B3011" t="str">
            <v>WT-9802ORBZZ</v>
          </cell>
        </row>
        <row r="3011">
          <cell r="P3011" t="str">
            <v>120F0098OB1</v>
          </cell>
        </row>
        <row r="3012">
          <cell r="B3012" t="str">
            <v>WT-9809BG</v>
          </cell>
        </row>
        <row r="3012">
          <cell r="P3012" t="str">
            <v>223F0098BG1</v>
          </cell>
        </row>
        <row r="3013">
          <cell r="B3013" t="str">
            <v>WT-9809BNZZ02</v>
          </cell>
        </row>
        <row r="3013">
          <cell r="P3013" t="str">
            <v>223F0098BN1</v>
          </cell>
        </row>
        <row r="3014">
          <cell r="B3014" t="str">
            <v>WT-9801BK02-ZZ</v>
          </cell>
        </row>
        <row r="3014">
          <cell r="P3014" t="str">
            <v>110F0098BK1</v>
          </cell>
        </row>
        <row r="3015">
          <cell r="B3015" t="str">
            <v>WT-9807BG</v>
          </cell>
        </row>
        <row r="3015">
          <cell r="P3015" t="str">
            <v>221F0098BG1</v>
          </cell>
        </row>
        <row r="3016">
          <cell r="B3016" t="str">
            <v>WT-9808BN</v>
          </cell>
        </row>
        <row r="3016">
          <cell r="P3016" t="str">
            <v>222F0098BN1</v>
          </cell>
        </row>
        <row r="3017">
          <cell r="B3017" t="str">
            <v>WT-9808CP</v>
          </cell>
        </row>
        <row r="3017">
          <cell r="P3017" t="str">
            <v>222F0098CP1</v>
          </cell>
        </row>
        <row r="3018">
          <cell r="B3018" t="str">
            <v>WT-9807BK</v>
          </cell>
        </row>
        <row r="3018">
          <cell r="P3018" t="str">
            <v>221F0098BK1</v>
          </cell>
        </row>
        <row r="3019">
          <cell r="B3019" t="str">
            <v>WT-9802RGBKZZ02</v>
          </cell>
        </row>
        <row r="3019">
          <cell r="P3019" t="str">
            <v>120F0098RB1</v>
          </cell>
        </row>
        <row r="3020">
          <cell r="B3020" t="str">
            <v>WT-9809BK</v>
          </cell>
        </row>
        <row r="3020">
          <cell r="P3020" t="str">
            <v>223F0098BK1</v>
          </cell>
        </row>
        <row r="3021">
          <cell r="B3021" t="str">
            <v>WT-9812RGBKZZ02</v>
          </cell>
        </row>
        <row r="3021">
          <cell r="P3021" t="str">
            <v>320F0098RB1</v>
          </cell>
        </row>
        <row r="3022">
          <cell r="B3022" t="str">
            <v>WT-9802CP</v>
          </cell>
        </row>
        <row r="3022">
          <cell r="P3022" t="str">
            <v>120F0098CP1</v>
          </cell>
        </row>
        <row r="3023">
          <cell r="B3023" t="str">
            <v>WT-9802BN</v>
          </cell>
        </row>
        <row r="3023">
          <cell r="P3023" t="str">
            <v>120F0098BN1</v>
          </cell>
        </row>
        <row r="3024">
          <cell r="B3024" t="str">
            <v>WT-9808ORBZZ</v>
          </cell>
        </row>
        <row r="3024">
          <cell r="P3024" t="str">
            <v>222F0098OB1</v>
          </cell>
        </row>
        <row r="3025">
          <cell r="B3025" t="str">
            <v>WT-9801BN</v>
          </cell>
        </row>
        <row r="3025">
          <cell r="P3025" t="str">
            <v>110F0098BN1</v>
          </cell>
        </row>
        <row r="3026">
          <cell r="B3026" t="str">
            <v>WT-9807BN</v>
          </cell>
        </row>
        <row r="3026">
          <cell r="P3026" t="str">
            <v>221F0098BN1</v>
          </cell>
        </row>
        <row r="3027">
          <cell r="B3027" t="str">
            <v>WT-9807CP</v>
          </cell>
        </row>
        <row r="3027">
          <cell r="P3027" t="str">
            <v>221F0098CP1</v>
          </cell>
        </row>
        <row r="3028">
          <cell r="B3028" t="str">
            <v>WT-9805BG</v>
          </cell>
        </row>
        <row r="3028">
          <cell r="P3028" t="str">
            <v>150F0098BG1</v>
          </cell>
        </row>
        <row r="3029">
          <cell r="B3029" t="str">
            <v>WT-9801CP</v>
          </cell>
        </row>
        <row r="3029">
          <cell r="P3029" t="str">
            <v>110F0098CP1</v>
          </cell>
        </row>
        <row r="3030">
          <cell r="B3030" t="str">
            <v>WT-9812RGBK</v>
          </cell>
        </row>
        <row r="3030">
          <cell r="P3030" t="str">
            <v>320F0098RB1</v>
          </cell>
        </row>
        <row r="3031">
          <cell r="B3031" t="str">
            <v>SZ-B9904BK02-zz</v>
          </cell>
        </row>
        <row r="3031">
          <cell r="P3031" t="str">
            <v>140F0099BK1</v>
          </cell>
        </row>
        <row r="3032">
          <cell r="B3032" t="str">
            <v>WT-ZZ01CP03</v>
          </cell>
        </row>
        <row r="3032">
          <cell r="P3032" t="str">
            <v>390F0001CP1</v>
          </cell>
        </row>
        <row r="3033">
          <cell r="B3033" t="str">
            <v>WT-0008ZZ</v>
          </cell>
        </row>
        <row r="3033">
          <cell r="P3033" t="str">
            <v>230F3007BN3</v>
          </cell>
        </row>
        <row r="3034">
          <cell r="B3034" t="str">
            <v>WT-3311-BNZZ02</v>
          </cell>
        </row>
        <row r="3034">
          <cell r="P3034" t="str">
            <v>211F0033BN1</v>
          </cell>
        </row>
        <row r="3035">
          <cell r="B3035" t="str">
            <v>WT-9805BKZZ03</v>
          </cell>
        </row>
        <row r="3035">
          <cell r="P3035" t="str">
            <v>150F0098BK1</v>
          </cell>
        </row>
        <row r="3036">
          <cell r="B3036" t="str">
            <v>WT-9808BKZZ</v>
          </cell>
        </row>
        <row r="3036">
          <cell r="P3036" t="str">
            <v>222F0098BK1</v>
          </cell>
        </row>
        <row r="3037">
          <cell r="B3037" t="str">
            <v>WT-9806CPZZ02</v>
          </cell>
        </row>
        <row r="3037">
          <cell r="P3037" t="str">
            <v>230F0098CP1</v>
          </cell>
        </row>
        <row r="3038">
          <cell r="B3038" t="str">
            <v>WT-9801BG</v>
          </cell>
        </row>
        <row r="3038">
          <cell r="P3038" t="str">
            <v>110F0098BG1</v>
          </cell>
        </row>
        <row r="3039">
          <cell r="B3039" t="str">
            <v>WT-9812ORBZZ03</v>
          </cell>
        </row>
        <row r="3039">
          <cell r="P3039" t="str">
            <v>320F0098OB1</v>
          </cell>
        </row>
        <row r="3040">
          <cell r="B3040" t="str">
            <v>WT-9807BKZZ04</v>
          </cell>
        </row>
        <row r="3040">
          <cell r="P3040" t="str">
            <v>221F0098BK1</v>
          </cell>
        </row>
        <row r="3041">
          <cell r="B3041" t="str">
            <v>WT-9801RGBK03-ZZ</v>
          </cell>
        </row>
        <row r="3041">
          <cell r="P3041" t="str">
            <v>110F0098RB1</v>
          </cell>
        </row>
        <row r="3042">
          <cell r="B3042" t="str">
            <v>WT-9802ORB</v>
          </cell>
        </row>
        <row r="3042">
          <cell r="P3042" t="str">
            <v>120F0098OB1</v>
          </cell>
        </row>
        <row r="3043">
          <cell r="B3043" t="str">
            <v>WT-9812BKZZ03</v>
          </cell>
        </row>
        <row r="3043">
          <cell r="P3043" t="str">
            <v>320F0098BK1</v>
          </cell>
        </row>
        <row r="3044">
          <cell r="B3044" t="str">
            <v>WT-9809ORBZZ02</v>
          </cell>
        </row>
        <row r="3044">
          <cell r="P3044" t="str">
            <v>223F0098OB1</v>
          </cell>
        </row>
        <row r="3045">
          <cell r="B3045" t="str">
            <v>WT-B830BKZZ</v>
          </cell>
        </row>
        <row r="3045">
          <cell r="P3045" t="str">
            <v>211F8000BK2</v>
          </cell>
        </row>
        <row r="3046">
          <cell r="B3046" t="str">
            <v>WT-9802ORBZZ02</v>
          </cell>
        </row>
        <row r="3046">
          <cell r="P3046" t="str">
            <v>120F0098OB1</v>
          </cell>
        </row>
        <row r="3047">
          <cell r="B3047" t="str">
            <v>WT-9808RGBKZZ02</v>
          </cell>
        </row>
        <row r="3047">
          <cell r="P3047" t="str">
            <v>222F0098RB1</v>
          </cell>
        </row>
        <row r="3048">
          <cell r="B3048" t="str">
            <v>WT-9809ORBZZ</v>
          </cell>
        </row>
        <row r="3048">
          <cell r="P3048" t="str">
            <v>223F0098OB1</v>
          </cell>
        </row>
        <row r="3049">
          <cell r="B3049" t="str">
            <v>BABA</v>
          </cell>
        </row>
        <row r="3050">
          <cell r="B3050" t="str">
            <v>WT-9806RGBKZZ02</v>
          </cell>
        </row>
        <row r="3050">
          <cell r="P3050" t="str">
            <v>230F0098RB1</v>
          </cell>
        </row>
        <row r="3051">
          <cell r="B3051" t="str">
            <v>WT-9805BKZZ04</v>
          </cell>
        </row>
        <row r="3051">
          <cell r="P3051" t="str">
            <v>150F0098BK1</v>
          </cell>
        </row>
        <row r="3052">
          <cell r="B3052" t="str">
            <v>WT-9807ORB</v>
          </cell>
        </row>
        <row r="3052">
          <cell r="P3052" t="str">
            <v>221F0098OB1</v>
          </cell>
        </row>
        <row r="3053">
          <cell r="B3053" t="str">
            <v>WT-9807CP02</v>
          </cell>
        </row>
        <row r="3053">
          <cell r="P3053" t="str">
            <v>221F0098CP1</v>
          </cell>
        </row>
        <row r="3054">
          <cell r="B3054" t="str">
            <v>WT-9805BN</v>
          </cell>
        </row>
        <row r="3054">
          <cell r="P3054" t="str">
            <v>150F0098BN1</v>
          </cell>
        </row>
        <row r="3055">
          <cell r="B3055" t="str">
            <v>WT-ZZ0007-9807</v>
          </cell>
        </row>
        <row r="3056">
          <cell r="B3056" t="str">
            <v>WT-9805BKZZ02</v>
          </cell>
        </row>
        <row r="3056">
          <cell r="P3056" t="str">
            <v>150F0098BK1</v>
          </cell>
        </row>
        <row r="3057">
          <cell r="B3057" t="str">
            <v>WT-9800-Sink F</v>
          </cell>
        </row>
        <row r="3058">
          <cell r="B3058" t="str">
            <v>WT-9809ORBZZ02</v>
          </cell>
        </row>
        <row r="3058">
          <cell r="P3058" t="str">
            <v>223F0098OB1</v>
          </cell>
        </row>
        <row r="3059">
          <cell r="B3059" t="str">
            <v>WT-9801RGBK03-ZZ</v>
          </cell>
        </row>
        <row r="3059">
          <cell r="P3059" t="str">
            <v>110F0098RB1</v>
          </cell>
        </row>
        <row r="3060">
          <cell r="B3060" t="str">
            <v>WT-9811RGBKZZ</v>
          </cell>
        </row>
        <row r="3060">
          <cell r="P3060" t="str">
            <v>211F0098RB1</v>
          </cell>
        </row>
        <row r="3061">
          <cell r="B3061" t="str">
            <v>WT-ZZ0001</v>
          </cell>
        </row>
        <row r="3062">
          <cell r="B3062" t="str">
            <v>WT-9811BK03</v>
          </cell>
        </row>
        <row r="3062">
          <cell r="P3062" t="str">
            <v>211F0098BK2</v>
          </cell>
        </row>
        <row r="3063">
          <cell r="B3063" t="str">
            <v>WT-ZZ01BK02</v>
          </cell>
        </row>
        <row r="3063">
          <cell r="P3063" t="str">
            <v>390F0001BK1</v>
          </cell>
        </row>
        <row r="3064">
          <cell r="B3064" t="str">
            <v>WT-9802BNZZ</v>
          </cell>
        </row>
        <row r="3064">
          <cell r="P3064" t="str">
            <v>120F0098BN1</v>
          </cell>
        </row>
        <row r="3065">
          <cell r="B3065" t="str">
            <v>WT-9808BK03</v>
          </cell>
        </row>
        <row r="3065">
          <cell r="P3065" t="str">
            <v>222F0098BK1</v>
          </cell>
        </row>
        <row r="3066">
          <cell r="B3066" t="str">
            <v>WT-9811ORB03</v>
          </cell>
        </row>
        <row r="3066">
          <cell r="P3066" t="str">
            <v>211F0098OB1</v>
          </cell>
        </row>
        <row r="3067">
          <cell r="B3067" t="str">
            <v>WT-9812RGBKZZ02</v>
          </cell>
        </row>
        <row r="3067">
          <cell r="P3067" t="str">
            <v>320F0098RB1</v>
          </cell>
        </row>
        <row r="3068">
          <cell r="B3068" t="str">
            <v>WT-9812BK WT-9801BK</v>
          </cell>
        </row>
        <row r="3069">
          <cell r="B3069" t="str">
            <v>WT-9802RGBKZZ02</v>
          </cell>
        </row>
        <row r="3069">
          <cell r="P3069" t="str">
            <v>120F0098RB1</v>
          </cell>
        </row>
        <row r="3070">
          <cell r="B3070" t="str">
            <v>WT-B830ORB03</v>
          </cell>
        </row>
        <row r="3070">
          <cell r="P3070" t="str">
            <v>211F8000OB1</v>
          </cell>
        </row>
        <row r="3071">
          <cell r="B3071" t="str">
            <v>WT-9002</v>
          </cell>
        </row>
        <row r="3072">
          <cell r="B3072" t="str">
            <v>WT-3311-BGZZ02</v>
          </cell>
        </row>
        <row r="3072">
          <cell r="P3072" t="str">
            <v>211F0033BG3</v>
          </cell>
        </row>
        <row r="3073">
          <cell r="B3073" t="str">
            <v>WT-9002CPZZ</v>
          </cell>
        </row>
        <row r="3073">
          <cell r="P3073" t="str">
            <v>211F9002CP1</v>
          </cell>
        </row>
        <row r="3074">
          <cell r="B3074" t="str">
            <v>WT-1005-ORBZZ</v>
          </cell>
        </row>
        <row r="3074">
          <cell r="P3074" t="str">
            <v>211F1005OB1</v>
          </cell>
        </row>
        <row r="3075">
          <cell r="B3075" t="str">
            <v>WT-9808BG04</v>
          </cell>
        </row>
        <row r="3075">
          <cell r="P3075" t="str">
            <v>222F0098BG1</v>
          </cell>
        </row>
        <row r="3076">
          <cell r="B3076" t="str">
            <v>WT-ZZ01CP08</v>
          </cell>
        </row>
        <row r="3076">
          <cell r="P3076" t="str">
            <v>390F0001CP1</v>
          </cell>
        </row>
        <row r="3077">
          <cell r="B3077" t="str">
            <v>WT-B830BNZZ15</v>
          </cell>
        </row>
        <row r="3077">
          <cell r="P3077" t="str">
            <v>211F8000BN1</v>
          </cell>
        </row>
        <row r="3078">
          <cell r="B3078" t="str">
            <v>WT-9811-6Color</v>
          </cell>
        </row>
        <row r="3079">
          <cell r="B3079" t="str">
            <v>WT-9808CP</v>
          </cell>
        </row>
        <row r="3079">
          <cell r="P3079" t="str">
            <v>222F0098CP1</v>
          </cell>
        </row>
        <row r="3080">
          <cell r="B3080" t="str">
            <v>WT-9002BKZZ</v>
          </cell>
        </row>
        <row r="3080">
          <cell r="P3080" t="str">
            <v>211F9002BK2</v>
          </cell>
        </row>
        <row r="3081">
          <cell r="B3081" t="str">
            <v>WT-B830BNZZ</v>
          </cell>
        </row>
        <row r="3081">
          <cell r="P3081" t="str">
            <v>211F8000BN1</v>
          </cell>
        </row>
        <row r="3082">
          <cell r="B3082" t="str">
            <v>WT-B830BK02</v>
          </cell>
        </row>
        <row r="3082">
          <cell r="P3082" t="str">
            <v>211F8000BK2</v>
          </cell>
        </row>
        <row r="3083">
          <cell r="B3083" t="str">
            <v>WT-B830BK03</v>
          </cell>
        </row>
        <row r="3083">
          <cell r="P3083" t="str">
            <v>211F8000BK2</v>
          </cell>
        </row>
        <row r="3084">
          <cell r="B3084" t="str">
            <v>WT-9809CP04</v>
          </cell>
        </row>
        <row r="3084">
          <cell r="P3084" t="str">
            <v>223F0098CP1</v>
          </cell>
        </row>
        <row r="3085">
          <cell r="B3085" t="str">
            <v>WT-ZZ0009-9809</v>
          </cell>
        </row>
        <row r="3086">
          <cell r="B3086" t="str">
            <v>WT-3311-BKZZ02</v>
          </cell>
        </row>
        <row r="3086">
          <cell r="P3086" t="str">
            <v>211F0033BK2</v>
          </cell>
        </row>
        <row r="3087">
          <cell r="B3087" t="str">
            <v>WT-3311-BK03</v>
          </cell>
        </row>
        <row r="3087">
          <cell r="P3087" t="str">
            <v>211F0033BK2</v>
          </cell>
        </row>
        <row r="3088">
          <cell r="B3088" t="str">
            <v>WT-B830BNZZ12</v>
          </cell>
        </row>
        <row r="3088">
          <cell r="P3088" t="str">
            <v>211F8000BN1</v>
          </cell>
        </row>
        <row r="3089">
          <cell r="B3089" t="str">
            <v>WT-B830ORBZZ</v>
          </cell>
        </row>
        <row r="3089">
          <cell r="P3089" t="str">
            <v>211F8000OB1</v>
          </cell>
        </row>
        <row r="3090">
          <cell r="B3090" t="str">
            <v>WT-3311-ORB02</v>
          </cell>
        </row>
        <row r="3090">
          <cell r="P3090" t="str">
            <v>211F0033OB1</v>
          </cell>
        </row>
        <row r="3091">
          <cell r="B3091" t="str">
            <v>WT-9002BNZZ</v>
          </cell>
        </row>
        <row r="3091">
          <cell r="P3091" t="str">
            <v>211F9002BN2</v>
          </cell>
        </row>
        <row r="3092">
          <cell r="B3092" t="str">
            <v>WT-9002BN03</v>
          </cell>
        </row>
        <row r="3092">
          <cell r="P3092" t="str">
            <v>211F9002BN2</v>
          </cell>
        </row>
        <row r="3093">
          <cell r="B3093" t="str">
            <v>WT-9809CPZZ</v>
          </cell>
        </row>
        <row r="3093">
          <cell r="P3093" t="str">
            <v>223F0098CP1</v>
          </cell>
        </row>
        <row r="3094">
          <cell r="B3094" t="str">
            <v>W6-II1M-6YMD</v>
          </cell>
        </row>
        <row r="3095">
          <cell r="B3095" t="str">
            <v>WT-9807RGBKZZ</v>
          </cell>
        </row>
        <row r="3096">
          <cell r="B3096" t="str">
            <v>WT-9807BN WT-9801BN</v>
          </cell>
        </row>
        <row r="3097">
          <cell r="B3097" t="str">
            <v>WT-9806BKZZ02</v>
          </cell>
        </row>
        <row r="3097">
          <cell r="P3097" t="str">
            <v>230F0098BK1</v>
          </cell>
        </row>
        <row r="3098">
          <cell r="B3098" t="str">
            <v>WT-9807ORBZZ02</v>
          </cell>
        </row>
        <row r="3098">
          <cell r="P3098" t="str">
            <v>221F0098OB1</v>
          </cell>
        </row>
        <row r="3099">
          <cell r="B3099" t="str">
            <v>WT-9809ORB</v>
          </cell>
        </row>
        <row r="3099">
          <cell r="P3099" t="str">
            <v>223F0098OB1</v>
          </cell>
        </row>
        <row r="3100">
          <cell r="B3100" t="str">
            <v>WT-ZZ01CP13</v>
          </cell>
        </row>
        <row r="3100">
          <cell r="P3100" t="str">
            <v>390F0001CP1</v>
          </cell>
        </row>
        <row r="3101">
          <cell r="B3101" t="str">
            <v>WT-9808BGZZ02</v>
          </cell>
        </row>
        <row r="3101">
          <cell r="P3101" t="str">
            <v>222F0098BG1</v>
          </cell>
        </row>
        <row r="3102">
          <cell r="B3102" t="str">
            <v>WT-9802CPZZ02</v>
          </cell>
        </row>
        <row r="3102">
          <cell r="P3102" t="str">
            <v>120F0098CP1</v>
          </cell>
        </row>
        <row r="3103">
          <cell r="B3103" t="str">
            <v>WT-ZZ0015-390F</v>
          </cell>
        </row>
        <row r="3104">
          <cell r="B3104" t="str">
            <v>70-4IFM-A5WV</v>
          </cell>
        </row>
        <row r="3105">
          <cell r="B3105" t="str">
            <v>WT-9812BG03</v>
          </cell>
        </row>
        <row r="3105">
          <cell r="P3105" t="str">
            <v>320F0098BG1</v>
          </cell>
        </row>
        <row r="3106">
          <cell r="B3106" t="str">
            <v>WT-B830BNZZ09</v>
          </cell>
        </row>
        <row r="3106">
          <cell r="P3106" t="str">
            <v>211F8000BN1</v>
          </cell>
        </row>
        <row r="3107">
          <cell r="B3107" t="str">
            <v>WT-ZZ01BN04</v>
          </cell>
        </row>
        <row r="3107">
          <cell r="P3107" t="str">
            <v>390F0001BN1</v>
          </cell>
        </row>
        <row r="3108">
          <cell r="B3108" t="str">
            <v>WT-9812RGBKZZ</v>
          </cell>
        </row>
        <row r="3108">
          <cell r="P3108" t="str">
            <v>320F0098RB1</v>
          </cell>
        </row>
        <row r="3109">
          <cell r="B3109" t="str">
            <v>WT-9808BNZZ02</v>
          </cell>
        </row>
        <row r="3109">
          <cell r="P3109" t="str">
            <v>222F0098BN1</v>
          </cell>
        </row>
        <row r="3110">
          <cell r="B3110" t="str">
            <v>WT-ZZ0013-f</v>
          </cell>
        </row>
        <row r="3111">
          <cell r="B3111" t="str">
            <v>WT-9002ORB03</v>
          </cell>
        </row>
        <row r="3111">
          <cell r="P3111" t="str">
            <v>211F9002OB1</v>
          </cell>
        </row>
        <row r="3112">
          <cell r="B3112" t="str">
            <v>WT-9811BG WT-9801BG</v>
          </cell>
        </row>
        <row r="3113">
          <cell r="B3113" t="str">
            <v>WT-3311-BK02</v>
          </cell>
        </row>
        <row r="3113">
          <cell r="P3113" t="str">
            <v>211F0033BK2</v>
          </cell>
        </row>
        <row r="3114">
          <cell r="B3114" t="str">
            <v>WT-ZZ01CP09</v>
          </cell>
        </row>
        <row r="3114">
          <cell r="P3114" t="str">
            <v>390F0001CP1</v>
          </cell>
        </row>
        <row r="3115">
          <cell r="B3115" t="str">
            <v>WT-ZZ01CP10</v>
          </cell>
        </row>
        <row r="3115">
          <cell r="P3115" t="str">
            <v>390F0001CP1</v>
          </cell>
        </row>
        <row r="3116">
          <cell r="B3116" t="str">
            <v>WT-9812RGBK02</v>
          </cell>
        </row>
        <row r="3116">
          <cell r="P3116" t="str">
            <v>320F0098RB1</v>
          </cell>
        </row>
        <row r="3117">
          <cell r="B3117" t="str">
            <v>WT-9809ORBZZ</v>
          </cell>
        </row>
        <row r="3117">
          <cell r="P3117" t="str">
            <v>223F0098OB1</v>
          </cell>
        </row>
        <row r="3118">
          <cell r="B3118" t="str">
            <v>WT-9808-9809</v>
          </cell>
        </row>
        <row r="3119">
          <cell r="B3119" t="str">
            <v>WT-3311-BG02</v>
          </cell>
        </row>
        <row r="3119">
          <cell r="P3119" t="str">
            <v>211F0033BG3</v>
          </cell>
        </row>
        <row r="3120">
          <cell r="B3120" t="str">
            <v>WT-9812BN03</v>
          </cell>
        </row>
        <row r="3120">
          <cell r="P3120" t="str">
            <v>320F0098BN1</v>
          </cell>
        </row>
        <row r="3121">
          <cell r="B3121" t="str">
            <v>WT-ZZ01BK05</v>
          </cell>
        </row>
        <row r="3121">
          <cell r="P3121" t="str">
            <v>390F0001BK1</v>
          </cell>
        </row>
        <row r="3122">
          <cell r="B3122" t="str">
            <v>WT-9002ORBZZ02</v>
          </cell>
        </row>
        <row r="3122">
          <cell r="P3122" t="str">
            <v>211F9002OB1</v>
          </cell>
        </row>
        <row r="3123">
          <cell r="B3123" t="str">
            <v>WT-9811BN03</v>
          </cell>
        </row>
        <row r="3124">
          <cell r="B3124" t="str">
            <v>WT-9807BK WT-9801BK</v>
          </cell>
        </row>
        <row r="3125">
          <cell r="B3125" t="str">
            <v>WT9811RGBK WT9804RGBK</v>
          </cell>
        </row>
        <row r="3126">
          <cell r="B3126" t="str">
            <v>ZU-UH6S-VPBW</v>
          </cell>
        </row>
        <row r="3127">
          <cell r="B3127" t="str">
            <v>WT-9802ZZ</v>
          </cell>
        </row>
        <row r="3128">
          <cell r="B3128" t="str">
            <v>WT-ZZ01CP07</v>
          </cell>
        </row>
        <row r="3128">
          <cell r="P3128" t="str">
            <v>390F0001CP1</v>
          </cell>
        </row>
        <row r="3129">
          <cell r="B3129" t="str">
            <v>OQ-5LE0-PW23</v>
          </cell>
        </row>
        <row r="3130">
          <cell r="B3130" t="str">
            <v>WT-9811</v>
          </cell>
        </row>
        <row r="3131">
          <cell r="B3131" t="str">
            <v>WT-9801BG</v>
          </cell>
        </row>
        <row r="3131">
          <cell r="P3131" t="str">
            <v>110F0098BG1</v>
          </cell>
        </row>
        <row r="3132">
          <cell r="B3132" t="str">
            <v>WT-9801</v>
          </cell>
        </row>
        <row r="3133">
          <cell r="B3133" t="str">
            <v>WT-9809RGBK03</v>
          </cell>
        </row>
        <row r="3133">
          <cell r="P3133" t="str">
            <v>223F0098RB1</v>
          </cell>
        </row>
        <row r="3134">
          <cell r="B3134" t="str">
            <v>WT-9802BGZZ</v>
          </cell>
        </row>
        <row r="3135">
          <cell r="B3135" t="str">
            <v>SZ-B9904BK02-zz</v>
          </cell>
        </row>
        <row r="3135">
          <cell r="P3135" t="str">
            <v>140F0099BK1</v>
          </cell>
        </row>
        <row r="3136">
          <cell r="B3136" t="str">
            <v>WT-9807</v>
          </cell>
        </row>
        <row r="3137">
          <cell r="B3137" t="str">
            <v>WT-ZZ0007-9812</v>
          </cell>
        </row>
        <row r="3138">
          <cell r="B3138" t="str">
            <v>WT-9812CPZZ</v>
          </cell>
        </row>
        <row r="3138">
          <cell r="P3138" t="str">
            <v>320F0098CP1</v>
          </cell>
        </row>
        <row r="3139">
          <cell r="B3139" t="str">
            <v>WT-9812ORB WT-9801ORB</v>
          </cell>
        </row>
        <row r="3139">
          <cell r="P3139" t="str">
            <v>320F0098OB1</v>
          </cell>
        </row>
        <row r="3140">
          <cell r="B3140" t="str">
            <v>WT-B830BNZZ13</v>
          </cell>
        </row>
        <row r="3140">
          <cell r="P3140" t="str">
            <v>211F8000BN1</v>
          </cell>
        </row>
        <row r="3141">
          <cell r="B3141" t="str">
            <v>SZ-B9904BN</v>
          </cell>
        </row>
        <row r="3141">
          <cell r="P3141" t="str">
            <v>140F0099BN1</v>
          </cell>
        </row>
        <row r="3142">
          <cell r="B3142" t="str">
            <v>WT-9812ORBZZ03</v>
          </cell>
        </row>
        <row r="3142">
          <cell r="P3142" t="str">
            <v>320F0098OB1</v>
          </cell>
        </row>
        <row r="3143">
          <cell r="B3143" t="str">
            <v>WT-9808BG03</v>
          </cell>
        </row>
        <row r="3143">
          <cell r="P3143" t="str">
            <v>222F0098BG1</v>
          </cell>
        </row>
        <row r="3144">
          <cell r="B3144" t="str">
            <v>WT-9002BNZZ02</v>
          </cell>
        </row>
        <row r="3144">
          <cell r="P3144" t="str">
            <v>211F9002BN2</v>
          </cell>
        </row>
        <row r="3145">
          <cell r="B3145" t="str">
            <v>WT-ZZ01BN02</v>
          </cell>
        </row>
        <row r="3145">
          <cell r="P3145" t="str">
            <v>390F0001BN1</v>
          </cell>
        </row>
        <row r="3146">
          <cell r="B3146" t="str">
            <v>CF-QVLA-RQIT</v>
          </cell>
        </row>
        <row r="3147">
          <cell r="B3147" t="str">
            <v>WT-9809CP WT-9801CP</v>
          </cell>
        </row>
        <row r="3148">
          <cell r="B3148" t="str">
            <v>WT-9809ORB WT-9801ORB</v>
          </cell>
        </row>
        <row r="3149">
          <cell r="B3149" t="str">
            <v>WT-9801BK02-ZZ</v>
          </cell>
        </row>
        <row r="3149">
          <cell r="P3149" t="str">
            <v>110F0098BK1</v>
          </cell>
        </row>
        <row r="3150">
          <cell r="B3150" t="str">
            <v>WT-9807RBK WT-9801RBK</v>
          </cell>
        </row>
        <row r="3151">
          <cell r="B3151" t="str">
            <v>WT-9802BGZZ00</v>
          </cell>
        </row>
        <row r="3151">
          <cell r="P3151" t="str">
            <v>120F0098BG1</v>
          </cell>
        </row>
        <row r="3152">
          <cell r="B3152" t="str">
            <v>WT-ZZ01CP06</v>
          </cell>
        </row>
        <row r="3152">
          <cell r="P3152" t="str">
            <v>390F0001CP1</v>
          </cell>
        </row>
        <row r="3153">
          <cell r="B3153" t="str">
            <v>WT-ZZ01CP15</v>
          </cell>
        </row>
        <row r="3153">
          <cell r="P3153" t="str">
            <v>390F0001CP1</v>
          </cell>
        </row>
        <row r="3154">
          <cell r="B3154" t="str">
            <v>WT-9802BKZZ</v>
          </cell>
        </row>
        <row r="3155">
          <cell r="B3155" t="str">
            <v>WT-9808BKZZ02</v>
          </cell>
        </row>
        <row r="3155">
          <cell r="P3155" t="str">
            <v>222F0098BK1</v>
          </cell>
        </row>
        <row r="3156">
          <cell r="B3156" t="str">
            <v>WT-9804BN</v>
          </cell>
        </row>
        <row r="3156">
          <cell r="P3156" t="str">
            <v>140F0098BN1</v>
          </cell>
        </row>
        <row r="3157">
          <cell r="B3157" t="str">
            <v>WT-9809BNZZ02</v>
          </cell>
        </row>
        <row r="3157">
          <cell r="P3157" t="str">
            <v>223F0098BN1</v>
          </cell>
        </row>
        <row r="3158">
          <cell r="B3158" t="str">
            <v>WT-B830ORB02</v>
          </cell>
        </row>
        <row r="3158">
          <cell r="P3158" t="str">
            <v>211F8000OB1</v>
          </cell>
        </row>
        <row r="3159">
          <cell r="B3159" t="str">
            <v>WT-9811BGZZ</v>
          </cell>
        </row>
        <row r="3159">
          <cell r="P3159" t="str">
            <v>211F0098BG1</v>
          </cell>
        </row>
        <row r="3160">
          <cell r="B3160" t="str">
            <v>WT-9002-ZZ</v>
          </cell>
        </row>
        <row r="3161">
          <cell r="B3161" t="str">
            <v>WT-9804BG-ZZ</v>
          </cell>
        </row>
        <row r="3161">
          <cell r="P3161" t="str">
            <v>140F0098BG1</v>
          </cell>
        </row>
        <row r="3162">
          <cell r="B3162" t="str">
            <v>WT-9805BGZZ</v>
          </cell>
        </row>
        <row r="3162">
          <cell r="P3162" t="str">
            <v>150F0098BG1</v>
          </cell>
        </row>
        <row r="3163">
          <cell r="B3163" t="str">
            <v>WT-ZZ01BK04</v>
          </cell>
        </row>
        <row r="3163">
          <cell r="P3163" t="str">
            <v>390F0001BK1</v>
          </cell>
        </row>
        <row r="3164">
          <cell r="B3164" t="str">
            <v>WT-B830BN03</v>
          </cell>
        </row>
        <row r="3164">
          <cell r="P3164" t="str">
            <v>211F8000BN1</v>
          </cell>
        </row>
        <row r="3165">
          <cell r="B3165" t="str">
            <v>WT-9805BK</v>
          </cell>
        </row>
        <row r="3165">
          <cell r="P3165" t="str">
            <v>150F0098BK1</v>
          </cell>
        </row>
        <row r="3166">
          <cell r="B3166" t="str">
            <v>WT-9808BG WT-9801BG</v>
          </cell>
        </row>
        <row r="3167">
          <cell r="B3167" t="str">
            <v>WT-9805BKZZ04</v>
          </cell>
        </row>
        <row r="3167">
          <cell r="P3167" t="str">
            <v>150F0098BK1</v>
          </cell>
        </row>
        <row r="3168">
          <cell r="B3168" t="str">
            <v>WT-9808ORB04</v>
          </cell>
        </row>
        <row r="3168">
          <cell r="P3168" t="str">
            <v>222F0098OB1</v>
          </cell>
        </row>
        <row r="3169">
          <cell r="B3169" t="str">
            <v>WT-9807BGZZ02</v>
          </cell>
        </row>
        <row r="3170">
          <cell r="B3170" t="str">
            <v>WT-9809BG WT-9801BG</v>
          </cell>
        </row>
        <row r="3171">
          <cell r="B3171" t="str">
            <v>GK-MHPL-49RE</v>
          </cell>
        </row>
        <row r="3172">
          <cell r="B3172" t="str">
            <v>WT-9807A</v>
          </cell>
        </row>
        <row r="3173">
          <cell r="B3173" t="str">
            <v>WT-1006-BGZZ</v>
          </cell>
        </row>
        <row r="3173">
          <cell r="P3173" t="str">
            <v>211F0033BG3</v>
          </cell>
        </row>
        <row r="3174">
          <cell r="B3174" t="str">
            <v>WT-3311-BN03</v>
          </cell>
        </row>
        <row r="3174">
          <cell r="P3174" t="str">
            <v>211F0033BN1</v>
          </cell>
        </row>
        <row r="3175">
          <cell r="B3175" t="str">
            <v>WT-9002BN02</v>
          </cell>
        </row>
        <row r="3175">
          <cell r="P3175" t="str">
            <v>211F9002BN2</v>
          </cell>
        </row>
        <row r="3176">
          <cell r="B3176" t="str">
            <v>WT-9807BKZZ</v>
          </cell>
        </row>
        <row r="3176">
          <cell r="P3176" t="str">
            <v>221F0098BK1</v>
          </cell>
        </row>
        <row r="3177">
          <cell r="B3177" t="str">
            <v>WT-9809ORB03</v>
          </cell>
        </row>
        <row r="3177">
          <cell r="P3177" t="str">
            <v>223F0098OB1</v>
          </cell>
        </row>
        <row r="3178">
          <cell r="B3178" t="str">
            <v>WT-B830BG03</v>
          </cell>
        </row>
        <row r="3178">
          <cell r="P3178" t="str">
            <v>211F8000BG1</v>
          </cell>
        </row>
        <row r="3179">
          <cell r="B3179" t="str">
            <v>WT-9812BNZZ</v>
          </cell>
        </row>
        <row r="3179">
          <cell r="P3179" t="str">
            <v>320F0098BN1</v>
          </cell>
        </row>
        <row r="3180">
          <cell r="B3180" t="str">
            <v>WT-9812BK02</v>
          </cell>
        </row>
        <row r="3180">
          <cell r="P3180" t="str">
            <v>320F0098BK1</v>
          </cell>
        </row>
        <row r="3181">
          <cell r="B3181" t="str">
            <v>WT-9812ORB02</v>
          </cell>
        </row>
        <row r="3181">
          <cell r="P3181" t="str">
            <v>320F0098OB1</v>
          </cell>
        </row>
        <row r="3182">
          <cell r="B3182" t="str">
            <v>WT-9806RGBKZZ02</v>
          </cell>
        </row>
        <row r="3182">
          <cell r="P3182" t="str">
            <v>230F0098RB1</v>
          </cell>
        </row>
        <row r="3183">
          <cell r="B3183" t="str">
            <v>WT-ZZ0005</v>
          </cell>
        </row>
        <row r="3184">
          <cell r="B3184" t="str">
            <v>WT-9812BNZZ03</v>
          </cell>
        </row>
        <row r="3184">
          <cell r="P3184" t="str">
            <v>320F0098BN1</v>
          </cell>
        </row>
        <row r="3185">
          <cell r="B3185" t="str">
            <v>WT-ZZ01BK03</v>
          </cell>
        </row>
        <row r="3185">
          <cell r="P3185" t="str">
            <v>390F0001BK1</v>
          </cell>
        </row>
        <row r="3186">
          <cell r="B3186" t="str">
            <v>WT-9812CP02</v>
          </cell>
        </row>
        <row r="3186">
          <cell r="P3186" t="str">
            <v>320F0098CP1</v>
          </cell>
        </row>
        <row r="3187">
          <cell r="B3187" t="str">
            <v>WT-9809BK WT-9801BK</v>
          </cell>
        </row>
        <row r="3188">
          <cell r="B3188" t="str">
            <v>WT-9811CP03</v>
          </cell>
        </row>
        <row r="3188">
          <cell r="P3188" t="str">
            <v>211F0098CP1</v>
          </cell>
        </row>
        <row r="3189">
          <cell r="B3189" t="str">
            <v>WT-9808CP04</v>
          </cell>
        </row>
        <row r="3189">
          <cell r="P3189" t="str">
            <v>222F0098CP1</v>
          </cell>
        </row>
        <row r="3190">
          <cell r="B3190" t="str">
            <v>WT-3311-BKZZ01</v>
          </cell>
        </row>
        <row r="3190">
          <cell r="P3190" t="str">
            <v>211F0033BK2</v>
          </cell>
        </row>
        <row r="3191">
          <cell r="B3191" t="str">
            <v>WT-9809CPZZ02</v>
          </cell>
        </row>
        <row r="3191">
          <cell r="P3191" t="str">
            <v>223F0098CP1</v>
          </cell>
        </row>
        <row r="3192">
          <cell r="B3192" t="str">
            <v>WT-1006-BNZZ</v>
          </cell>
        </row>
        <row r="3192">
          <cell r="P3192" t="str">
            <v>211F1006BN2</v>
          </cell>
        </row>
        <row r="3193">
          <cell r="B3193" t="str">
            <v>WT-9808BN03</v>
          </cell>
        </row>
        <row r="3193">
          <cell r="P3193" t="str">
            <v>222F0098BN1</v>
          </cell>
        </row>
        <row r="3194">
          <cell r="B3194" t="str">
            <v>WT-9809ORB04</v>
          </cell>
        </row>
        <row r="3194">
          <cell r="P3194" t="str">
            <v>223F0098OB1</v>
          </cell>
        </row>
        <row r="3195">
          <cell r="B3195" t="str">
            <v>WT-B830BNZZ14</v>
          </cell>
        </row>
        <row r="3195">
          <cell r="P3195" t="str">
            <v>211F8000BN1</v>
          </cell>
        </row>
        <row r="3196">
          <cell r="B3196" t="str">
            <v>WT-9807CP WT-9801CP</v>
          </cell>
        </row>
        <row r="3197">
          <cell r="B3197" t="str">
            <v>WT-9812CPZZ03</v>
          </cell>
        </row>
        <row r="3197">
          <cell r="P3197" t="str">
            <v>320F0098CP1</v>
          </cell>
        </row>
        <row r="3198">
          <cell r="B3198" t="str">
            <v>WT-9812BN WT-9801BN</v>
          </cell>
        </row>
        <row r="3199">
          <cell r="B3199" t="str">
            <v>WT-ZZ0014-390F</v>
          </cell>
        </row>
        <row r="3200">
          <cell r="B3200" t="str">
            <v>WT-B830CP03</v>
          </cell>
        </row>
        <row r="3200">
          <cell r="P3200" t="str">
            <v>211F8000CP1</v>
          </cell>
        </row>
        <row r="3201">
          <cell r="B3201" t="str">
            <v>WT-9808RGBKZZ02</v>
          </cell>
        </row>
        <row r="3201">
          <cell r="P3201" t="str">
            <v>222F0098RB1</v>
          </cell>
        </row>
        <row r="3202">
          <cell r="B3202" t="str">
            <v>WT-ZZ01CP12</v>
          </cell>
        </row>
        <row r="3202">
          <cell r="P3202" t="str">
            <v>390F0001CP1</v>
          </cell>
        </row>
        <row r="3203">
          <cell r="B3203" t="str">
            <v>WT-9802BKZZ00</v>
          </cell>
        </row>
        <row r="3203">
          <cell r="P3203" t="str">
            <v>120F0098BK1</v>
          </cell>
        </row>
        <row r="3204">
          <cell r="B3204" t="str">
            <v>WT-ZZ01CP04</v>
          </cell>
        </row>
        <row r="3204">
          <cell r="P3204" t="str">
            <v>390F0001CP1</v>
          </cell>
        </row>
        <row r="3205">
          <cell r="B3205" t="str">
            <v>WT-9808ORB</v>
          </cell>
        </row>
        <row r="3205">
          <cell r="P3205" t="str">
            <v>222F0098OB1</v>
          </cell>
        </row>
        <row r="3206">
          <cell r="B3206" t="str">
            <v>WT-9812BK03</v>
          </cell>
        </row>
        <row r="3206">
          <cell r="P3206" t="str">
            <v>320F0098BK1</v>
          </cell>
        </row>
        <row r="3207">
          <cell r="B3207" t="str">
            <v>WT-9808ORBZZ02</v>
          </cell>
        </row>
        <row r="3207">
          <cell r="P3207" t="str">
            <v>222F0098OB1</v>
          </cell>
        </row>
        <row r="3208">
          <cell r="B3208" t="str">
            <v>WT-9809BNZZ</v>
          </cell>
        </row>
        <row r="3208">
          <cell r="P3208" t="str">
            <v>223F0098BN1</v>
          </cell>
        </row>
        <row r="3209">
          <cell r="B3209" t="str">
            <v>WT-9809BKZZ02</v>
          </cell>
        </row>
        <row r="3209">
          <cell r="P3209" t="str">
            <v>223F0098BK1</v>
          </cell>
        </row>
        <row r="3210">
          <cell r="B3210" t="str">
            <v>WT-9811BK02</v>
          </cell>
        </row>
        <row r="3210">
          <cell r="P3210" t="str">
            <v>211F0098BK2</v>
          </cell>
        </row>
        <row r="3211">
          <cell r="B3211" t="str">
            <v>WT-9800</v>
          </cell>
        </row>
        <row r="3212">
          <cell r="B3212" t="str">
            <v>WT-9801RGBK02-ZZ</v>
          </cell>
        </row>
        <row r="3212">
          <cell r="P3212" t="str">
            <v>110F0098RB1</v>
          </cell>
        </row>
        <row r="3213">
          <cell r="B3213" t="str">
            <v>WT-3311-ORBZZ02</v>
          </cell>
        </row>
        <row r="3213">
          <cell r="P3213" t="str">
            <v>211F0033OB1</v>
          </cell>
        </row>
        <row r="3214">
          <cell r="B3214" t="str">
            <v>WT-9807BKZZ08</v>
          </cell>
        </row>
        <row r="3214">
          <cell r="P3214" t="str">
            <v>221F0098BK1</v>
          </cell>
        </row>
        <row r="3215">
          <cell r="B3215" t="str">
            <v>WT-9806BKZZ</v>
          </cell>
        </row>
        <row r="3216">
          <cell r="B3216" t="str">
            <v>WT-9808RGBK03</v>
          </cell>
        </row>
        <row r="3216">
          <cell r="P3216" t="str">
            <v>222F0098RB1</v>
          </cell>
        </row>
        <row r="3217">
          <cell r="B3217" t="str">
            <v>WT-9812CP WT-9801CP</v>
          </cell>
        </row>
        <row r="3218">
          <cell r="B3218" t="str">
            <v>WT-9805BKZZ</v>
          </cell>
        </row>
        <row r="3218">
          <cell r="P3218" t="str">
            <v>150F0098BK1</v>
          </cell>
        </row>
        <row r="3219">
          <cell r="B3219" t="str">
            <v>I1-RT7Z-QBUW</v>
          </cell>
        </row>
        <row r="3219">
          <cell r="P3219" t="str">
            <v>211F9002BK2</v>
          </cell>
        </row>
        <row r="3220">
          <cell r="B3220" t="str">
            <v>WT-B830BNZZ03</v>
          </cell>
        </row>
        <row r="3220">
          <cell r="P3220" t="str">
            <v>211F8000BN1</v>
          </cell>
        </row>
        <row r="3221">
          <cell r="B3221" t="str">
            <v>WT-9812BG02</v>
          </cell>
        </row>
        <row r="3221">
          <cell r="P3221" t="str">
            <v>320F0098BG1</v>
          </cell>
        </row>
        <row r="3222">
          <cell r="B3222" t="str">
            <v>WT-0006ZZ</v>
          </cell>
        </row>
        <row r="3223">
          <cell r="B3223" t="str">
            <v>SZ-B9904BN</v>
          </cell>
        </row>
        <row r="3223">
          <cell r="P3223" t="str">
            <v>140F0099BN1</v>
          </cell>
        </row>
        <row r="3224">
          <cell r="B3224" t="str">
            <v>WT-9811BGZZ03</v>
          </cell>
        </row>
        <row r="3224">
          <cell r="P3224" t="str">
            <v>211F0098BG3</v>
          </cell>
        </row>
        <row r="3225">
          <cell r="B3225" t="str">
            <v>WT-B830BNZZ08</v>
          </cell>
        </row>
        <row r="3225">
          <cell r="P3225" t="str">
            <v>211F8000BN1</v>
          </cell>
        </row>
        <row r="3226">
          <cell r="B3226" t="str">
            <v>WT-9811BG03</v>
          </cell>
        </row>
        <row r="3226">
          <cell r="P3226" t="str">
            <v>211F0098BG1</v>
          </cell>
        </row>
        <row r="3227">
          <cell r="B3227" t="str">
            <v>WT-B830BNZZ10</v>
          </cell>
        </row>
        <row r="3227">
          <cell r="P3227" t="str">
            <v>211F8000BN1</v>
          </cell>
        </row>
        <row r="3228">
          <cell r="B3228" t="str">
            <v>WT-9808BGZZ</v>
          </cell>
        </row>
        <row r="3228">
          <cell r="P3228" t="str">
            <v>222F0098BG1</v>
          </cell>
        </row>
        <row r="3229">
          <cell r="B3229" t="str">
            <v>WT-9809BK04</v>
          </cell>
        </row>
        <row r="3229">
          <cell r="P3229" t="str">
            <v>223F0098BK1</v>
          </cell>
        </row>
        <row r="3230">
          <cell r="B3230" t="str">
            <v>WT-ZZ0015-f</v>
          </cell>
        </row>
        <row r="3231">
          <cell r="B3231" t="str">
            <v>WT-3311-BNZZ01</v>
          </cell>
        </row>
        <row r="3231">
          <cell r="P3231" t="str">
            <v>211F0033BN1</v>
          </cell>
        </row>
        <row r="3232">
          <cell r="B3232" t="str">
            <v>WT-9808RGBKZZ</v>
          </cell>
        </row>
        <row r="3232">
          <cell r="P3232" t="str">
            <v>222F0098RB1</v>
          </cell>
        </row>
        <row r="3233">
          <cell r="B3233" t="str">
            <v>WT-9002CP02</v>
          </cell>
        </row>
        <row r="3233">
          <cell r="P3233" t="str">
            <v>211F9002CP1</v>
          </cell>
        </row>
        <row r="3234">
          <cell r="B3234" t="str">
            <v>WT-9002BGZZ02</v>
          </cell>
        </row>
        <row r="3234">
          <cell r="P3234" t="str">
            <v>211F9002BG1</v>
          </cell>
        </row>
        <row r="3235">
          <cell r="B3235" t="str">
            <v>WT-B830BNZZ11</v>
          </cell>
        </row>
        <row r="3235">
          <cell r="P3235" t="str">
            <v>211F8000BN1</v>
          </cell>
        </row>
        <row r="3236">
          <cell r="B3236" t="str">
            <v>WT-ZZ01CP14</v>
          </cell>
        </row>
        <row r="3236">
          <cell r="P3236" t="str">
            <v>390F0001CP1</v>
          </cell>
        </row>
        <row r="3237">
          <cell r="B3237" t="str">
            <v>WT-9811BN WT-9801BN</v>
          </cell>
        </row>
        <row r="3238">
          <cell r="B3238" t="str">
            <v>BABA</v>
          </cell>
        </row>
        <row r="3239">
          <cell r="B3239" t="str">
            <v>SZ-B9904BN</v>
          </cell>
        </row>
        <row r="3239">
          <cell r="P3239" t="str">
            <v>140F0099BN1</v>
          </cell>
        </row>
        <row r="3240">
          <cell r="B3240" t="str">
            <v>WT-9807-6color</v>
          </cell>
        </row>
        <row r="3241">
          <cell r="B3241" t="str">
            <v>WT-9807CP</v>
          </cell>
        </row>
        <row r="3241">
          <cell r="P3241" t="str">
            <v>221F0098CP1</v>
          </cell>
        </row>
        <row r="3242">
          <cell r="B3242" t="str">
            <v>WT-001ZZ</v>
          </cell>
        </row>
        <row r="3243">
          <cell r="B3243" t="str">
            <v>WT-9802BGZZ02</v>
          </cell>
        </row>
        <row r="3243">
          <cell r="P3243" t="str">
            <v>120F0098BG1</v>
          </cell>
        </row>
        <row r="3244">
          <cell r="B3244" t="str">
            <v>WT-3311-ORB03</v>
          </cell>
        </row>
        <row r="3244">
          <cell r="P3244" t="str">
            <v>211F0033OB1</v>
          </cell>
        </row>
        <row r="3245">
          <cell r="B3245" t="str">
            <v>WT-9807BKZZ02</v>
          </cell>
        </row>
        <row r="3245">
          <cell r="P3245" t="str">
            <v>221F0098BK1</v>
          </cell>
        </row>
        <row r="3246">
          <cell r="B3246" t="str">
            <v>WT-9806BNZZ02</v>
          </cell>
        </row>
        <row r="3246">
          <cell r="P3246" t="str">
            <v>230F0098BN1</v>
          </cell>
        </row>
        <row r="3247">
          <cell r="B3247" t="str">
            <v>WT-9808BK WT-9801BK</v>
          </cell>
        </row>
        <row r="3248">
          <cell r="B3248" t="str">
            <v>WT-9809RGBKZZ02</v>
          </cell>
        </row>
        <row r="3248">
          <cell r="P3248" t="str">
            <v>223F0098RB1</v>
          </cell>
        </row>
        <row r="3249">
          <cell r="B3249" t="str">
            <v>WT-9808CPZZ</v>
          </cell>
        </row>
        <row r="3249">
          <cell r="P3249" t="str">
            <v>222F0098CP1</v>
          </cell>
        </row>
        <row r="3250">
          <cell r="B3250" t="str">
            <v>WT-9809BKZZ</v>
          </cell>
        </row>
        <row r="3250">
          <cell r="P3250" t="str">
            <v>223F0098BK1</v>
          </cell>
        </row>
        <row r="3251">
          <cell r="B3251" t="str">
            <v>WT-9801ORB</v>
          </cell>
        </row>
        <row r="3251">
          <cell r="P3251" t="str">
            <v>110F0098OB1</v>
          </cell>
        </row>
        <row r="3252">
          <cell r="B3252" t="str">
            <v>WT-9812BG WT-9801BG</v>
          </cell>
        </row>
        <row r="3253">
          <cell r="B3253" t="str">
            <v>WT-9812BGZZ</v>
          </cell>
        </row>
        <row r="3253">
          <cell r="P3253" t="str">
            <v>320F0098BG1</v>
          </cell>
        </row>
        <row r="3254">
          <cell r="B3254" t="str">
            <v>WT-9811RGBK03</v>
          </cell>
        </row>
        <row r="3254">
          <cell r="P3254" t="str">
            <v>211F0098RB1</v>
          </cell>
        </row>
        <row r="3255">
          <cell r="B3255" t="str">
            <v>WT-9808ORB-02</v>
          </cell>
        </row>
        <row r="3255">
          <cell r="P3255" t="str">
            <v>222F0098OB1</v>
          </cell>
        </row>
        <row r="3256">
          <cell r="B3256" t="str">
            <v>WT-B830BKZZ</v>
          </cell>
        </row>
        <row r="3256">
          <cell r="P3256" t="str">
            <v>211F8000BK2</v>
          </cell>
        </row>
        <row r="3257">
          <cell r="B3257" t="str">
            <v>WT-9808ORBZZ</v>
          </cell>
        </row>
        <row r="3257">
          <cell r="P3257" t="str">
            <v>222F0098OB1</v>
          </cell>
        </row>
        <row r="3258">
          <cell r="B3258" t="str">
            <v>WT-9811RGBK02</v>
          </cell>
        </row>
        <row r="3258">
          <cell r="P3258" t="str">
            <v>211F0098RB1</v>
          </cell>
        </row>
        <row r="3259">
          <cell r="B3259" t="str">
            <v>WT-9002BG03</v>
          </cell>
        </row>
        <row r="3259">
          <cell r="P3259" t="str">
            <v>211F9002BG3</v>
          </cell>
        </row>
        <row r="3260">
          <cell r="B3260" t="str">
            <v>WT-9806ORBZZ02</v>
          </cell>
        </row>
        <row r="3260">
          <cell r="P3260" t="str">
            <v>230F0098OB1</v>
          </cell>
        </row>
        <row r="3261">
          <cell r="B3261" t="str">
            <v>WT-ZZ0017-9002</v>
          </cell>
        </row>
        <row r="3262">
          <cell r="B3262" t="str">
            <v>WT-9804BG</v>
          </cell>
        </row>
        <row r="3262">
          <cell r="P3262" t="str">
            <v>140F0098BG1</v>
          </cell>
        </row>
        <row r="3263">
          <cell r="B3263" t="str">
            <v>WT9811-RGBK WT9804-RGBK</v>
          </cell>
        </row>
        <row r="3264">
          <cell r="B3264" t="str">
            <v>WT-9805BKZZ00</v>
          </cell>
        </row>
        <row r="3264">
          <cell r="P3264" t="str">
            <v>150F0098BK1</v>
          </cell>
        </row>
        <row r="3265">
          <cell r="B3265" t="str">
            <v>WT-ZZ0008-9807</v>
          </cell>
        </row>
        <row r="3266">
          <cell r="B3266" t="str">
            <v>WT-B830BG02</v>
          </cell>
        </row>
        <row r="3266">
          <cell r="P3266" t="str">
            <v>211F8000BG1</v>
          </cell>
        </row>
        <row r="3267">
          <cell r="B3267" t="str">
            <v>WT-9808BN04</v>
          </cell>
        </row>
        <row r="3267">
          <cell r="P3267" t="str">
            <v>222F0098BN1</v>
          </cell>
        </row>
        <row r="3268">
          <cell r="B3268" t="str">
            <v>WT-9812RGBKZZ03</v>
          </cell>
        </row>
        <row r="3268">
          <cell r="P3268" t="str">
            <v>320F0098RB1</v>
          </cell>
        </row>
        <row r="3269">
          <cell r="B3269" t="str">
            <v>WT-9002ORBZZ</v>
          </cell>
        </row>
        <row r="3269">
          <cell r="P3269" t="str">
            <v>211F9002OB1</v>
          </cell>
        </row>
        <row r="3270">
          <cell r="B3270" t="str">
            <v>WT-9808CP03</v>
          </cell>
        </row>
        <row r="3270">
          <cell r="P3270" t="str">
            <v>222F0098CP1</v>
          </cell>
        </row>
        <row r="3271">
          <cell r="B3271" t="str">
            <v>WT-0010ZZ</v>
          </cell>
        </row>
        <row r="3271">
          <cell r="P3271" t="str">
            <v>230F3007BG4</v>
          </cell>
        </row>
        <row r="3272">
          <cell r="B3272" t="str">
            <v>WT-9811CP02</v>
          </cell>
        </row>
        <row r="3272">
          <cell r="P3272" t="str">
            <v>211F0098CP1</v>
          </cell>
        </row>
        <row r="3273">
          <cell r="B3273" t="str">
            <v>WT-B830BNZZ07</v>
          </cell>
        </row>
        <row r="3273">
          <cell r="P3273" t="str">
            <v>211F8000BN1</v>
          </cell>
        </row>
        <row r="3274">
          <cell r="B3274" t="str">
            <v>WT-B830CPZZ</v>
          </cell>
        </row>
        <row r="3274">
          <cell r="P3274" t="str">
            <v>211F8000BN1</v>
          </cell>
        </row>
        <row r="3275">
          <cell r="B3275" t="str">
            <v>L1-6VC0-6QKG</v>
          </cell>
        </row>
        <row r="3276">
          <cell r="B3276" t="str">
            <v>WT-9807BG WT-9801BG</v>
          </cell>
        </row>
        <row r="3277">
          <cell r="B3277" t="str">
            <v>WT-002ZZ</v>
          </cell>
        </row>
        <row r="3278">
          <cell r="B3278" t="str">
            <v>WT-980706</v>
          </cell>
        </row>
        <row r="3279">
          <cell r="B3279" t="str">
            <v>WT-9002CP03</v>
          </cell>
        </row>
        <row r="3279">
          <cell r="P3279" t="str">
            <v>211F9002CP1</v>
          </cell>
        </row>
        <row r="3280">
          <cell r="B3280" t="str">
            <v>WT-9811BN02</v>
          </cell>
        </row>
        <row r="3280">
          <cell r="P3280" t="str">
            <v>211F0098BN1</v>
          </cell>
        </row>
        <row r="3281">
          <cell r="B3281" t="str">
            <v>WT-ZZ01BN03</v>
          </cell>
        </row>
        <row r="3281">
          <cell r="P3281" t="str">
            <v>390F0001BN1</v>
          </cell>
        </row>
        <row r="3282">
          <cell r="B3282" t="str">
            <v>WT-9002-9806-9804-BK</v>
          </cell>
        </row>
        <row r="3283">
          <cell r="B3283" t="str">
            <v>WT-9809BG04</v>
          </cell>
        </row>
        <row r="3283">
          <cell r="P3283" t="str">
            <v>223F0098BG1</v>
          </cell>
        </row>
        <row r="3284">
          <cell r="B3284" t="str">
            <v>WT-9806CPZZ</v>
          </cell>
        </row>
        <row r="3285">
          <cell r="B3285" t="str">
            <v>WT-9809BGZZ02</v>
          </cell>
        </row>
        <row r="3285">
          <cell r="P3285" t="str">
            <v>223F0098BG1</v>
          </cell>
        </row>
        <row r="3286">
          <cell r="B3286" t="str">
            <v>WT-9811BG02</v>
          </cell>
        </row>
        <row r="3286">
          <cell r="P3286" t="str">
            <v>211F0098BG1</v>
          </cell>
        </row>
        <row r="3287">
          <cell r="B3287" t="str">
            <v>WT-9812BN02</v>
          </cell>
        </row>
        <row r="3287">
          <cell r="P3287" t="str">
            <v>320F0098BN1</v>
          </cell>
        </row>
        <row r="3288">
          <cell r="B3288" t="str">
            <v>WT-9811ORB  WT-9801ORB</v>
          </cell>
        </row>
        <row r="3289">
          <cell r="B3289" t="str">
            <v>WT-9806BNZZ</v>
          </cell>
        </row>
        <row r="3290">
          <cell r="B3290" t="str">
            <v>WT-B830BNZZ02</v>
          </cell>
        </row>
        <row r="3290">
          <cell r="P3290" t="str">
            <v>211F8000BN1</v>
          </cell>
        </row>
        <row r="3291">
          <cell r="B3291" t="str">
            <v>WT-9806RGBKZZ</v>
          </cell>
        </row>
        <row r="3292">
          <cell r="B3292" t="str">
            <v>WT-9002BKZZ02</v>
          </cell>
        </row>
        <row r="3292">
          <cell r="P3292" t="str">
            <v>211F9002BK2</v>
          </cell>
        </row>
        <row r="3293">
          <cell r="B3293" t="str">
            <v>WT-9807CPZZ</v>
          </cell>
        </row>
        <row r="3293">
          <cell r="P3293" t="str">
            <v>221F0098CP1</v>
          </cell>
        </row>
        <row r="3294">
          <cell r="B3294" t="str">
            <v>WT-9002ORB02</v>
          </cell>
        </row>
        <row r="3294">
          <cell r="P3294" t="str">
            <v>211F9002OB1</v>
          </cell>
        </row>
        <row r="3295">
          <cell r="B3295" t="str">
            <v>WT-9811ORB02</v>
          </cell>
        </row>
        <row r="3295">
          <cell r="P3295" t="str">
            <v>211F0098OB1</v>
          </cell>
        </row>
        <row r="3296">
          <cell r="B3296" t="str">
            <v>WT-9807ORBZZ</v>
          </cell>
        </row>
        <row r="3296">
          <cell r="P3296" t="str">
            <v>221F0098OB1</v>
          </cell>
        </row>
        <row r="3297">
          <cell r="B3297" t="str">
            <v>WT-3311-BGZZ01</v>
          </cell>
        </row>
        <row r="3297">
          <cell r="P3297" t="str">
            <v>211F0033BG3</v>
          </cell>
        </row>
        <row r="3298">
          <cell r="B3298" t="str">
            <v>WT-9812BKZZ</v>
          </cell>
        </row>
        <row r="3298">
          <cell r="P3298" t="str">
            <v>320F0098BK1</v>
          </cell>
        </row>
        <row r="3299">
          <cell r="B3299" t="str">
            <v>WT-9812CP03</v>
          </cell>
        </row>
        <row r="3299">
          <cell r="P3299" t="str">
            <v>320F0098CP1</v>
          </cell>
        </row>
        <row r="3300">
          <cell r="B3300" t="str">
            <v>WT-B830BNZZ04</v>
          </cell>
        </row>
        <row r="3300">
          <cell r="P3300" t="str">
            <v>211F8000BN1</v>
          </cell>
        </row>
        <row r="3301">
          <cell r="B3301" t="str">
            <v>WT-9806BGZZ</v>
          </cell>
        </row>
        <row r="3302">
          <cell r="B3302" t="str">
            <v>WT-9809BN03</v>
          </cell>
        </row>
        <row r="3302">
          <cell r="P3302" t="str">
            <v>223F0098BN1</v>
          </cell>
        </row>
        <row r="3303">
          <cell r="B3303" t="str">
            <v>WT-9807BG WT-9804BG</v>
          </cell>
        </row>
        <row r="3304">
          <cell r="B3304" t="str">
            <v>WT-9809CP</v>
          </cell>
        </row>
        <row r="3304">
          <cell r="P3304" t="str">
            <v>223F0098CP1</v>
          </cell>
        </row>
        <row r="3305">
          <cell r="B3305" t="str">
            <v>WT-9812RGBK03</v>
          </cell>
        </row>
        <row r="3305">
          <cell r="P3305" t="str">
            <v>320F0098RB1</v>
          </cell>
        </row>
        <row r="3306">
          <cell r="B3306" t="str">
            <v>WT-B830BGZZ</v>
          </cell>
        </row>
        <row r="3307">
          <cell r="B3307" t="str">
            <v>WT-9801BK03-ZZ</v>
          </cell>
        </row>
        <row r="3307">
          <cell r="P3307" t="str">
            <v>110F0098BK1</v>
          </cell>
        </row>
        <row r="3308">
          <cell r="B3308" t="str">
            <v>WT-9804-ZZ</v>
          </cell>
        </row>
        <row r="3309">
          <cell r="B3309" t="str">
            <v>WT-9812ORB03</v>
          </cell>
        </row>
        <row r="3309">
          <cell r="P3309" t="str">
            <v>320F0098OB1</v>
          </cell>
        </row>
        <row r="3310">
          <cell r="B3310" t="str">
            <v>WT-9802BKZZ02</v>
          </cell>
        </row>
        <row r="3310">
          <cell r="P3310" t="str">
            <v>120F0098BK1</v>
          </cell>
        </row>
        <row r="3311">
          <cell r="B3311" t="str">
            <v>WT-9809RGBKZZ</v>
          </cell>
        </row>
        <row r="3311">
          <cell r="P3311" t="str">
            <v>223F0098RB1</v>
          </cell>
        </row>
        <row r="3312">
          <cell r="B3312" t="str">
            <v>WT-ZZ01CP11</v>
          </cell>
        </row>
        <row r="3312">
          <cell r="P3312" t="str">
            <v>390F0001CP1</v>
          </cell>
        </row>
        <row r="3313">
          <cell r="B3313" t="str">
            <v>WT-9812BKZZ03</v>
          </cell>
        </row>
        <row r="3313">
          <cell r="P3313" t="str">
            <v>320F0098BK1</v>
          </cell>
        </row>
        <row r="3314">
          <cell r="B3314" t="str">
            <v>WT-9807BNZZ</v>
          </cell>
        </row>
        <row r="3314">
          <cell r="P3314" t="str">
            <v>221F0098BN1</v>
          </cell>
        </row>
        <row r="3315">
          <cell r="B3315" t="str">
            <v>YY-UHL6-2ME5</v>
          </cell>
        </row>
        <row r="3316">
          <cell r="B3316" t="str">
            <v>WT-9808ORB03</v>
          </cell>
        </row>
        <row r="3316">
          <cell r="P3316" t="str">
            <v>222F0098OB1</v>
          </cell>
        </row>
        <row r="3317">
          <cell r="B3317" t="str">
            <v>WT-9812-B830-9801-BK</v>
          </cell>
        </row>
        <row r="3318">
          <cell r="B3318" t="str">
            <v>WT-9809BN</v>
          </cell>
        </row>
        <row r="3318">
          <cell r="P3318" t="str">
            <v>223F0098BN1</v>
          </cell>
        </row>
        <row r="3319">
          <cell r="B3319" t="str">
            <v>WT-9809BGZZ</v>
          </cell>
        </row>
        <row r="3319">
          <cell r="P3319" t="str">
            <v>223F0098BG1</v>
          </cell>
        </row>
        <row r="3320">
          <cell r="B3320" t="str">
            <v>WT-9802ORBZZ</v>
          </cell>
        </row>
        <row r="3320">
          <cell r="P3320" t="str">
            <v>120F0098OB1</v>
          </cell>
        </row>
        <row r="3321">
          <cell r="B3321" t="str">
            <v>WT-9002BK03</v>
          </cell>
        </row>
        <row r="3321">
          <cell r="P3321" t="str">
            <v>211F9002BK2</v>
          </cell>
        </row>
        <row r="3322">
          <cell r="B3322" t="str">
            <v>WT-9809BN WT-9801BN</v>
          </cell>
        </row>
        <row r="3323">
          <cell r="B3323" t="str">
            <v>WT-9804BK-ZZ</v>
          </cell>
        </row>
        <row r="3323">
          <cell r="P3323" t="str">
            <v>140F0098BK1</v>
          </cell>
        </row>
        <row r="3324">
          <cell r="B3324" t="str">
            <v>WT-9811BK WT-9801BK01</v>
          </cell>
        </row>
        <row r="3325">
          <cell r="B3325" t="str">
            <v>WT-9811RGBK WT-9801RGBK01</v>
          </cell>
        </row>
        <row r="3325">
          <cell r="P3325" t="str">
            <v>211F0098RB1</v>
          </cell>
        </row>
        <row r="3326">
          <cell r="B3326" t="str">
            <v>WT-9808OB</v>
          </cell>
        </row>
        <row r="3326">
          <cell r="P3326" t="str">
            <v>222F0098OB1</v>
          </cell>
        </row>
        <row r="3327">
          <cell r="B3327" t="str">
            <v>WT-9806ORBZZ</v>
          </cell>
        </row>
        <row r="3328">
          <cell r="B3328" t="str">
            <v>WT-ZZ0008-9808</v>
          </cell>
        </row>
        <row r="3329">
          <cell r="B3329" t="str">
            <v>WT-ZZ01BN05</v>
          </cell>
        </row>
        <row r="3329">
          <cell r="P3329" t="str">
            <v>390F0001BN1</v>
          </cell>
        </row>
        <row r="3330">
          <cell r="B3330" t="str">
            <v>WT-B830CP02</v>
          </cell>
        </row>
        <row r="3330">
          <cell r="P3330" t="str">
            <v>211F8000CP1</v>
          </cell>
        </row>
        <row r="3331">
          <cell r="B3331" t="str">
            <v>WT-9809BN04</v>
          </cell>
        </row>
        <row r="3331">
          <cell r="P3331" t="str">
            <v>223F0098BN1</v>
          </cell>
        </row>
        <row r="3332">
          <cell r="B3332" t="str">
            <v>WT-9807BK</v>
          </cell>
        </row>
        <row r="3332">
          <cell r="P3332" t="str">
            <v>221F0098BK1</v>
          </cell>
        </row>
        <row r="3333">
          <cell r="B3333" t="str">
            <v>WT-9809RGBK04</v>
          </cell>
        </row>
        <row r="3333">
          <cell r="P3333" t="str">
            <v>223F0098RB1</v>
          </cell>
        </row>
        <row r="3334">
          <cell r="B3334" t="str">
            <v>WT-9812ORBZZ</v>
          </cell>
        </row>
        <row r="3334">
          <cell r="P3334" t="str">
            <v>211F0098OB1</v>
          </cell>
        </row>
        <row r="3335">
          <cell r="B3335" t="str">
            <v>WT-9002BK02</v>
          </cell>
        </row>
        <row r="3335">
          <cell r="P3335" t="str">
            <v>211F9002BK2</v>
          </cell>
        </row>
        <row r="3336">
          <cell r="B3336" t="str">
            <v>WT-9811BKZZ</v>
          </cell>
        </row>
        <row r="3336">
          <cell r="P3336" t="str">
            <v>211F0098BK2</v>
          </cell>
        </row>
        <row r="3337">
          <cell r="B3337" t="str">
            <v>WT-ZZ01CP02</v>
          </cell>
        </row>
        <row r="3337">
          <cell r="P3337" t="str">
            <v>390F0001CP1</v>
          </cell>
        </row>
        <row r="3338">
          <cell r="B3338" t="str">
            <v>WT-9808ORB WT-9801ORB</v>
          </cell>
        </row>
        <row r="3339">
          <cell r="B3339" t="str">
            <v>WT-9809CP03</v>
          </cell>
        </row>
        <row r="3339">
          <cell r="P3339" t="str">
            <v>223F0098CP1</v>
          </cell>
        </row>
        <row r="3340">
          <cell r="B3340" t="str">
            <v>WT-9002CPZZ02</v>
          </cell>
        </row>
        <row r="3340">
          <cell r="P3340" t="str">
            <v>211F9002CP1</v>
          </cell>
        </row>
        <row r="3341">
          <cell r="B3341" t="str">
            <v>WT-3311-ORBZZ01</v>
          </cell>
        </row>
        <row r="3341">
          <cell r="P3341" t="str">
            <v>211F0033OB1</v>
          </cell>
        </row>
        <row r="3342">
          <cell r="B3342" t="str">
            <v>WT-9808BK04</v>
          </cell>
        </row>
        <row r="3342">
          <cell r="P3342" t="str">
            <v>222F0098BK1</v>
          </cell>
        </row>
        <row r="3343">
          <cell r="B3343" t="str">
            <v>WT-9802BK</v>
          </cell>
        </row>
        <row r="3343">
          <cell r="P3343" t="str">
            <v>120F0098BK1</v>
          </cell>
        </row>
        <row r="3344">
          <cell r="B3344" t="str">
            <v>WT-9807BKZZ04</v>
          </cell>
        </row>
        <row r="3344">
          <cell r="P3344" t="str">
            <v>221F0098BK1</v>
          </cell>
        </row>
        <row r="3345">
          <cell r="B3345" t="str">
            <v>WT-9807BKZZ03</v>
          </cell>
        </row>
        <row r="3345">
          <cell r="P3345" t="str">
            <v>221F0098BK1</v>
          </cell>
        </row>
        <row r="3346">
          <cell r="B3346" t="str">
            <v>WT-9809BG03</v>
          </cell>
        </row>
        <row r="3346">
          <cell r="P3346" t="str">
            <v>223F0098BG1</v>
          </cell>
        </row>
        <row r="3347">
          <cell r="B3347" t="str">
            <v>WT-9807BGZZ</v>
          </cell>
        </row>
        <row r="3347">
          <cell r="P3347" t="str">
            <v>221F0098BG1</v>
          </cell>
        </row>
        <row r="3348">
          <cell r="B3348" t="str">
            <v>WT-ZZ0016-9002</v>
          </cell>
        </row>
        <row r="3349">
          <cell r="B3349" t="str">
            <v>WT-9808RGBK04</v>
          </cell>
        </row>
        <row r="3349">
          <cell r="P3349" t="str">
            <v>222F0098RB1</v>
          </cell>
        </row>
        <row r="3350">
          <cell r="B3350" t="str">
            <v>WT-0008ZZ</v>
          </cell>
        </row>
        <row r="3350">
          <cell r="P3350" t="str">
            <v>230F3007BN3</v>
          </cell>
        </row>
        <row r="3351">
          <cell r="B3351" t="str">
            <v>WT-0005ZZ</v>
          </cell>
        </row>
        <row r="3352">
          <cell r="B3352" t="str">
            <v>WT-9811BGZZ04</v>
          </cell>
        </row>
        <row r="3352">
          <cell r="P3352" t="str">
            <v>211F0098BG1</v>
          </cell>
        </row>
        <row r="3353">
          <cell r="B3353" t="str">
            <v>WT-ZZ01CP03</v>
          </cell>
        </row>
        <row r="3353">
          <cell r="P3353" t="str">
            <v>390F0001CP1</v>
          </cell>
        </row>
        <row r="3354">
          <cell r="B3354" t="str">
            <v>WT-9802RGBKZZ</v>
          </cell>
        </row>
        <row r="3354">
          <cell r="P3354" t="str">
            <v>120F0098RB1</v>
          </cell>
        </row>
        <row r="3355">
          <cell r="B3355" t="str">
            <v>WT-9808CP WT-9801CP</v>
          </cell>
        </row>
        <row r="3356">
          <cell r="B3356" t="str">
            <v>WT-9806ZZ</v>
          </cell>
        </row>
        <row r="3357">
          <cell r="B3357" t="str">
            <v>WT-ZZ01CP05</v>
          </cell>
        </row>
        <row r="3357">
          <cell r="P3357" t="str">
            <v>390F0001CP1</v>
          </cell>
        </row>
        <row r="3358">
          <cell r="B3358" t="str">
            <v>WT-3311-BN02</v>
          </cell>
        </row>
        <row r="3358">
          <cell r="P3358" t="str">
            <v>211F0033BN1</v>
          </cell>
        </row>
        <row r="3359">
          <cell r="B3359" t="str">
            <v>WT-0009ZZ</v>
          </cell>
        </row>
        <row r="3359">
          <cell r="P3359" t="str">
            <v>230F3007CP1</v>
          </cell>
        </row>
        <row r="3360">
          <cell r="B3360" t="str">
            <v>WT-B830BN02</v>
          </cell>
        </row>
        <row r="3360">
          <cell r="P3360" t="str">
            <v>211F8000BN1</v>
          </cell>
        </row>
        <row r="3361">
          <cell r="B3361" t="str">
            <v>RS-DHVF-7QJ4</v>
          </cell>
        </row>
        <row r="3362">
          <cell r="B3362" t="str">
            <v>WT-9002BG02</v>
          </cell>
        </row>
        <row r="3362">
          <cell r="P3362" t="str">
            <v>211F9002BG1</v>
          </cell>
        </row>
        <row r="3363">
          <cell r="B3363" t="str">
            <v>WT-9809BK03</v>
          </cell>
        </row>
        <row r="3363">
          <cell r="P3363" t="str">
            <v>223F0098BK1</v>
          </cell>
        </row>
        <row r="3364">
          <cell r="B3364" t="str">
            <v>WT-9802BNZZ02</v>
          </cell>
        </row>
        <row r="3364">
          <cell r="P3364" t="str">
            <v>120F0098BN1</v>
          </cell>
        </row>
        <row r="3365">
          <cell r="B3365" t="str">
            <v>WT-ZZ0010--9809</v>
          </cell>
        </row>
        <row r="3366">
          <cell r="B3366" t="str">
            <v>WT-ZZ0014-f</v>
          </cell>
        </row>
        <row r="3367">
          <cell r="B3367" t="str">
            <v>WT-9802ORBZZ02</v>
          </cell>
        </row>
        <row r="3367">
          <cell r="P3367" t="str">
            <v>120F0098OB1</v>
          </cell>
        </row>
        <row r="3368">
          <cell r="B3368" t="str">
            <v>WT-3311-BG03</v>
          </cell>
        </row>
        <row r="3368">
          <cell r="P3368" t="str">
            <v>211F0033BG3</v>
          </cell>
        </row>
        <row r="3369">
          <cell r="B3369" t="str">
            <v>WT-9808BKZZ</v>
          </cell>
        </row>
        <row r="3369">
          <cell r="P3369" t="str">
            <v>222F0098BK1</v>
          </cell>
        </row>
        <row r="3370">
          <cell r="B3370" t="str">
            <v>WT-9807ORB WT-9801ORB</v>
          </cell>
        </row>
        <row r="3371">
          <cell r="B3371" t="str">
            <v>WT-0007ZZ</v>
          </cell>
        </row>
        <row r="3372">
          <cell r="B3372" t="str">
            <v>WT-9808BN WT-9801BN</v>
          </cell>
        </row>
        <row r="3373">
          <cell r="B3373" t="str">
            <v>AZ-SOEBIZ-US-CFSLT-BN-001</v>
          </cell>
        </row>
        <row r="3373">
          <cell r="P3373" t="str">
            <v>420F0013BN5</v>
          </cell>
        </row>
        <row r="3374">
          <cell r="B3374" t="str">
            <v>SZ-B9911BK</v>
          </cell>
        </row>
        <row r="3374">
          <cell r="P3374" t="str">
            <v>211F0099BK2</v>
          </cell>
        </row>
        <row r="3375">
          <cell r="B3375" t="str">
            <v>SZ-B9906ORB</v>
          </cell>
        </row>
        <row r="3375">
          <cell r="P3375" t="str">
            <v>230F0099OB1</v>
          </cell>
        </row>
        <row r="3376">
          <cell r="B3376" t="str">
            <v>SZ-B3005ORB</v>
          </cell>
        </row>
        <row r="3376">
          <cell r="P3376" t="str">
            <v>230F3005OB1</v>
          </cell>
        </row>
        <row r="3377">
          <cell r="B3377" t="str">
            <v>SZ-B9909ORB</v>
          </cell>
        </row>
        <row r="3377">
          <cell r="P3377" t="str">
            <v>223F0099OB1</v>
          </cell>
        </row>
        <row r="3378">
          <cell r="B3378" t="str">
            <v>SZ-B9908BN</v>
          </cell>
        </row>
        <row r="3378">
          <cell r="P3378" t="str">
            <v>222F0099BN1</v>
          </cell>
        </row>
        <row r="3379">
          <cell r="B3379" t="str">
            <v>SZ-B9906BG</v>
          </cell>
        </row>
        <row r="3379">
          <cell r="P3379" t="str">
            <v>230F0099BG1</v>
          </cell>
        </row>
        <row r="3380">
          <cell r="B3380" t="str">
            <v>SZ-B9904BN</v>
          </cell>
        </row>
        <row r="3380">
          <cell r="P3380" t="str">
            <v>140F0099BN1</v>
          </cell>
        </row>
        <row r="3381">
          <cell r="B3381" t="str">
            <v>SZ-B9909BK</v>
          </cell>
        </row>
        <row r="3381">
          <cell r="P3381" t="str">
            <v>223F0099BK1</v>
          </cell>
        </row>
        <row r="3382">
          <cell r="B3382" t="str">
            <v>SZ-B9908CP</v>
          </cell>
        </row>
        <row r="3382">
          <cell r="P3382" t="str">
            <v>222F0099CP1</v>
          </cell>
        </row>
        <row r="3383">
          <cell r="B3383" t="str">
            <v>SZ-B9908ORB</v>
          </cell>
        </row>
        <row r="3383">
          <cell r="P3383" t="str">
            <v>222F0099OB1</v>
          </cell>
        </row>
        <row r="3384">
          <cell r="B3384" t="str">
            <v>SZ-B9904CP</v>
          </cell>
        </row>
        <row r="3384">
          <cell r="P3384" t="str">
            <v>140F0099CP1</v>
          </cell>
        </row>
        <row r="3385">
          <cell r="B3385" t="str">
            <v>AZ-SOEBIZ-US-CFSLT-BN-004</v>
          </cell>
        </row>
        <row r="3385">
          <cell r="P3385" t="str">
            <v>420F0013BN5</v>
          </cell>
        </row>
        <row r="3386">
          <cell r="B3386" t="str">
            <v>SZ-B9904CP</v>
          </cell>
        </row>
        <row r="3386">
          <cell r="P3386" t="str">
            <v>140F0099CP1</v>
          </cell>
        </row>
        <row r="3387">
          <cell r="B3387" t="str">
            <v>SZ-B9907BN</v>
          </cell>
        </row>
        <row r="3387">
          <cell r="P3387" t="str">
            <v>221F0099BN1</v>
          </cell>
        </row>
        <row r="3388">
          <cell r="B3388" t="str">
            <v>SZ-B9904CP</v>
          </cell>
        </row>
        <row r="3388">
          <cell r="P3388" t="str">
            <v>140F0099CP1</v>
          </cell>
        </row>
        <row r="3389">
          <cell r="B3389" t="str">
            <v>SZ-B9909BK</v>
          </cell>
        </row>
        <row r="3389">
          <cell r="P3389" t="str">
            <v>223F0099BK1</v>
          </cell>
        </row>
        <row r="3390">
          <cell r="B3390" t="str">
            <v>AZ-SOEBIZ-US-CFSLT-BN-005</v>
          </cell>
        </row>
        <row r="3390">
          <cell r="P3390" t="str">
            <v>420F0013BN5</v>
          </cell>
        </row>
        <row r="3391">
          <cell r="B3391" t="str">
            <v>AZ-SOEBIZ-US-CFSLT-BN-003</v>
          </cell>
        </row>
        <row r="3391">
          <cell r="P3391" t="str">
            <v>420F0013BN5</v>
          </cell>
        </row>
        <row r="3392">
          <cell r="B3392" t="str">
            <v>SZ-B9904CP</v>
          </cell>
        </row>
        <row r="3392">
          <cell r="P3392" t="str">
            <v>140F0099CP1</v>
          </cell>
        </row>
        <row r="3393">
          <cell r="B3393" t="str">
            <v>SZ-B9904ORB</v>
          </cell>
        </row>
        <row r="3393">
          <cell r="P3393" t="str">
            <v>140F0099OB1</v>
          </cell>
        </row>
        <row r="3394">
          <cell r="B3394" t="str">
            <v>SZ-S-3315-ORB-04</v>
          </cell>
        </row>
        <row r="3395">
          <cell r="B3395" t="str">
            <v>AZ-SOEBIZ-US-CFSCSLTPT-BN-006</v>
          </cell>
        </row>
        <row r="3395">
          <cell r="P3395" t="str">
            <v>420F0013BN5</v>
          </cell>
        </row>
        <row r="3396">
          <cell r="B3396" t="str">
            <v>SZ-B9908BN</v>
          </cell>
        </row>
        <row r="3396">
          <cell r="P3396" t="str">
            <v>222F0099BN1</v>
          </cell>
        </row>
        <row r="3397">
          <cell r="B3397" t="str">
            <v>SZ-B9904ORB</v>
          </cell>
        </row>
        <row r="3397">
          <cell r="P3397" t="str">
            <v>140F0099OB1</v>
          </cell>
        </row>
        <row r="3398">
          <cell r="B3398" t="str">
            <v>SZ-B9904ORB</v>
          </cell>
        </row>
        <row r="3398">
          <cell r="P3398" t="str">
            <v>140F0099OB1</v>
          </cell>
        </row>
        <row r="3399">
          <cell r="B3399" t="str">
            <v>SZ-B9905BG</v>
          </cell>
        </row>
        <row r="3399">
          <cell r="P3399" t="str">
            <v>150F0099BG1</v>
          </cell>
        </row>
        <row r="3400">
          <cell r="B3400" t="str">
            <v>SZ-B9905BG</v>
          </cell>
        </row>
        <row r="3400">
          <cell r="P3400" t="str">
            <v>150F0099BG1</v>
          </cell>
        </row>
        <row r="3401">
          <cell r="B3401" t="str">
            <v>SZ-B9907ORB</v>
          </cell>
        </row>
        <row r="3401">
          <cell r="P3401" t="str">
            <v>221F0099OB1</v>
          </cell>
        </row>
        <row r="3402">
          <cell r="B3402" t="str">
            <v>SZ-B9905BG</v>
          </cell>
        </row>
        <row r="3402">
          <cell r="P3402" t="str">
            <v>150F0099BG1</v>
          </cell>
        </row>
        <row r="3403">
          <cell r="B3403" t="str">
            <v>SZ-B1005CP</v>
          </cell>
        </row>
        <row r="3403">
          <cell r="P3403" t="str">
            <v>211F1005CP1</v>
          </cell>
        </row>
        <row r="3404">
          <cell r="B3404" t="str">
            <v>SZ-B9905BK</v>
          </cell>
        </row>
        <row r="3404">
          <cell r="P3404" t="str">
            <v>150F0099BK1</v>
          </cell>
        </row>
        <row r="3405">
          <cell r="B3405" t="str">
            <v>SZ-B9909ORB</v>
          </cell>
        </row>
        <row r="3405">
          <cell r="P3405" t="str">
            <v>223F0099OB1</v>
          </cell>
        </row>
        <row r="3406">
          <cell r="B3406" t="str">
            <v>SZ-B9906BK</v>
          </cell>
        </row>
        <row r="3406">
          <cell r="P3406" t="str">
            <v>230F0099BK1</v>
          </cell>
        </row>
        <row r="3407">
          <cell r="B3407" t="str">
            <v>SZ-B9905BK</v>
          </cell>
        </row>
        <row r="3407">
          <cell r="P3407" t="str">
            <v>150F0099BK1</v>
          </cell>
        </row>
        <row r="3408">
          <cell r="B3408" t="str">
            <v>SZ-B9905BK</v>
          </cell>
        </row>
        <row r="3408">
          <cell r="P3408" t="str">
            <v>150F0099BK1</v>
          </cell>
        </row>
        <row r="3409">
          <cell r="B3409" t="str">
            <v>AZ-SOEBIZ-US-CFSLT-BN-017</v>
          </cell>
        </row>
        <row r="3409">
          <cell r="P3409" t="str">
            <v>420F0013BN5</v>
          </cell>
        </row>
        <row r="3410">
          <cell r="B3410" t="str">
            <v>SZ-B9908CPZZ</v>
          </cell>
        </row>
        <row r="3410">
          <cell r="P3410" t="str">
            <v>222F0099CP1</v>
          </cell>
        </row>
        <row r="3411">
          <cell r="B3411" t="str">
            <v>SZ-B-9909-Kit02</v>
          </cell>
        </row>
        <row r="3412">
          <cell r="B3412" t="str">
            <v>SZ-B9908BK</v>
          </cell>
        </row>
        <row r="3412">
          <cell r="P3412" t="str">
            <v>222F0099BK1</v>
          </cell>
        </row>
        <row r="3413">
          <cell r="B3413" t="str">
            <v>SZ-B9906BN</v>
          </cell>
        </row>
        <row r="3413">
          <cell r="P3413" t="str">
            <v>230F0099BN1</v>
          </cell>
        </row>
        <row r="3414">
          <cell r="B3414" t="str">
            <v>SZ-B9907BG</v>
          </cell>
        </row>
        <row r="3414">
          <cell r="P3414" t="str">
            <v>221F0099BG1</v>
          </cell>
        </row>
        <row r="3415">
          <cell r="B3415" t="str">
            <v>SZ-B9908CPZZ</v>
          </cell>
        </row>
        <row r="3415">
          <cell r="P3415" t="str">
            <v>222F0099CP1</v>
          </cell>
        </row>
        <row r="3416">
          <cell r="B3416" t="str">
            <v>SZ-B9908BKZZ</v>
          </cell>
        </row>
        <row r="3416">
          <cell r="P3416" t="str">
            <v>222F0099BK1</v>
          </cell>
        </row>
        <row r="3417">
          <cell r="B3417" t="str">
            <v>SZ-B9905BK</v>
          </cell>
        </row>
        <row r="3417">
          <cell r="P3417" t="str">
            <v>150F0099BK1</v>
          </cell>
        </row>
        <row r="3418">
          <cell r="B3418" t="str">
            <v>SZ-S-3314-BN-001</v>
          </cell>
        </row>
        <row r="3418">
          <cell r="P3418" t="str">
            <v>420F3314BN5</v>
          </cell>
        </row>
        <row r="3419">
          <cell r="B3419" t="str">
            <v>SZ-B9905BN</v>
          </cell>
        </row>
        <row r="3419">
          <cell r="P3419" t="str">
            <v>150F0099BN1</v>
          </cell>
        </row>
        <row r="3420">
          <cell r="B3420" t="str">
            <v>SZ-B9909BN</v>
          </cell>
        </row>
        <row r="3420">
          <cell r="P3420" t="str">
            <v>223F0099BN1</v>
          </cell>
        </row>
        <row r="3421">
          <cell r="B3421" t="str">
            <v>SZ-B9907BN</v>
          </cell>
        </row>
        <row r="3421">
          <cell r="P3421" t="str">
            <v>221F0099BN1</v>
          </cell>
        </row>
        <row r="3422">
          <cell r="B3422" t="str">
            <v>SZ-B9905BN</v>
          </cell>
        </row>
        <row r="3422">
          <cell r="P3422" t="str">
            <v>150F0099BN1</v>
          </cell>
        </row>
        <row r="3423">
          <cell r="B3423" t="str">
            <v>SZ-B9908BKZZ</v>
          </cell>
        </row>
        <row r="3423">
          <cell r="P3423" t="str">
            <v>222F0099BK1</v>
          </cell>
        </row>
        <row r="3424">
          <cell r="B3424" t="str">
            <v>SZ-B9908BG</v>
          </cell>
        </row>
        <row r="3424">
          <cell r="P3424" t="str">
            <v>222F0099BG1</v>
          </cell>
        </row>
        <row r="3425">
          <cell r="B3425" t="str">
            <v>SZ-B9911BG</v>
          </cell>
        </row>
        <row r="3425">
          <cell r="P3425" t="str">
            <v>211F0099BG1</v>
          </cell>
        </row>
        <row r="3426">
          <cell r="B3426" t="str">
            <v>SZ-B9905BN</v>
          </cell>
        </row>
        <row r="3426">
          <cell r="P3426" t="str">
            <v>150F0099BN1</v>
          </cell>
        </row>
        <row r="3427">
          <cell r="B3427" t="str">
            <v>AZ-SOEBIZ-US-CFSLT-BN-002</v>
          </cell>
        </row>
        <row r="3427">
          <cell r="P3427" t="str">
            <v>420F0013BN5</v>
          </cell>
        </row>
        <row r="3428">
          <cell r="B3428" t="str">
            <v>SZ-B9907CP</v>
          </cell>
        </row>
        <row r="3428">
          <cell r="P3428" t="str">
            <v>221F0099CP1</v>
          </cell>
        </row>
        <row r="3429">
          <cell r="B3429" t="str">
            <v>AZ-SOEBIZ-US-CFSLT-BN-004</v>
          </cell>
        </row>
        <row r="3429">
          <cell r="P3429" t="str">
            <v>420F0013BN5</v>
          </cell>
        </row>
        <row r="3430">
          <cell r="B3430" t="str">
            <v>SZ-B9905BN</v>
          </cell>
        </row>
        <row r="3430">
          <cell r="P3430" t="str">
            <v>150F0099BN1</v>
          </cell>
        </row>
        <row r="3431">
          <cell r="B3431" t="str">
            <v>SZ-B9909BG</v>
          </cell>
        </row>
        <row r="3431">
          <cell r="P3431" t="str">
            <v>223F0099BG1</v>
          </cell>
        </row>
        <row r="3432">
          <cell r="B3432" t="str">
            <v>SZ-B9911BK02</v>
          </cell>
        </row>
        <row r="3432">
          <cell r="P3432" t="str">
            <v>211F0099BK2</v>
          </cell>
        </row>
        <row r="3433">
          <cell r="B3433" t="str">
            <v>SZ-B9905ORB</v>
          </cell>
        </row>
        <row r="3433">
          <cell r="P3433" t="str">
            <v>150F0099OB1</v>
          </cell>
        </row>
        <row r="3434">
          <cell r="B3434" t="str">
            <v>SZ-B9912CP</v>
          </cell>
        </row>
        <row r="3434">
          <cell r="P3434" t="str">
            <v>320F0099CP1</v>
          </cell>
        </row>
        <row r="3435">
          <cell r="B3435" t="str">
            <v>SZ-B9908BG</v>
          </cell>
        </row>
        <row r="3435">
          <cell r="P3435" t="str">
            <v>222F0099BG1</v>
          </cell>
        </row>
        <row r="3436">
          <cell r="B3436" t="str">
            <v>SZ-S-3314-BN-001</v>
          </cell>
        </row>
        <row r="3436">
          <cell r="P3436" t="str">
            <v>420F3314BN5</v>
          </cell>
        </row>
        <row r="3437">
          <cell r="B3437" t="str">
            <v>SZ-B9909ORB</v>
          </cell>
        </row>
        <row r="3437">
          <cell r="P3437" t="str">
            <v>223F0099OB1</v>
          </cell>
        </row>
        <row r="3438">
          <cell r="B3438" t="str">
            <v>SZ-B9906BN</v>
          </cell>
        </row>
        <row r="3438">
          <cell r="P3438" t="str">
            <v>230F0099BN1</v>
          </cell>
        </row>
        <row r="3439">
          <cell r="B3439" t="str">
            <v>SZ-B9912BG</v>
          </cell>
        </row>
        <row r="3439">
          <cell r="P3439" t="str">
            <v>320F0099BG1</v>
          </cell>
        </row>
        <row r="3440">
          <cell r="B3440" t="str">
            <v>AZ-SOEBIZ-US-CFSCSLTPT-BN-001</v>
          </cell>
        </row>
        <row r="3440">
          <cell r="P3440" t="str">
            <v>420F0013BN5</v>
          </cell>
        </row>
        <row r="3441">
          <cell r="B3441" t="str">
            <v>AZ-SOEBIZ-US-CFSLT-BN-002</v>
          </cell>
        </row>
        <row r="3441">
          <cell r="P3441" t="str">
            <v>420F0013BN5</v>
          </cell>
        </row>
        <row r="3442">
          <cell r="B3442" t="str">
            <v>SZ-B9905ORB</v>
          </cell>
        </row>
        <row r="3443">
          <cell r="B3443" t="str">
            <v>SZ-B9905ORB</v>
          </cell>
        </row>
        <row r="3443">
          <cell r="P3443" t="str">
            <v>150F0099OB1</v>
          </cell>
        </row>
        <row r="3444">
          <cell r="B3444" t="str">
            <v>SZ-B9905ORB</v>
          </cell>
        </row>
        <row r="3444">
          <cell r="P3444" t="str">
            <v>150F0099OB1</v>
          </cell>
        </row>
        <row r="3445">
          <cell r="B3445" t="str">
            <v>T3-VIXU-KIPH</v>
          </cell>
        </row>
        <row r="3445">
          <cell r="P3445" t="str">
            <v>110F0088CP1</v>
          </cell>
        </row>
        <row r="3446">
          <cell r="B3446" t="str">
            <v>TT-9701BG</v>
          </cell>
        </row>
        <row r="3446">
          <cell r="P3446" t="str">
            <v>110F0097BG1</v>
          </cell>
        </row>
        <row r="3447">
          <cell r="B3447" t="str">
            <v>TT-9701BG</v>
          </cell>
        </row>
        <row r="3447">
          <cell r="P3447" t="str">
            <v>110F0097BG1</v>
          </cell>
        </row>
        <row r="3448">
          <cell r="B3448" t="str">
            <v>SZ-B9907ORB</v>
          </cell>
        </row>
        <row r="3448">
          <cell r="P3448" t="str">
            <v>221F0099OB1</v>
          </cell>
        </row>
        <row r="3449">
          <cell r="B3449" t="str">
            <v>SZ-B9911CP</v>
          </cell>
        </row>
        <row r="3449">
          <cell r="P3449" t="str">
            <v>211F0099CP1</v>
          </cell>
        </row>
        <row r="3450">
          <cell r="B3450" t="str">
            <v>SZ-B9909CP</v>
          </cell>
        </row>
        <row r="3450">
          <cell r="P3450" t="str">
            <v>223F0099CP1</v>
          </cell>
        </row>
        <row r="3451">
          <cell r="B3451" t="str">
            <v>TT-9701BK01</v>
          </cell>
        </row>
        <row r="3451">
          <cell r="P3451" t="str">
            <v>110F0097BK1</v>
          </cell>
        </row>
        <row r="3452">
          <cell r="B3452" t="str">
            <v>SZ-B9907CP</v>
          </cell>
        </row>
        <row r="3452">
          <cell r="P3452" t="str">
            <v>221F0099CP1</v>
          </cell>
        </row>
        <row r="3453">
          <cell r="B3453" t="str">
            <v>SZ-B9908BK</v>
          </cell>
        </row>
        <row r="3453">
          <cell r="P3453" t="str">
            <v>222F0099BK1</v>
          </cell>
        </row>
        <row r="3454">
          <cell r="B3454" t="str">
            <v>SZ-B9912BK</v>
          </cell>
        </row>
        <row r="3454">
          <cell r="P3454" t="str">
            <v>320F0099BK1</v>
          </cell>
        </row>
        <row r="3455">
          <cell r="B3455" t="str">
            <v>TT-9701BK01</v>
          </cell>
        </row>
        <row r="3455">
          <cell r="P3455" t="str">
            <v>110F0097BK1</v>
          </cell>
        </row>
        <row r="3456">
          <cell r="B3456" t="str">
            <v>TT-9701BK02-ZZ</v>
          </cell>
        </row>
        <row r="3456">
          <cell r="P3456" t="str">
            <v>110F0097BK1</v>
          </cell>
        </row>
        <row r="3457">
          <cell r="B3457" t="str">
            <v>SZ-B9911BN</v>
          </cell>
        </row>
        <row r="3457">
          <cell r="P3457" t="str">
            <v>211F0099BN1</v>
          </cell>
        </row>
        <row r="3458">
          <cell r="B3458" t="str">
            <v>SZ-B9907BK</v>
          </cell>
        </row>
        <row r="3458">
          <cell r="P3458" t="str">
            <v>221F0099BK1</v>
          </cell>
        </row>
        <row r="3459">
          <cell r="B3459" t="str">
            <v>SZ-B3005BK</v>
          </cell>
        </row>
        <row r="3459">
          <cell r="P3459" t="str">
            <v>230F3005BK1</v>
          </cell>
        </row>
        <row r="3460">
          <cell r="B3460" t="str">
            <v>TT-9701BK02-ZZ</v>
          </cell>
        </row>
        <row r="3460">
          <cell r="P3460" t="str">
            <v>110F0097BK1</v>
          </cell>
        </row>
        <row r="3461">
          <cell r="B3461" t="str">
            <v>TT-9701BK03-ZZ</v>
          </cell>
        </row>
        <row r="3461">
          <cell r="P3461" t="str">
            <v>110F0097BK1</v>
          </cell>
        </row>
        <row r="3462">
          <cell r="B3462" t="str">
            <v>TT-9701BK03-ZZ</v>
          </cell>
        </row>
        <row r="3462">
          <cell r="P3462" t="str">
            <v>110F0097BK1</v>
          </cell>
        </row>
        <row r="3463">
          <cell r="B3463" t="str">
            <v>TT-9701BK03-ZZ</v>
          </cell>
        </row>
        <row r="3463">
          <cell r="P3463" t="str">
            <v>110F0097BK1</v>
          </cell>
        </row>
        <row r="3464">
          <cell r="B3464" t="str">
            <v>SZ-B9912BN</v>
          </cell>
        </row>
        <row r="3464">
          <cell r="P3464" t="str">
            <v>320F0099BN1</v>
          </cell>
        </row>
        <row r="3465">
          <cell r="B3465" t="str">
            <v>SZ-B9907BK</v>
          </cell>
        </row>
        <row r="3465">
          <cell r="P3465" t="str">
            <v>221F0099BK1</v>
          </cell>
        </row>
        <row r="3466">
          <cell r="B3466" t="str">
            <v>SZ-B3005ORB</v>
          </cell>
        </row>
        <row r="3466">
          <cell r="P3466" t="str">
            <v>230F3005OB1</v>
          </cell>
        </row>
        <row r="3467">
          <cell r="B3467" t="str">
            <v>TT-9701BN</v>
          </cell>
        </row>
        <row r="3467">
          <cell r="P3467" t="str">
            <v>110F0097BN1</v>
          </cell>
        </row>
        <row r="3468">
          <cell r="B3468" t="str">
            <v>SZ-B9912BG</v>
          </cell>
        </row>
        <row r="3468">
          <cell r="P3468" t="str">
            <v>320F0099BG1</v>
          </cell>
        </row>
        <row r="3469">
          <cell r="B3469" t="str">
            <v>SZ-B1005BN</v>
          </cell>
        </row>
        <row r="3469">
          <cell r="P3469" t="str">
            <v>211F1005BN3</v>
          </cell>
        </row>
        <row r="3470">
          <cell r="B3470" t="str">
            <v>SZ-B9908ORB</v>
          </cell>
        </row>
        <row r="3470">
          <cell r="P3470" t="str">
            <v>222F0099OB1</v>
          </cell>
        </row>
        <row r="3471">
          <cell r="B3471" t="str">
            <v>TT-9701BN</v>
          </cell>
        </row>
        <row r="3471">
          <cell r="P3471" t="str">
            <v>110F0097BN1</v>
          </cell>
        </row>
        <row r="3472">
          <cell r="B3472" t="str">
            <v>TT-9701BN</v>
          </cell>
        </row>
        <row r="3472">
          <cell r="P3472" t="str">
            <v>110F0097BN1</v>
          </cell>
        </row>
        <row r="3473">
          <cell r="B3473" t="str">
            <v>TT-9701CP</v>
          </cell>
        </row>
        <row r="3473">
          <cell r="P3473" t="str">
            <v>110F0097CP1</v>
          </cell>
        </row>
        <row r="3474">
          <cell r="B3474" t="str">
            <v>AZ-SOEBIZ-US-CFSLT-BN-011</v>
          </cell>
        </row>
        <row r="3474">
          <cell r="P3474" t="str">
            <v>420F0013BN5</v>
          </cell>
        </row>
        <row r="3475">
          <cell r="B3475" t="str">
            <v>SZ-B9908BK</v>
          </cell>
        </row>
        <row r="3475">
          <cell r="P3475" t="str">
            <v>222F0099BK1</v>
          </cell>
        </row>
        <row r="3476">
          <cell r="B3476" t="str">
            <v>TT-9701CP</v>
          </cell>
        </row>
        <row r="3476">
          <cell r="P3476" t="str">
            <v>110F0097CP1</v>
          </cell>
        </row>
        <row r="3477">
          <cell r="B3477" t="str">
            <v>SZ-B9912ORB</v>
          </cell>
        </row>
        <row r="3477">
          <cell r="P3477" t="str">
            <v>320F0099OB1</v>
          </cell>
        </row>
        <row r="3478">
          <cell r="B3478" t="str">
            <v>AZ-SOEBIZ-US-CFSLT-BN-005</v>
          </cell>
        </row>
        <row r="3478">
          <cell r="P3478" t="str">
            <v>420F0013BN5</v>
          </cell>
        </row>
        <row r="3479">
          <cell r="B3479" t="str">
            <v>TT-9701ORB</v>
          </cell>
        </row>
        <row r="3479">
          <cell r="P3479" t="str">
            <v>110F0097OB1</v>
          </cell>
        </row>
        <row r="3480">
          <cell r="B3480" t="str">
            <v>TT-9701ORB</v>
          </cell>
        </row>
        <row r="3480">
          <cell r="P3480" t="str">
            <v>110F0097OB1</v>
          </cell>
        </row>
        <row r="3481">
          <cell r="B3481" t="str">
            <v>SZ-B3005BK</v>
          </cell>
        </row>
        <row r="3481">
          <cell r="P3481" t="str">
            <v>230F3005BK1</v>
          </cell>
        </row>
        <row r="3482">
          <cell r="B3482" t="str">
            <v>TT-9701RGBK01</v>
          </cell>
        </row>
        <row r="3482">
          <cell r="P3482" t="str">
            <v>110F0097RB1</v>
          </cell>
        </row>
        <row r="3483">
          <cell r="B3483" t="str">
            <v>SZ-B9908CP</v>
          </cell>
        </row>
        <row r="3483">
          <cell r="P3483" t="str">
            <v>222F0099CP1</v>
          </cell>
        </row>
        <row r="3484">
          <cell r="B3484" t="str">
            <v>SZ-B9911CP</v>
          </cell>
        </row>
        <row r="3484">
          <cell r="P3484" t="str">
            <v>211F0099CP1</v>
          </cell>
        </row>
        <row r="3485">
          <cell r="B3485" t="str">
            <v>AZ-SOEBIZ-US-MPSLT-BK-012</v>
          </cell>
        </row>
        <row r="3486">
          <cell r="B3486" t="str">
            <v>TT-9701RGBK01</v>
          </cell>
        </row>
        <row r="3486">
          <cell r="P3486" t="str">
            <v>110F0097RB1</v>
          </cell>
        </row>
        <row r="3487">
          <cell r="B3487" t="str">
            <v>SZ-B9909BK</v>
          </cell>
        </row>
        <row r="3487">
          <cell r="P3487" t="str">
            <v>223F0099BK1</v>
          </cell>
        </row>
        <row r="3488">
          <cell r="B3488" t="str">
            <v>SZ-B9906BG</v>
          </cell>
        </row>
        <row r="3488">
          <cell r="P3488" t="str">
            <v>230F0099BG1</v>
          </cell>
        </row>
        <row r="3489">
          <cell r="B3489" t="str">
            <v>SZ-B9907BG</v>
          </cell>
        </row>
        <row r="3489">
          <cell r="P3489" t="str">
            <v>221F0099BG1</v>
          </cell>
        </row>
        <row r="3490">
          <cell r="B3490" t="str">
            <v>SZ-B9909BG</v>
          </cell>
        </row>
        <row r="3490">
          <cell r="P3490" t="str">
            <v>223F0099BG1</v>
          </cell>
        </row>
        <row r="3491">
          <cell r="B3491" t="str">
            <v>SZ-B9911BG</v>
          </cell>
        </row>
        <row r="3491">
          <cell r="P3491" t="str">
            <v>211F0099BG1</v>
          </cell>
        </row>
        <row r="3492">
          <cell r="B3492" t="str">
            <v>SZ-B9907BN</v>
          </cell>
        </row>
        <row r="3492">
          <cell r="P3492" t="str">
            <v>221F0099BN1</v>
          </cell>
        </row>
        <row r="3493">
          <cell r="B3493" t="str">
            <v>TT-9701RGBK01</v>
          </cell>
        </row>
        <row r="3493">
          <cell r="P3493" t="str">
            <v>110F0097RB1</v>
          </cell>
        </row>
        <row r="3494">
          <cell r="B3494" t="str">
            <v>SZ-B1005CP</v>
          </cell>
        </row>
        <row r="3494">
          <cell r="P3494" t="str">
            <v>211F1005CP1</v>
          </cell>
        </row>
        <row r="3495">
          <cell r="B3495" t="str">
            <v>SZ-B9909CP</v>
          </cell>
        </row>
        <row r="3495">
          <cell r="P3495" t="str">
            <v>223F0099CP1</v>
          </cell>
        </row>
        <row r="3496">
          <cell r="B3496" t="str">
            <v>SZ-B9912CP</v>
          </cell>
        </row>
        <row r="3496">
          <cell r="P3496" t="str">
            <v>320F0099CP1</v>
          </cell>
        </row>
        <row r="3497">
          <cell r="B3497" t="str">
            <v>SZ-B9911BK</v>
          </cell>
        </row>
        <row r="3497">
          <cell r="P3497" t="str">
            <v>211F0099BK2</v>
          </cell>
        </row>
        <row r="3498">
          <cell r="B3498" t="str">
            <v>SZ-B9912BG</v>
          </cell>
        </row>
        <row r="3498">
          <cell r="P3498" t="str">
            <v>320F0099BG1</v>
          </cell>
        </row>
        <row r="3499">
          <cell r="B3499" t="str">
            <v>AZ-SOEBIZ-US-CFSLT-BN-003</v>
          </cell>
        </row>
        <row r="3499">
          <cell r="P3499" t="str">
            <v>420F0013BN5</v>
          </cell>
        </row>
        <row r="3500">
          <cell r="B3500" t="str">
            <v>TT-9701RGBK02-ZZ</v>
          </cell>
        </row>
        <row r="3500">
          <cell r="P3500" t="str">
            <v>110F0097RB1</v>
          </cell>
        </row>
        <row r="3501">
          <cell r="B3501" t="str">
            <v>9C-1VQ0-W9M6</v>
          </cell>
        </row>
        <row r="3502">
          <cell r="B3502" t="str">
            <v>TT-9701RGBK02-ZZ</v>
          </cell>
        </row>
        <row r="3502">
          <cell r="P3502" t="str">
            <v>110F0097RB1</v>
          </cell>
        </row>
        <row r="3503">
          <cell r="B3503" t="str">
            <v>SZ-B9912BK</v>
          </cell>
        </row>
        <row r="3503">
          <cell r="P3503" t="str">
            <v>320F0099BK1</v>
          </cell>
        </row>
        <row r="3504">
          <cell r="B3504" t="str">
            <v>AZ-SOEBIZ-US-CFSLT-BN-001</v>
          </cell>
        </row>
        <row r="3504">
          <cell r="P3504" t="str">
            <v>420F0013BN5</v>
          </cell>
        </row>
        <row r="3505">
          <cell r="B3505" t="str">
            <v>SZ-B9906ORB</v>
          </cell>
        </row>
        <row r="3505">
          <cell r="P3505" t="str">
            <v>230F0099OB1</v>
          </cell>
        </row>
        <row r="3506">
          <cell r="B3506" t="str">
            <v>SZ-B9909BN</v>
          </cell>
        </row>
        <row r="3506">
          <cell r="P3506" t="str">
            <v>223F0099BN1</v>
          </cell>
        </row>
        <row r="3507">
          <cell r="B3507" t="str">
            <v>TT-9701RGBK03-ZZ</v>
          </cell>
        </row>
        <row r="3507">
          <cell r="P3507" t="str">
            <v>110F0097RB1</v>
          </cell>
        </row>
        <row r="3508">
          <cell r="B3508" t="str">
            <v>SZ-B9908BG</v>
          </cell>
        </row>
        <row r="3508">
          <cell r="P3508" t="str">
            <v>222F0099BG1</v>
          </cell>
        </row>
        <row r="3509">
          <cell r="B3509" t="str">
            <v>SZ-B9911BK</v>
          </cell>
        </row>
        <row r="3509">
          <cell r="P3509" t="str">
            <v>211F0099BK2</v>
          </cell>
        </row>
        <row r="3510">
          <cell r="B3510" t="str">
            <v>TT-9701RGBK03-ZZ</v>
          </cell>
        </row>
        <row r="3510">
          <cell r="P3510" t="str">
            <v>110F0097RB1</v>
          </cell>
        </row>
        <row r="3511">
          <cell r="B3511" t="str">
            <v>SZ-B9912ORB</v>
          </cell>
        </row>
        <row r="3511">
          <cell r="P3511" t="str">
            <v>320F0099OB1</v>
          </cell>
        </row>
        <row r="3512">
          <cell r="B3512" t="str">
            <v>SZ-B9909BN</v>
          </cell>
        </row>
        <row r="3512">
          <cell r="P3512" t="str">
            <v>223F0099BN1</v>
          </cell>
        </row>
        <row r="3513">
          <cell r="B3513" t="str">
            <v>SZ-B9912BN</v>
          </cell>
        </row>
        <row r="3513">
          <cell r="P3513" t="str">
            <v>320F0099BN1</v>
          </cell>
        </row>
        <row r="3514">
          <cell r="B3514" t="str">
            <v>SZ-B9906BK</v>
          </cell>
        </row>
        <row r="3514">
          <cell r="P3514" t="str">
            <v>230F0099BK1</v>
          </cell>
        </row>
        <row r="3515">
          <cell r="B3515" t="str">
            <v>KB9911-9904-CP</v>
          </cell>
        </row>
        <row r="3516">
          <cell r="B3516" t="str">
            <v>AZ-SOEBIZ-US-MPSLT-BK-026</v>
          </cell>
        </row>
        <row r="3517">
          <cell r="B3517" t="str">
            <v>SZ-B990104-Kit-02</v>
          </cell>
        </row>
        <row r="3518">
          <cell r="B3518" t="str">
            <v>AZ-SOEBIZ-US-CFSCSLTPT-BN-010</v>
          </cell>
        </row>
        <row r="3518">
          <cell r="P3518" t="str">
            <v>420F0013BN5</v>
          </cell>
        </row>
        <row r="3519">
          <cell r="B3519" t="str">
            <v>TT-9704BG01</v>
          </cell>
        </row>
        <row r="3519">
          <cell r="P3519" t="str">
            <v>140F0097BG1</v>
          </cell>
        </row>
        <row r="3520">
          <cell r="B3520" t="str">
            <v>AZ-SOEBIZ-US-CFSCSLTPT-BN-004</v>
          </cell>
        </row>
        <row r="3520">
          <cell r="P3520" t="str">
            <v>420F0013BN5</v>
          </cell>
        </row>
        <row r="3521">
          <cell r="B3521" t="str">
            <v>KB9907-9904-BG</v>
          </cell>
        </row>
        <row r="3522">
          <cell r="B3522" t="str">
            <v>SZ-W-3313-BN-001</v>
          </cell>
        </row>
        <row r="3522">
          <cell r="P3522" t="str">
            <v>暂时没有内部SKU</v>
          </cell>
        </row>
        <row r="3523">
          <cell r="B3523" t="str">
            <v>TT-9704BG01</v>
          </cell>
        </row>
        <row r="3523">
          <cell r="P3523" t="str">
            <v>140F0097BG1</v>
          </cell>
        </row>
        <row r="3524">
          <cell r="B3524" t="str">
            <v>AZ-SOEBIZ-US-CFSLT-BN-013</v>
          </cell>
        </row>
        <row r="3524">
          <cell r="P3524" t="str">
            <v>420F0013BN5</v>
          </cell>
        </row>
        <row r="3525">
          <cell r="B3525" t="str">
            <v>AZ-SOEBIZ-US-CFSLT-BN-016</v>
          </cell>
        </row>
        <row r="3525">
          <cell r="P3525" t="str">
            <v>420F0013BN5</v>
          </cell>
        </row>
        <row r="3526">
          <cell r="B3526" t="str">
            <v>AZ-SOEBIZ-US-MPSLT-BK-006</v>
          </cell>
        </row>
        <row r="3527">
          <cell r="B3527" t="str">
            <v>SZ-B9902-Kit</v>
          </cell>
        </row>
        <row r="3528">
          <cell r="B3528" t="str">
            <v>AZ-SOEBIZ-US-CFSLT-BN-020</v>
          </cell>
        </row>
        <row r="3528">
          <cell r="P3528" t="str">
            <v>420F0013BN5</v>
          </cell>
        </row>
        <row r="3529">
          <cell r="B3529" t="str">
            <v>KB9907-9901-BG</v>
          </cell>
        </row>
        <row r="3530">
          <cell r="B3530" t="str">
            <v>TT-9704BG02-zz</v>
          </cell>
        </row>
        <row r="3530">
          <cell r="P3530" t="str">
            <v>140F0097BG1</v>
          </cell>
        </row>
        <row r="3531">
          <cell r="B3531" t="str">
            <v>AZ-SOEBIZ-US-CFSLT-BN-003</v>
          </cell>
        </row>
        <row r="3531">
          <cell r="P3531" t="str">
            <v>420F0013BN5</v>
          </cell>
        </row>
        <row r="3532">
          <cell r="B3532" t="str">
            <v>KB9908-9904-BG</v>
          </cell>
        </row>
        <row r="3533">
          <cell r="B3533" t="str">
            <v>AZ-SOEBIZ-US-CFSLT-BN-015</v>
          </cell>
        </row>
        <row r="3533">
          <cell r="P3533" t="str">
            <v>420F0013BN5</v>
          </cell>
        </row>
        <row r="3534">
          <cell r="B3534" t="str">
            <v>SZ-B9908CPZZ</v>
          </cell>
        </row>
        <row r="3534">
          <cell r="P3534" t="str">
            <v>222F0099CP1</v>
          </cell>
        </row>
        <row r="3535">
          <cell r="B3535" t="str">
            <v>AZ-SOEBIZ-US-MPSLT-BK-024</v>
          </cell>
        </row>
        <row r="3536">
          <cell r="B3536" t="str">
            <v>AZ-SOEBIZ-US-CFSCSLTPT-BN-009</v>
          </cell>
        </row>
        <row r="3536">
          <cell r="P3536" t="str">
            <v>420F0013BN5</v>
          </cell>
        </row>
        <row r="3537">
          <cell r="B3537" t="str">
            <v>SZ-C-SD-0013B-BG-02</v>
          </cell>
        </row>
        <row r="3537">
          <cell r="P3537" t="str">
            <v>暂时没有内部SKU</v>
          </cell>
        </row>
        <row r="3538">
          <cell r="B3538" t="str">
            <v>AZ-SOEBIZ-US-MPSLT-BK-017</v>
          </cell>
        </row>
        <row r="3539">
          <cell r="B3539" t="str">
            <v>AZ-SOEBIZ-US-CFSLT-BN-014</v>
          </cell>
        </row>
        <row r="3539">
          <cell r="P3539" t="str">
            <v>420F0013BN5</v>
          </cell>
        </row>
        <row r="3540">
          <cell r="B3540" t="str">
            <v>AZ-SOEBIZ-US-CFSLT-BN-007</v>
          </cell>
        </row>
        <row r="3541">
          <cell r="B3541" t="str">
            <v>SZ-B9901-Kit</v>
          </cell>
        </row>
        <row r="3542">
          <cell r="B3542" t="str">
            <v>TT-9704BG02-zz</v>
          </cell>
        </row>
        <row r="3542">
          <cell r="P3542" t="str">
            <v>140F0097BG1</v>
          </cell>
        </row>
        <row r="3543">
          <cell r="B3543" t="str">
            <v>AZ-US-SOEBIZ-YSMPSLT-BN-001</v>
          </cell>
        </row>
        <row r="3544">
          <cell r="B3544" t="str">
            <v>SZ-B9908BKZZ</v>
          </cell>
        </row>
        <row r="3544">
          <cell r="P3544" t="str">
            <v>222F0099BK1</v>
          </cell>
        </row>
        <row r="3545">
          <cell r="B3545" t="str">
            <v>SZ-B9912ORB</v>
          </cell>
        </row>
        <row r="3545">
          <cell r="P3545" t="str">
            <v>320F0099OB1</v>
          </cell>
        </row>
        <row r="3546">
          <cell r="B3546" t="str">
            <v>KB9908-9904-BN</v>
          </cell>
        </row>
        <row r="3547">
          <cell r="B3547" t="str">
            <v>SZ-C-SD-0013B-BN-01</v>
          </cell>
        </row>
        <row r="3547">
          <cell r="P3547" t="str">
            <v>暂时没有内部SKU</v>
          </cell>
        </row>
        <row r="3548">
          <cell r="B3548" t="str">
            <v>AZ-SOEBIZ-US-MPSLT-BK-025</v>
          </cell>
        </row>
        <row r="3549">
          <cell r="B3549" t="str">
            <v>KB9907-9901-CP</v>
          </cell>
        </row>
        <row r="3550">
          <cell r="B3550" t="str">
            <v>TT-9704BK01</v>
          </cell>
        </row>
        <row r="3550">
          <cell r="P3550" t="str">
            <v>140F0097BK1</v>
          </cell>
        </row>
        <row r="3551">
          <cell r="B3551" t="str">
            <v>AZ-SOEBIZ-US-MPSLT-BK-013</v>
          </cell>
        </row>
        <row r="3552">
          <cell r="B3552" t="str">
            <v>KB9907-9901-BN</v>
          </cell>
        </row>
        <row r="3553">
          <cell r="B3553" t="str">
            <v>SZ-S-3314-BK-03</v>
          </cell>
        </row>
        <row r="3553">
          <cell r="P3553" t="str">
            <v>420F3314BK1</v>
          </cell>
        </row>
        <row r="3554">
          <cell r="B3554" t="str">
            <v>AZ-SOEBIZ-US-MPSLT-BK-018</v>
          </cell>
        </row>
        <row r="3555">
          <cell r="B3555" t="str">
            <v>SZ-B-9909-Kit01</v>
          </cell>
        </row>
        <row r="3556">
          <cell r="B3556" t="str">
            <v>AZ-SOEBIZ-US-MPSLT-BK-004</v>
          </cell>
        </row>
        <row r="3557">
          <cell r="B3557" t="str">
            <v>AZ-SOEBIZ-US-CFSLT-BN-018</v>
          </cell>
        </row>
        <row r="3557">
          <cell r="P3557" t="str">
            <v>420F0013BN5</v>
          </cell>
        </row>
        <row r="3558">
          <cell r="B3558" t="str">
            <v>KB9907-9904-BN</v>
          </cell>
        </row>
        <row r="3559">
          <cell r="B3559" t="str">
            <v>TT-9704BK01</v>
          </cell>
        </row>
        <row r="3559">
          <cell r="P3559" t="str">
            <v>140F0097BK1</v>
          </cell>
        </row>
        <row r="3560">
          <cell r="B3560" t="str">
            <v>AZ-SOEBIZ-US-CFSLT-BN-002</v>
          </cell>
        </row>
        <row r="3560">
          <cell r="P3560" t="str">
            <v>420F0013BN5</v>
          </cell>
        </row>
        <row r="3561">
          <cell r="B3561" t="str">
            <v>AZ-US-SOEBIZ-MPSLT-BK-02</v>
          </cell>
        </row>
        <row r="3562">
          <cell r="B3562" t="str">
            <v>AZ-US-SOEBIZ-YSMPSLT-BK-002</v>
          </cell>
        </row>
        <row r="3563">
          <cell r="B3563" t="str">
            <v>SZ-B9912BK01</v>
          </cell>
        </row>
        <row r="3563">
          <cell r="P3563" t="str">
            <v>320F0099BK1</v>
          </cell>
        </row>
        <row r="3564">
          <cell r="B3564" t="str">
            <v>SZ-S-3315-BK-03</v>
          </cell>
        </row>
        <row r="3564">
          <cell r="P3564" t="str">
            <v>420F3315BK1</v>
          </cell>
        </row>
        <row r="3565">
          <cell r="B3565" t="str">
            <v>SZ-B3005ORB</v>
          </cell>
        </row>
        <row r="3565">
          <cell r="P3565" t="str">
            <v>230F3005OB1</v>
          </cell>
        </row>
        <row r="3566">
          <cell r="B3566" t="str">
            <v>KB9907-9904-ORB</v>
          </cell>
        </row>
        <row r="3567">
          <cell r="B3567" t="str">
            <v>SZ-B9912BG</v>
          </cell>
        </row>
        <row r="3567">
          <cell r="P3567" t="str">
            <v>320F0099BG1</v>
          </cell>
        </row>
        <row r="3568">
          <cell r="B3568" t="str">
            <v>AZ-SOEBIZ-US-CFSLT-BN-001</v>
          </cell>
        </row>
        <row r="3568">
          <cell r="P3568" t="str">
            <v>420F0013BN5</v>
          </cell>
        </row>
        <row r="3569">
          <cell r="B3569" t="str">
            <v>AZ-SOEBIZ-US-MPSLT-BK-020</v>
          </cell>
        </row>
        <row r="3570">
          <cell r="B3570" t="str">
            <v>SZ-0013+9906-BN</v>
          </cell>
        </row>
        <row r="3571">
          <cell r="B3571" t="str">
            <v>SZ-W-3313-BN-01</v>
          </cell>
        </row>
        <row r="3571">
          <cell r="P3571" t="str">
            <v>暂时没有内部SKU</v>
          </cell>
        </row>
        <row r="3572">
          <cell r="B3572" t="str">
            <v>SZ-C-SD-0013B-BK-03</v>
          </cell>
        </row>
        <row r="3572">
          <cell r="P3572" t="str">
            <v>暂时没有内部SKU</v>
          </cell>
        </row>
        <row r="3573">
          <cell r="B3573" t="str">
            <v>AZ-SOEBIZ-US-MPSLT-BK-014</v>
          </cell>
        </row>
        <row r="3574">
          <cell r="B3574" t="str">
            <v>SZ-B990104-Kit</v>
          </cell>
        </row>
        <row r="3575">
          <cell r="B3575" t="str">
            <v>AZ-SOEBIZ-US-CFSCSLTPT-BN-007</v>
          </cell>
        </row>
        <row r="3575">
          <cell r="P3575" t="str">
            <v>420F0013BN5</v>
          </cell>
        </row>
        <row r="3576">
          <cell r="B3576" t="str">
            <v>AZ-US-SOEBIZ-CFSLT</v>
          </cell>
        </row>
        <row r="3577">
          <cell r="B3577" t="str">
            <v>TT-9704BK02-zz</v>
          </cell>
        </row>
        <row r="3577">
          <cell r="P3577" t="str">
            <v>140F0097BK1</v>
          </cell>
        </row>
        <row r="3578">
          <cell r="B3578" t="str">
            <v>KB9907-9904-BK</v>
          </cell>
        </row>
        <row r="3579">
          <cell r="B3579" t="str">
            <v>SZ-B9912BN</v>
          </cell>
        </row>
        <row r="3579">
          <cell r="P3579" t="str">
            <v>320F0099BN1</v>
          </cell>
        </row>
        <row r="3580">
          <cell r="B3580" t="str">
            <v>SZ-B990104-Kit-1</v>
          </cell>
        </row>
        <row r="3581">
          <cell r="B3581" t="str">
            <v>SZ-B3005BK</v>
          </cell>
        </row>
        <row r="3581">
          <cell r="P3581" t="str">
            <v>230F3005BK1</v>
          </cell>
        </row>
        <row r="3582">
          <cell r="B3582" t="str">
            <v>AZ-SOEBIZ-US-CFSCSLTPT-BN-005</v>
          </cell>
        </row>
        <row r="3582">
          <cell r="P3582" t="str">
            <v>420F0013BN5</v>
          </cell>
        </row>
        <row r="3583">
          <cell r="B3583" t="str">
            <v>SZ-B9912-Kit</v>
          </cell>
        </row>
        <row r="3584">
          <cell r="B3584" t="str">
            <v>SZ-B9909BKZZ</v>
          </cell>
        </row>
        <row r="3584">
          <cell r="P3584" t="str">
            <v>223F0099BK1</v>
          </cell>
        </row>
        <row r="3585">
          <cell r="B3585" t="str">
            <v>AZ-SOEBIZ-US-MPSLT-BK-001</v>
          </cell>
        </row>
        <row r="3586">
          <cell r="B3586" t="str">
            <v>AZ-SOEBIZ-US-MPSLT-BK-010</v>
          </cell>
        </row>
        <row r="3587">
          <cell r="B3587" t="str">
            <v>AZ-SOEBIZ-US-MPSLT-BK-009</v>
          </cell>
        </row>
        <row r="3588">
          <cell r="B3588" t="str">
            <v>AZ-SOEBIZ-US-CFSCSLTPT-BN-002</v>
          </cell>
        </row>
        <row r="3588">
          <cell r="P3588" t="str">
            <v>420F0013BN5</v>
          </cell>
        </row>
        <row r="3589">
          <cell r="B3589" t="str">
            <v>AM--CFSCSLT-001-003</v>
          </cell>
        </row>
        <row r="3590">
          <cell r="B3590" t="str">
            <v>SZ-S-3315-BG-02</v>
          </cell>
        </row>
        <row r="3590">
          <cell r="P3590" t="str">
            <v>420F3315BG3</v>
          </cell>
        </row>
        <row r="3591">
          <cell r="B3591" t="str">
            <v>Z5-CZBT-E8M5</v>
          </cell>
        </row>
        <row r="3592">
          <cell r="B3592" t="str">
            <v>SZ-B9911BK</v>
          </cell>
        </row>
        <row r="3592">
          <cell r="P3592" t="str">
            <v>211F0099BK2</v>
          </cell>
        </row>
        <row r="3593">
          <cell r="B3593" t="str">
            <v>AZ-SOEBIZ-US-CFSLT-BN-012</v>
          </cell>
        </row>
        <row r="3593">
          <cell r="P3593" t="str">
            <v>420F0013BN5</v>
          </cell>
        </row>
        <row r="3594">
          <cell r="B3594" t="str">
            <v>SZ-B1005CP</v>
          </cell>
        </row>
        <row r="3594">
          <cell r="P3594" t="str">
            <v>211F1005CP1</v>
          </cell>
        </row>
        <row r="3595">
          <cell r="B3595" t="str">
            <v>AZ-SOEBIZ-US-CFSLT-BN-005</v>
          </cell>
        </row>
        <row r="3595">
          <cell r="P3595" t="str">
            <v>420F0013BN5</v>
          </cell>
        </row>
        <row r="3596">
          <cell r="B3596" t="str">
            <v>AZ-SOEBIZ-US-MPSLT-BK-023</v>
          </cell>
        </row>
        <row r="3597">
          <cell r="B3597" t="str">
            <v>AZ-US-SOEBIZ-YSMPSLT-GD-003</v>
          </cell>
        </row>
        <row r="3598">
          <cell r="B3598" t="str">
            <v>SZ-B9912BK</v>
          </cell>
        </row>
        <row r="3598">
          <cell r="P3598" t="str">
            <v>320F0099BK1</v>
          </cell>
        </row>
        <row r="3599">
          <cell r="B3599" t="str">
            <v>AZ-SOEBIZ-US-CFSCSLTPT-BN-008</v>
          </cell>
        </row>
        <row r="3599">
          <cell r="P3599" t="str">
            <v>420F0013BN5</v>
          </cell>
        </row>
        <row r="3600">
          <cell r="B3600" t="str">
            <v>KB9907-9901-BK</v>
          </cell>
        </row>
        <row r="3601">
          <cell r="B3601" t="str">
            <v>SZ-B9906CP</v>
          </cell>
        </row>
        <row r="3602">
          <cell r="B3602" t="str">
            <v>AZ-SOEBIZ-US-MPSLT-BK-015</v>
          </cell>
        </row>
        <row r="3603">
          <cell r="B3603" t="str">
            <v>AZ-SOEBIZ-US-CFSLT-BN-019</v>
          </cell>
        </row>
        <row r="3603">
          <cell r="P3603" t="str">
            <v>420F0013BN5</v>
          </cell>
        </row>
        <row r="3604">
          <cell r="B3604" t="str">
            <v>TT-9704BK02-zz</v>
          </cell>
        </row>
        <row r="3604">
          <cell r="P3604" t="str">
            <v>140F0097BK1</v>
          </cell>
        </row>
        <row r="3605">
          <cell r="B3605" t="str">
            <v>SZ-S-3314-BG-02</v>
          </cell>
        </row>
        <row r="3605">
          <cell r="P3605" t="str">
            <v>420F3314BG3</v>
          </cell>
        </row>
        <row r="3606">
          <cell r="B3606" t="str">
            <v>AZ-US-SOEBIZ-MPSLT-BN-01</v>
          </cell>
        </row>
        <row r="3607">
          <cell r="B3607" t="str">
            <v>TT-9704BN</v>
          </cell>
        </row>
        <row r="3607">
          <cell r="P3607" t="str">
            <v>140F0097BN1</v>
          </cell>
        </row>
        <row r="3608">
          <cell r="B3608" t="str">
            <v>AZ-US-SOEBIZ-MPSLT-GD-03</v>
          </cell>
        </row>
        <row r="3609">
          <cell r="B3609" t="str">
            <v>AZ-SOEBIZ-US-MPSLT-BK-002</v>
          </cell>
        </row>
        <row r="3610">
          <cell r="B3610" t="str">
            <v>AZ-SOEBIZ-US-MPSLT-BK-008</v>
          </cell>
        </row>
        <row r="3611">
          <cell r="B3611" t="str">
            <v>AZ-SOEBIZ-US-MPSLT-BK-007</v>
          </cell>
        </row>
        <row r="3612">
          <cell r="B3612" t="str">
            <v>SZ-S-3314-ORB-04</v>
          </cell>
        </row>
        <row r="3613">
          <cell r="B3613" t="str">
            <v>TT-9704BN</v>
          </cell>
        </row>
        <row r="3613">
          <cell r="P3613" t="str">
            <v>140F0097BN1</v>
          </cell>
        </row>
        <row r="3614">
          <cell r="B3614" t="str">
            <v>SZ-W-3313-BK-03</v>
          </cell>
        </row>
        <row r="3614">
          <cell r="P3614" t="str">
            <v>暂时没有内部SKU</v>
          </cell>
        </row>
        <row r="3615">
          <cell r="B3615" t="str">
            <v>KB9907-9904-CP</v>
          </cell>
        </row>
        <row r="3616">
          <cell r="B3616" t="str">
            <v>AZ-SOEBIZ-US-CFSLT-001-010</v>
          </cell>
        </row>
        <row r="3617">
          <cell r="B3617" t="str">
            <v>AZ-SOEBIZ-US-MPSLT-BK-011</v>
          </cell>
        </row>
        <row r="3618">
          <cell r="B3618" t="str">
            <v>AZ-SOEBIZ-US-MPSLT-BK-022</v>
          </cell>
        </row>
        <row r="3619">
          <cell r="B3619" t="str">
            <v>AZ-SOEBIZ-US-MPSLT-BK-005</v>
          </cell>
        </row>
        <row r="3620">
          <cell r="B3620" t="str">
            <v>SZ-B9911BK02</v>
          </cell>
        </row>
        <row r="3620">
          <cell r="P3620" t="str">
            <v>211F0099BK2</v>
          </cell>
        </row>
        <row r="3621">
          <cell r="B3621" t="str">
            <v>AZ-SOEBIZ-US-MPSLT-BK-019</v>
          </cell>
        </row>
        <row r="3622">
          <cell r="B3622" t="str">
            <v>AZ-SOEBIZ-US-CFSLT-BN-004</v>
          </cell>
        </row>
        <row r="3622">
          <cell r="P3622" t="str">
            <v>420F0013BN5</v>
          </cell>
        </row>
        <row r="3623">
          <cell r="B3623" t="str">
            <v>SZ-W-3313-ORB-04</v>
          </cell>
        </row>
        <row r="3623">
          <cell r="P3623" t="str">
            <v>暂时没有内部SKU</v>
          </cell>
        </row>
        <row r="3624">
          <cell r="B3624" t="str">
            <v>SZ-B1005BN</v>
          </cell>
        </row>
        <row r="3624">
          <cell r="P3624" t="str">
            <v>211F1005BN3</v>
          </cell>
        </row>
        <row r="3625">
          <cell r="B3625" t="str">
            <v>SZ-B9904-Kit</v>
          </cell>
        </row>
        <row r="3626">
          <cell r="B3626" t="str">
            <v>KB9911-9904-BK</v>
          </cell>
        </row>
        <row r="3627">
          <cell r="B3627" t="str">
            <v>AZ-SOEBIZ-US-CFSCSLTPT-BN-003</v>
          </cell>
        </row>
        <row r="3627">
          <cell r="P3627" t="str">
            <v>420F0013BN5</v>
          </cell>
        </row>
        <row r="3628">
          <cell r="B3628" t="str">
            <v>AZ-SOEBIZ-US-MPSLT-BK-003</v>
          </cell>
        </row>
        <row r="3629">
          <cell r="B3629" t="str">
            <v>AZ-SOEBIZ-US-MPSLT-BK-021</v>
          </cell>
        </row>
        <row r="3630">
          <cell r="B3630" t="str">
            <v>TT-9704CP</v>
          </cell>
        </row>
        <row r="3630">
          <cell r="P3630" t="str">
            <v>140F0097CP1</v>
          </cell>
        </row>
        <row r="3631">
          <cell r="B3631" t="str">
            <v>AZ-SOEBIZ-US-CFSLT-BN-008</v>
          </cell>
        </row>
        <row r="3632">
          <cell r="B3632" t="str">
            <v>SZ-W-3313-BG-02</v>
          </cell>
        </row>
        <row r="3632">
          <cell r="P3632" t="str">
            <v>暂时没有内部SKU</v>
          </cell>
        </row>
        <row r="3633">
          <cell r="B3633" t="str">
            <v>SZ-B9905CP</v>
          </cell>
        </row>
        <row r="3634">
          <cell r="B3634" t="str">
            <v>KB9907-9901-ORB</v>
          </cell>
        </row>
        <row r="3635">
          <cell r="B3635" t="str">
            <v>SZ-C-SD-0013B-ORB-04</v>
          </cell>
        </row>
        <row r="3635">
          <cell r="P3635" t="str">
            <v>暂时没有内部SKU</v>
          </cell>
        </row>
        <row r="3636">
          <cell r="B3636" t="str">
            <v>AZ-SOEBIZ-US-MPSLT-BK-016</v>
          </cell>
        </row>
        <row r="3637">
          <cell r="B3637" t="str">
            <v>SZ-B9912CP</v>
          </cell>
        </row>
        <row r="3637">
          <cell r="P3637" t="str">
            <v>320F0099CP1</v>
          </cell>
        </row>
        <row r="3638">
          <cell r="B3638" t="str">
            <v>L2304-BK</v>
          </cell>
        </row>
        <row r="3638">
          <cell r="P3638" t="str">
            <v>140F0023BK1</v>
          </cell>
        </row>
        <row r="3639">
          <cell r="B3639" t="str">
            <v>L2304-BN</v>
          </cell>
        </row>
        <row r="3639">
          <cell r="P3639" t="str">
            <v>140F0023BN1</v>
          </cell>
        </row>
        <row r="3640">
          <cell r="B3640" t="str">
            <v>L2304-BN</v>
          </cell>
        </row>
        <row r="3640">
          <cell r="P3640" t="str">
            <v>140F0023BN1</v>
          </cell>
        </row>
        <row r="3641">
          <cell r="B3641" t="str">
            <v>B2312-CP</v>
          </cell>
        </row>
        <row r="3641">
          <cell r="P3641" t="str">
            <v>320F0023CP1</v>
          </cell>
        </row>
        <row r="3642">
          <cell r="B3642" t="str">
            <v>B2312-BN</v>
          </cell>
        </row>
        <row r="3642">
          <cell r="P3642" t="str">
            <v>320F0023BN1</v>
          </cell>
        </row>
        <row r="3643">
          <cell r="B3643" t="str">
            <v>L2304-CP</v>
          </cell>
        </row>
        <row r="3643">
          <cell r="P3643" t="str">
            <v>140F0023CP1</v>
          </cell>
        </row>
        <row r="3644">
          <cell r="B3644" t="str">
            <v>L2304-CP</v>
          </cell>
        </row>
        <row r="3644">
          <cell r="P3644" t="str">
            <v>140F0023CP1</v>
          </cell>
        </row>
        <row r="3645">
          <cell r="B3645" t="str">
            <v>L2304-ORB</v>
          </cell>
        </row>
        <row r="3645">
          <cell r="P3645" t="str">
            <v>140F0023OB1</v>
          </cell>
        </row>
        <row r="3646">
          <cell r="B3646" t="str">
            <v>L2304-ORB</v>
          </cell>
        </row>
        <row r="3646">
          <cell r="P3646" t="str">
            <v>140F0023OB1</v>
          </cell>
        </row>
        <row r="3647">
          <cell r="B3647" t="str">
            <v>L2305-BG</v>
          </cell>
        </row>
        <row r="3647">
          <cell r="P3647" t="str">
            <v>150F0023BG1</v>
          </cell>
        </row>
        <row r="3648">
          <cell r="B3648" t="str">
            <v>B2309NEW</v>
          </cell>
        </row>
        <row r="3649">
          <cell r="B3649" t="str">
            <v>L2305-BG</v>
          </cell>
        </row>
        <row r="3649">
          <cell r="P3649" t="str">
            <v>150F0023BG1</v>
          </cell>
        </row>
        <row r="3650">
          <cell r="B3650" t="str">
            <v>TT-9704CP</v>
          </cell>
        </row>
        <row r="3651">
          <cell r="B3651" t="str">
            <v>L2305-BK</v>
          </cell>
        </row>
        <row r="3651">
          <cell r="P3651" t="str">
            <v>150F0023BK1</v>
          </cell>
        </row>
        <row r="3652">
          <cell r="B3652" t="str">
            <v>HG-2307+12-CP</v>
          </cell>
        </row>
        <row r="3653">
          <cell r="B3653" t="str">
            <v>L2305-BN</v>
          </cell>
        </row>
        <row r="3653">
          <cell r="P3653" t="str">
            <v>150F0023BN1</v>
          </cell>
        </row>
        <row r="3654">
          <cell r="B3654" t="str">
            <v>TT-9704CP</v>
          </cell>
        </row>
        <row r="3654">
          <cell r="P3654" t="str">
            <v>140F0097CP1</v>
          </cell>
        </row>
        <row r="3655">
          <cell r="B3655" t="str">
            <v>HG-2307+12-BK</v>
          </cell>
        </row>
        <row r="3656">
          <cell r="B3656" t="str">
            <v>HG-2307+12-BG</v>
          </cell>
        </row>
        <row r="3657">
          <cell r="B3657" t="str">
            <v>L2305-BN</v>
          </cell>
        </row>
        <row r="3657">
          <cell r="P3657" t="str">
            <v>150F0023BN1</v>
          </cell>
        </row>
        <row r="3658">
          <cell r="B3658" t="str">
            <v>B2309-BK</v>
          </cell>
        </row>
        <row r="3658">
          <cell r="P3658" t="str">
            <v>223F0023BK1</v>
          </cell>
        </row>
        <row r="3659">
          <cell r="B3659" t="str">
            <v>B2306-ORB2</v>
          </cell>
        </row>
        <row r="3659">
          <cell r="P3659" t="str">
            <v>230F0023OB1</v>
          </cell>
        </row>
        <row r="3660">
          <cell r="B3660" t="str">
            <v>L2305-CP</v>
          </cell>
        </row>
        <row r="3660">
          <cell r="P3660" t="str">
            <v>150F0023CP1</v>
          </cell>
        </row>
        <row r="3661">
          <cell r="B3661" t="str">
            <v>B2309</v>
          </cell>
        </row>
        <row r="3662">
          <cell r="B3662" t="str">
            <v>L2305-CP</v>
          </cell>
        </row>
        <row r="3662">
          <cell r="P3662" t="str">
            <v>150F0023CP1</v>
          </cell>
        </row>
        <row r="3663">
          <cell r="B3663" t="str">
            <v>HG-2307+12-BN</v>
          </cell>
        </row>
        <row r="3664">
          <cell r="B3664" t="str">
            <v>L2305-CP-ZZ</v>
          </cell>
        </row>
        <row r="3664">
          <cell r="P3664" t="str">
            <v>150F0023CP1</v>
          </cell>
        </row>
        <row r="3665">
          <cell r="B3665" t="str">
            <v>L2305-CP-ZZ</v>
          </cell>
        </row>
        <row r="3665">
          <cell r="P3665" t="str">
            <v>150F0023CP1</v>
          </cell>
        </row>
        <row r="3666">
          <cell r="B3666" t="str">
            <v>L2305-ORB</v>
          </cell>
        </row>
        <row r="3666">
          <cell r="P3666" t="str">
            <v>150F0023OB1</v>
          </cell>
        </row>
        <row r="3667">
          <cell r="B3667" t="str">
            <v>L2305-ORB</v>
          </cell>
        </row>
        <row r="3667">
          <cell r="P3667" t="str">
            <v>150F0023OB1</v>
          </cell>
        </row>
        <row r="3668">
          <cell r="B3668" t="str">
            <v>B2309-BK2</v>
          </cell>
        </row>
        <row r="3668">
          <cell r="P3668" t="str">
            <v>223F0023BK1</v>
          </cell>
        </row>
        <row r="3669">
          <cell r="B3669" t="str">
            <v>B2306NEW</v>
          </cell>
        </row>
        <row r="3670">
          <cell r="B3670" t="str">
            <v>L230406-ORB</v>
          </cell>
        </row>
        <row r="3671">
          <cell r="B3671" t="str">
            <v>B230409-CP</v>
          </cell>
        </row>
        <row r="3672">
          <cell r="B3672" t="str">
            <v>HG-2304 ZZ</v>
          </cell>
        </row>
        <row r="3673">
          <cell r="B3673" t="str">
            <v>TT-9704ORB</v>
          </cell>
        </row>
        <row r="3673">
          <cell r="P3673" t="str">
            <v>140F0097OB1</v>
          </cell>
        </row>
        <row r="3674">
          <cell r="B3674" t="str">
            <v>U8-XPX1-S1UG</v>
          </cell>
        </row>
        <row r="3674">
          <cell r="P3674" t="str">
            <v>230F3012CP1</v>
          </cell>
        </row>
        <row r="3675">
          <cell r="B3675" t="str">
            <v>QC-3308ORBZZ02</v>
          </cell>
        </row>
        <row r="3675">
          <cell r="P3675" t="str">
            <v>新品，尚无SKU信息</v>
          </cell>
        </row>
        <row r="3676">
          <cell r="B3676" t="str">
            <v>QC-3308BK02</v>
          </cell>
        </row>
        <row r="3676">
          <cell r="P3676" t="str">
            <v>新品，尚无SKU信息</v>
          </cell>
        </row>
        <row r="3677">
          <cell r="B3677" t="str">
            <v>QC-3308CP</v>
          </cell>
        </row>
        <row r="3677">
          <cell r="P3677" t="str">
            <v>新品，尚无SKU信息</v>
          </cell>
        </row>
        <row r="3678">
          <cell r="B3678" t="str">
            <v>QC-3309BGZZ02</v>
          </cell>
        </row>
        <row r="3679">
          <cell r="B3679" t="str">
            <v>QC-3309BKZZ02</v>
          </cell>
        </row>
        <row r="3680">
          <cell r="B3680" t="str">
            <v>QC-3611BNZZ</v>
          </cell>
        </row>
        <row r="3680">
          <cell r="P3680" t="str">
            <v>新品，尚无SKU信息</v>
          </cell>
        </row>
        <row r="3681">
          <cell r="B3681" t="str">
            <v>QC-3308CPZZ</v>
          </cell>
        </row>
        <row r="3681">
          <cell r="P3681" t="str">
            <v>新品，尚无SKU信息</v>
          </cell>
        </row>
        <row r="3682">
          <cell r="B3682" t="str">
            <v>QC-3309BK02</v>
          </cell>
        </row>
        <row r="3683">
          <cell r="B3683" t="str">
            <v>QC-3611CPZZ</v>
          </cell>
        </row>
        <row r="3683">
          <cell r="P3683" t="str">
            <v>新品，尚无SKU信息</v>
          </cell>
        </row>
        <row r="3684">
          <cell r="B3684" t="str">
            <v>QC-3308ORB02</v>
          </cell>
        </row>
        <row r="3684">
          <cell r="P3684" t="str">
            <v>新品，尚无SKU信息</v>
          </cell>
        </row>
        <row r="3685">
          <cell r="B3685" t="str">
            <v>QC-3309BN</v>
          </cell>
        </row>
        <row r="3686">
          <cell r="B3686" t="str">
            <v>QC-3611ORBZZ02</v>
          </cell>
        </row>
        <row r="3686">
          <cell r="P3686" t="str">
            <v>新品，尚无SKU信息</v>
          </cell>
        </row>
        <row r="3687">
          <cell r="B3687" t="str">
            <v>QC-3309CP02</v>
          </cell>
        </row>
        <row r="3688">
          <cell r="B3688" t="str">
            <v>QC-3308BG</v>
          </cell>
        </row>
        <row r="3688">
          <cell r="P3688" t="str">
            <v>新品，尚无SKU信息</v>
          </cell>
        </row>
        <row r="3689">
          <cell r="B3689" t="str">
            <v>QC-3611CPZZ02</v>
          </cell>
        </row>
        <row r="3689">
          <cell r="P3689" t="str">
            <v>新品，尚无SKU信息</v>
          </cell>
        </row>
        <row r="3690">
          <cell r="B3690" t="str">
            <v>QC-3611ORB02</v>
          </cell>
        </row>
        <row r="3690">
          <cell r="P3690" t="str">
            <v>新品，尚无SKU信息</v>
          </cell>
        </row>
        <row r="3691">
          <cell r="B3691" t="str">
            <v>QC-3308BN</v>
          </cell>
        </row>
        <row r="3691">
          <cell r="P3691" t="str">
            <v>新品，尚无SKU信息</v>
          </cell>
        </row>
        <row r="3692">
          <cell r="B3692" t="str">
            <v>QC-3308BKZZ02</v>
          </cell>
        </row>
        <row r="3692">
          <cell r="P3692" t="str">
            <v>新品，尚无SKU信息</v>
          </cell>
        </row>
        <row r="3693">
          <cell r="B3693" t="str">
            <v>QC-3611BGZZ02</v>
          </cell>
        </row>
        <row r="3693">
          <cell r="P3693" t="str">
            <v>新品，尚无SKU信息</v>
          </cell>
        </row>
        <row r="3694">
          <cell r="B3694" t="str">
            <v>QC-3611BGZZ</v>
          </cell>
        </row>
        <row r="3694">
          <cell r="P3694" t="str">
            <v>新品，尚无SKU信息</v>
          </cell>
        </row>
        <row r="3695">
          <cell r="B3695" t="str">
            <v>QC-3611CP</v>
          </cell>
        </row>
        <row r="3695">
          <cell r="P3695" t="str">
            <v>新品，尚无SKU信息</v>
          </cell>
        </row>
        <row r="3696">
          <cell r="B3696" t="str">
            <v>QC-3308BK</v>
          </cell>
        </row>
        <row r="3696">
          <cell r="P3696" t="str">
            <v>新品，尚无SKU信息</v>
          </cell>
        </row>
        <row r="3697">
          <cell r="B3697" t="str">
            <v>QC-3309ORBZZ</v>
          </cell>
        </row>
        <row r="3698">
          <cell r="B3698" t="str">
            <v>QC-3308BGZZ02</v>
          </cell>
        </row>
        <row r="3698">
          <cell r="P3698" t="str">
            <v>新品，尚无SKU信息</v>
          </cell>
        </row>
        <row r="3699">
          <cell r="B3699" t="str">
            <v>QC-3611ORB</v>
          </cell>
        </row>
        <row r="3699">
          <cell r="P3699" t="str">
            <v>新品，尚无SKU信息</v>
          </cell>
        </row>
        <row r="3700">
          <cell r="B3700" t="str">
            <v>QC-3309CP</v>
          </cell>
        </row>
        <row r="3701">
          <cell r="B3701" t="str">
            <v>QC-3611BN02</v>
          </cell>
        </row>
        <row r="3701">
          <cell r="P3701" t="str">
            <v>新品，尚无SKU信息</v>
          </cell>
        </row>
        <row r="3702">
          <cell r="B3702" t="str">
            <v>QC-3308ORBZZ</v>
          </cell>
        </row>
        <row r="3702">
          <cell r="P3702" t="str">
            <v>新品，尚无SKU信息</v>
          </cell>
        </row>
        <row r="3703">
          <cell r="B3703" t="str">
            <v>QC-3308BN02</v>
          </cell>
        </row>
        <row r="3703">
          <cell r="P3703" t="str">
            <v>新品，尚无SKU信息</v>
          </cell>
        </row>
        <row r="3704">
          <cell r="B3704" t="str">
            <v>QC-3308CP02</v>
          </cell>
        </row>
        <row r="3704">
          <cell r="P3704" t="str">
            <v>新品，尚无SKU信息</v>
          </cell>
        </row>
        <row r="3705">
          <cell r="B3705" t="str">
            <v>QC-3309CPZZ02</v>
          </cell>
        </row>
        <row r="3706">
          <cell r="B3706" t="str">
            <v>QC-3309CPZZ</v>
          </cell>
        </row>
        <row r="3707">
          <cell r="B3707" t="str">
            <v>QC-3309BG02</v>
          </cell>
        </row>
        <row r="3708">
          <cell r="B3708" t="str">
            <v>QC-3309BGZZ</v>
          </cell>
        </row>
        <row r="3709">
          <cell r="B3709" t="str">
            <v>QC-3309BNZZ02</v>
          </cell>
        </row>
        <row r="3710">
          <cell r="B3710" t="str">
            <v>QC-3308CPZZ02</v>
          </cell>
        </row>
        <row r="3710">
          <cell r="P3710" t="str">
            <v>新品，尚无SKU信息</v>
          </cell>
        </row>
        <row r="3711">
          <cell r="B3711" t="str">
            <v>QC-3309ORB02</v>
          </cell>
        </row>
        <row r="3712">
          <cell r="B3712" t="str">
            <v>QC-3309BKZZ</v>
          </cell>
        </row>
        <row r="3713">
          <cell r="B3713" t="str">
            <v>QC-3611BKZZ02</v>
          </cell>
        </row>
        <row r="3713">
          <cell r="P3713" t="str">
            <v>新品，尚无SKU信息</v>
          </cell>
        </row>
        <row r="3714">
          <cell r="B3714" t="str">
            <v>QC-3309BG</v>
          </cell>
        </row>
        <row r="3715">
          <cell r="B3715" t="str">
            <v>QC-3308BGZZ</v>
          </cell>
        </row>
        <row r="3715">
          <cell r="P3715" t="str">
            <v>新品，尚无SKU信息</v>
          </cell>
        </row>
        <row r="3716">
          <cell r="B3716" t="str">
            <v>QC-3308BG02</v>
          </cell>
        </row>
        <row r="3716">
          <cell r="P3716" t="str">
            <v>新品，尚无SKU信息</v>
          </cell>
        </row>
        <row r="3717">
          <cell r="B3717" t="str">
            <v>QC-3611ORBZZ</v>
          </cell>
        </row>
        <row r="3717">
          <cell r="P3717" t="str">
            <v>新品，尚无SKU信息</v>
          </cell>
        </row>
        <row r="3718">
          <cell r="B3718" t="str">
            <v>QC-3309ORBZZ02</v>
          </cell>
        </row>
        <row r="3719">
          <cell r="B3719" t="str">
            <v>QC-3308ORB</v>
          </cell>
        </row>
        <row r="3719">
          <cell r="P3719" t="str">
            <v>新品，尚无SKU信息</v>
          </cell>
        </row>
        <row r="3720">
          <cell r="B3720" t="str">
            <v>QC-3309BK</v>
          </cell>
        </row>
        <row r="3721">
          <cell r="B3721" t="str">
            <v>QC-3309BNZZ</v>
          </cell>
        </row>
        <row r="3722">
          <cell r="B3722" t="str">
            <v>QC-3611CP02</v>
          </cell>
        </row>
        <row r="3722">
          <cell r="P3722" t="str">
            <v>新品，尚无SKU信息</v>
          </cell>
        </row>
        <row r="3723">
          <cell r="B3723" t="str">
            <v>QC-3611BG02</v>
          </cell>
        </row>
        <row r="3723">
          <cell r="P3723" t="str">
            <v>新品，尚无SKU信息</v>
          </cell>
        </row>
        <row r="3724">
          <cell r="B3724" t="str">
            <v>QC-3308BNZZ</v>
          </cell>
        </row>
        <row r="3724">
          <cell r="P3724" t="str">
            <v>新品，尚无SKU信息</v>
          </cell>
        </row>
        <row r="3725">
          <cell r="B3725" t="str">
            <v>QC-3611BK</v>
          </cell>
        </row>
        <row r="3725">
          <cell r="P3725" t="str">
            <v>新品，尚无SKU信息</v>
          </cell>
        </row>
        <row r="3726">
          <cell r="B3726" t="str">
            <v>QC-3308BKZZ</v>
          </cell>
        </row>
        <row r="3726">
          <cell r="P3726" t="str">
            <v>新品，尚无SKU信息</v>
          </cell>
        </row>
        <row r="3727">
          <cell r="B3727" t="str">
            <v>QC-3611BNZZ02</v>
          </cell>
        </row>
        <row r="3727">
          <cell r="P3727" t="str">
            <v>新品，尚无SKU信息</v>
          </cell>
        </row>
        <row r="3728">
          <cell r="B3728" t="str">
            <v>QC-3309ORB</v>
          </cell>
        </row>
        <row r="3729">
          <cell r="B3729" t="str">
            <v>QC-3309BN02</v>
          </cell>
        </row>
        <row r="3730">
          <cell r="B3730" t="str">
            <v>QC-3611BK02</v>
          </cell>
        </row>
        <row r="3730">
          <cell r="P3730" t="str">
            <v>新品，尚无SKU信息</v>
          </cell>
        </row>
        <row r="3731">
          <cell r="B3731" t="str">
            <v>QC-3611BG</v>
          </cell>
        </row>
        <row r="3731">
          <cell r="P3731" t="str">
            <v>新品，尚无SKU信息</v>
          </cell>
        </row>
        <row r="3732">
          <cell r="B3732" t="str">
            <v>QC-3308BNZZ02</v>
          </cell>
        </row>
        <row r="3732">
          <cell r="P3732" t="str">
            <v>新品，尚无SKU信息</v>
          </cell>
        </row>
        <row r="3733">
          <cell r="B3733" t="str">
            <v>QC-3611BKZZ</v>
          </cell>
        </row>
        <row r="3733">
          <cell r="P3733" t="str">
            <v>新品，尚无SKU信息</v>
          </cell>
        </row>
        <row r="3734">
          <cell r="B3734" t="str">
            <v>QC-3611BN</v>
          </cell>
        </row>
        <row r="3734">
          <cell r="P3734" t="str">
            <v>新品，尚无SKU信息</v>
          </cell>
        </row>
        <row r="3735">
          <cell r="B3735" t="str">
            <v>QC-3307ORB</v>
          </cell>
        </row>
        <row r="3735">
          <cell r="P3735" t="str">
            <v>已换店铺售卖/不需要配对</v>
          </cell>
        </row>
        <row r="3736">
          <cell r="B3736" t="str">
            <v>QC-3307BN</v>
          </cell>
        </row>
        <row r="3736">
          <cell r="P3736" t="str">
            <v>已换店铺售卖/不需要配对</v>
          </cell>
        </row>
        <row r="3737">
          <cell r="B3737" t="str">
            <v>QC-3307CP</v>
          </cell>
        </row>
        <row r="3737">
          <cell r="P3737" t="str">
            <v>已换店铺售卖/不需要配对</v>
          </cell>
        </row>
        <row r="3738">
          <cell r="B3738" t="str">
            <v>QC-3307BK</v>
          </cell>
        </row>
        <row r="3738">
          <cell r="P3738" t="str">
            <v>已换店铺售卖/不需要配对</v>
          </cell>
        </row>
        <row r="3739">
          <cell r="B3739" t="str">
            <v>QC-3307BG3</v>
          </cell>
        </row>
        <row r="3739">
          <cell r="P3739" t="str">
            <v>已换店铺售卖/不需要配对</v>
          </cell>
        </row>
        <row r="3740">
          <cell r="B3740" t="str">
            <v>QC-3307BG</v>
          </cell>
        </row>
        <row r="3740">
          <cell r="P3740" t="str">
            <v>已换店铺售卖/不需要配对</v>
          </cell>
        </row>
        <row r="3741">
          <cell r="B3741" t="str">
            <v>HM-9911-BNZZ</v>
          </cell>
        </row>
        <row r="3741">
          <cell r="P3741" t="str">
            <v>211F0099BN1</v>
          </cell>
        </row>
        <row r="3742">
          <cell r="B3742" t="str">
            <v>QC-89008009</v>
          </cell>
        </row>
        <row r="3743">
          <cell r="B3743" t="str">
            <v>8909BK-QC1ZZZZ</v>
          </cell>
        </row>
        <row r="3743">
          <cell r="P3743" t="str">
            <v>223F0089BK1</v>
          </cell>
        </row>
        <row r="3744">
          <cell r="B3744" t="str">
            <v>8909BG-QC1</v>
          </cell>
        </row>
        <row r="3744">
          <cell r="P3744" t="str">
            <v>223F0089BG1</v>
          </cell>
        </row>
        <row r="3745">
          <cell r="B3745" t="str">
            <v>8909ORB-QC1</v>
          </cell>
        </row>
        <row r="3745">
          <cell r="P3745" t="str">
            <v>223F0089OB1</v>
          </cell>
        </row>
        <row r="3746">
          <cell r="B3746" t="str">
            <v>8909BK-QC1</v>
          </cell>
        </row>
        <row r="3746">
          <cell r="P3746" t="str">
            <v>223F0089BK1</v>
          </cell>
        </row>
        <row r="3747">
          <cell r="B3747" t="str">
            <v>8909CP-QC1</v>
          </cell>
        </row>
        <row r="3747">
          <cell r="P3747" t="str">
            <v>223F0089CP1</v>
          </cell>
        </row>
        <row r="3748">
          <cell r="B3748" t="str">
            <v>8909BG QC1</v>
          </cell>
        </row>
        <row r="3748">
          <cell r="P3748" t="str">
            <v>223F0089BG1</v>
          </cell>
        </row>
        <row r="3749">
          <cell r="B3749" t="str">
            <v>HM-9801-BK-ZZ</v>
          </cell>
        </row>
        <row r="3749">
          <cell r="P3749" t="str">
            <v>110F0098BK1</v>
          </cell>
        </row>
        <row r="3750">
          <cell r="B3750" t="str">
            <v>LD8904+08BN</v>
          </cell>
        </row>
        <row r="3751">
          <cell r="B3751" t="str">
            <v>LD8904+08CP</v>
          </cell>
        </row>
        <row r="3752">
          <cell r="B3752" t="str">
            <v>LD8904+08BK</v>
          </cell>
        </row>
        <row r="3753">
          <cell r="B3753" t="str">
            <v>LD8904+08BG</v>
          </cell>
        </row>
        <row r="3754">
          <cell r="B3754" t="str">
            <v>LD8904+08ORB</v>
          </cell>
        </row>
        <row r="3755">
          <cell r="B3755" t="str">
            <v>LD8901+09ORB</v>
          </cell>
        </row>
        <row r="3756">
          <cell r="B3756" t="str">
            <v>LD8901+09BG</v>
          </cell>
        </row>
        <row r="3757">
          <cell r="B3757" t="str">
            <v>LD8901+09BK</v>
          </cell>
        </row>
        <row r="3758">
          <cell r="B3758" t="str">
            <v>LD8901+08ORB</v>
          </cell>
        </row>
        <row r="3759">
          <cell r="B3759" t="str">
            <v>LD8901+08BN</v>
          </cell>
        </row>
        <row r="3760">
          <cell r="B3760" t="str">
            <v>LD8901+08CP</v>
          </cell>
        </row>
        <row r="3761">
          <cell r="B3761" t="str">
            <v>LD8901+08BK</v>
          </cell>
        </row>
        <row r="3762">
          <cell r="B3762" t="str">
            <v>LD8901+08BG</v>
          </cell>
        </row>
        <row r="3763">
          <cell r="B3763" t="str">
            <v>QC-202508-ZGZZ01</v>
          </cell>
        </row>
        <row r="3763">
          <cell r="P3763" t="str">
            <v>222F0022BG3</v>
          </cell>
        </row>
        <row r="3764">
          <cell r="B3764" t="str">
            <v>QC-202508-ZG02</v>
          </cell>
        </row>
        <row r="3764">
          <cell r="P3764" t="str">
            <v>222F0022BG3</v>
          </cell>
        </row>
        <row r="3765">
          <cell r="B3765" t="str">
            <v>QC-202509-ZG01</v>
          </cell>
        </row>
        <row r="3765">
          <cell r="P3765" t="str">
            <v>223F0022BG3</v>
          </cell>
        </row>
        <row r="3766">
          <cell r="B3766" t="str">
            <v>QC-202508-ZG01</v>
          </cell>
        </row>
        <row r="3766">
          <cell r="P3766" t="str">
            <v>222F0022BG3</v>
          </cell>
        </row>
        <row r="3767">
          <cell r="B3767" t="str">
            <v>QC-202509-ZGZZ01</v>
          </cell>
        </row>
        <row r="3767">
          <cell r="P3767" t="str">
            <v>223F0022BG3</v>
          </cell>
        </row>
        <row r="3768">
          <cell r="B3768" t="str">
            <v>QC-202509-ZG02</v>
          </cell>
        </row>
        <row r="3768">
          <cell r="P3768" t="str">
            <v>223F0022BG3</v>
          </cell>
        </row>
        <row r="3769">
          <cell r="B3769" t="str">
            <v>QC-2025011-ZG02</v>
          </cell>
        </row>
        <row r="3769">
          <cell r="P3769" t="str">
            <v>211F0022BG3</v>
          </cell>
        </row>
        <row r="3770">
          <cell r="B3770" t="str">
            <v>QC-2025011-ZGZZ01</v>
          </cell>
        </row>
        <row r="3770">
          <cell r="P3770" t="str">
            <v>211F0022BG3</v>
          </cell>
        </row>
        <row r="3771">
          <cell r="B3771" t="str">
            <v>QC-202507-ZG01</v>
          </cell>
        </row>
        <row r="3771">
          <cell r="P3771" t="str">
            <v>221F0022BG3</v>
          </cell>
        </row>
        <row r="3772">
          <cell r="B3772" t="str">
            <v>QC-202507-ZG02</v>
          </cell>
        </row>
        <row r="3772">
          <cell r="P3772" t="str">
            <v>221F0022BG3</v>
          </cell>
        </row>
        <row r="3773">
          <cell r="B3773" t="str">
            <v>QC-202506-ZG02</v>
          </cell>
        </row>
        <row r="3773">
          <cell r="P3773" t="str">
            <v>230F0022BG3</v>
          </cell>
        </row>
        <row r="3774">
          <cell r="B3774" t="str">
            <v>QC-202507-ZGZZ01</v>
          </cell>
        </row>
        <row r="3774">
          <cell r="P3774" t="str">
            <v>221F0022BG3</v>
          </cell>
        </row>
        <row r="3775">
          <cell r="B3775" t="str">
            <v>QC-202506-ZG01</v>
          </cell>
        </row>
        <row r="3775">
          <cell r="P3775" t="str">
            <v>230F0022BG3</v>
          </cell>
        </row>
        <row r="3776">
          <cell r="B3776" t="str">
            <v>QC-202506-ZGZZ01</v>
          </cell>
        </row>
        <row r="3776">
          <cell r="P3776" t="str">
            <v>230F0022BG3</v>
          </cell>
        </row>
        <row r="3777">
          <cell r="B3777" t="str">
            <v>HM-8811-BG02</v>
          </cell>
        </row>
        <row r="3777">
          <cell r="P3777" t="str">
            <v>211F0088BG1</v>
          </cell>
        </row>
        <row r="3778">
          <cell r="B3778" t="str">
            <v>HM-8811-ORB02</v>
          </cell>
        </row>
        <row r="3778">
          <cell r="P3778" t="str">
            <v>211F0088OB1</v>
          </cell>
        </row>
        <row r="3779">
          <cell r="B3779" t="str">
            <v>HM-8811-BN02</v>
          </cell>
        </row>
        <row r="3779">
          <cell r="P3779" t="str">
            <v>211F0088BN1</v>
          </cell>
        </row>
        <row r="3780">
          <cell r="B3780" t="str">
            <v>HM-8811-CP-zz02</v>
          </cell>
        </row>
        <row r="3780">
          <cell r="P3780" t="str">
            <v>211F0088CP1</v>
          </cell>
        </row>
        <row r="3781">
          <cell r="B3781" t="str">
            <v>HM-8811-BN-zz02</v>
          </cell>
        </row>
        <row r="3781">
          <cell r="P3781" t="str">
            <v>211F0088BN1</v>
          </cell>
        </row>
        <row r="3782">
          <cell r="B3782" t="str">
            <v>HM-8811-BK02</v>
          </cell>
        </row>
        <row r="3782">
          <cell r="P3782" t="str">
            <v>211F0088BK2</v>
          </cell>
        </row>
        <row r="3783">
          <cell r="B3783" t="str">
            <v>HM-8811-BN03</v>
          </cell>
        </row>
        <row r="3783">
          <cell r="P3783" t="str">
            <v>211F0088BN1</v>
          </cell>
        </row>
        <row r="3784">
          <cell r="B3784" t="str">
            <v>HM-8811-CP03</v>
          </cell>
        </row>
        <row r="3784">
          <cell r="P3784" t="str">
            <v>211F0088CP1</v>
          </cell>
        </row>
        <row r="3785">
          <cell r="B3785" t="str">
            <v>HM-8811-ORB03</v>
          </cell>
        </row>
        <row r="3785">
          <cell r="P3785" t="str">
            <v>211F0088OB1</v>
          </cell>
        </row>
        <row r="3786">
          <cell r="B3786" t="str">
            <v>HM-8811-BG03</v>
          </cell>
        </row>
        <row r="3786">
          <cell r="P3786" t="str">
            <v>211F0088BG1</v>
          </cell>
        </row>
        <row r="3787">
          <cell r="B3787" t="str">
            <v>HM-8811-BK03</v>
          </cell>
        </row>
        <row r="3787">
          <cell r="P3787" t="str">
            <v>211F0088BK2</v>
          </cell>
        </row>
        <row r="3788">
          <cell r="B3788" t="str">
            <v>HM-8811-BG-zz02</v>
          </cell>
        </row>
        <row r="3788">
          <cell r="P3788" t="str">
            <v>211F0088BG1</v>
          </cell>
        </row>
        <row r="3789">
          <cell r="B3789" t="str">
            <v>HM-8811-CP02</v>
          </cell>
        </row>
        <row r="3789">
          <cell r="P3789" t="str">
            <v>211F0088CP1</v>
          </cell>
        </row>
        <row r="3790">
          <cell r="B3790" t="str">
            <v>HM-8811-BK-zz02</v>
          </cell>
        </row>
        <row r="3790">
          <cell r="P3790" t="str">
            <v>211F0088BK2</v>
          </cell>
        </row>
        <row r="3791">
          <cell r="B3791" t="str">
            <v>HM-8811-ORB-zz02</v>
          </cell>
        </row>
        <row r="3791">
          <cell r="P3791" t="str">
            <v>211F0088OB1</v>
          </cell>
        </row>
        <row r="3792">
          <cell r="B3792" t="str">
            <v>HM-8809-ORB</v>
          </cell>
        </row>
        <row r="3792">
          <cell r="P3792" t="str">
            <v>223F0088OB1</v>
          </cell>
        </row>
        <row r="3793">
          <cell r="B3793" t="str">
            <v>HM-8809-BG</v>
          </cell>
        </row>
        <row r="3793">
          <cell r="P3793" t="str">
            <v>223F0088BG1</v>
          </cell>
        </row>
        <row r="3794">
          <cell r="B3794" t="str">
            <v>HM-8809-BN</v>
          </cell>
        </row>
        <row r="3794">
          <cell r="P3794" t="str">
            <v>223F0088BN1</v>
          </cell>
        </row>
        <row r="3795">
          <cell r="B3795" t="str">
            <v>HM-9804-BK-ZZ</v>
          </cell>
        </row>
        <row r="3795">
          <cell r="P3795" t="str">
            <v>140F0098BK1</v>
          </cell>
        </row>
        <row r="3796">
          <cell r="B3796" t="str">
            <v>HM-8807-BN</v>
          </cell>
        </row>
        <row r="3796">
          <cell r="P3796" t="str">
            <v>221F0088BN1</v>
          </cell>
        </row>
        <row r="3797">
          <cell r="B3797" t="str">
            <v>HM-8807-CP</v>
          </cell>
        </row>
        <row r="3797">
          <cell r="P3797" t="str">
            <v>221F0088CP1</v>
          </cell>
        </row>
        <row r="3798">
          <cell r="B3798" t="str">
            <v>QC-202509-BN01</v>
          </cell>
        </row>
        <row r="3798">
          <cell r="P3798" t="str">
            <v>223F0022BN1</v>
          </cell>
        </row>
        <row r="3799">
          <cell r="B3799" t="str">
            <v>QC-202509-CP01</v>
          </cell>
        </row>
        <row r="3799">
          <cell r="P3799" t="str">
            <v>223F0022CP1</v>
          </cell>
        </row>
        <row r="3800">
          <cell r="B3800" t="str">
            <v>QC-202509-BG01</v>
          </cell>
        </row>
        <row r="3800">
          <cell r="P3800" t="str">
            <v>223F0022BG1</v>
          </cell>
        </row>
        <row r="3801">
          <cell r="B3801" t="str">
            <v>QC-202509-ORB01</v>
          </cell>
        </row>
        <row r="3801">
          <cell r="P3801" t="str">
            <v>223F0022OB1</v>
          </cell>
        </row>
        <row r="3802">
          <cell r="B3802" t="str">
            <v>QC-202509-BK01</v>
          </cell>
        </row>
        <row r="3802">
          <cell r="P3802" t="str">
            <v>223F0022BK1</v>
          </cell>
        </row>
        <row r="3803">
          <cell r="B3803" t="str">
            <v>QC-202509-BGZZ01</v>
          </cell>
        </row>
        <row r="3803">
          <cell r="P3803" t="str">
            <v>223F0022BG1</v>
          </cell>
        </row>
        <row r="3804">
          <cell r="B3804" t="str">
            <v>QC-202509-ORBZZ01</v>
          </cell>
        </row>
        <row r="3804">
          <cell r="P3804" t="str">
            <v>223F0022OB1</v>
          </cell>
        </row>
        <row r="3805">
          <cell r="B3805" t="str">
            <v>QC-202511-ORBZZ01</v>
          </cell>
        </row>
        <row r="3805">
          <cell r="P3805" t="str">
            <v>211F0022OB1</v>
          </cell>
        </row>
        <row r="3806">
          <cell r="B3806" t="str">
            <v>QC-202509-CPZZ01</v>
          </cell>
        </row>
        <row r="3806">
          <cell r="P3806" t="str">
            <v>223F0022CP1</v>
          </cell>
        </row>
        <row r="3807">
          <cell r="B3807" t="str">
            <v>QC-202508-BGZZ01</v>
          </cell>
        </row>
        <row r="3807">
          <cell r="P3807" t="str">
            <v>222F0022BG1</v>
          </cell>
        </row>
        <row r="3808">
          <cell r="B3808" t="str">
            <v>QC-202509-BKZZ01</v>
          </cell>
        </row>
        <row r="3808">
          <cell r="P3808" t="str">
            <v>223F0022BK1</v>
          </cell>
        </row>
        <row r="3809">
          <cell r="B3809" t="str">
            <v>QC-202508-CPZZ01</v>
          </cell>
        </row>
        <row r="3809">
          <cell r="P3809" t="str">
            <v>222F0022CP1</v>
          </cell>
        </row>
        <row r="3810">
          <cell r="B3810" t="str">
            <v>QC-202509-BNZZ01</v>
          </cell>
        </row>
        <row r="3810">
          <cell r="P3810" t="str">
            <v>223F0022BN1</v>
          </cell>
        </row>
        <row r="3811">
          <cell r="B3811" t="str">
            <v>QC-202507-CPZZ01</v>
          </cell>
        </row>
        <row r="3811">
          <cell r="P3811" t="str">
            <v>221F0022CP1</v>
          </cell>
        </row>
        <row r="3812">
          <cell r="B3812" t="str">
            <v>QC-202508-ORBZZ01</v>
          </cell>
        </row>
        <row r="3812">
          <cell r="P3812" t="str">
            <v>222F0022OB1</v>
          </cell>
        </row>
        <row r="3813">
          <cell r="B3813" t="str">
            <v>QC-202506-BN01</v>
          </cell>
        </row>
        <row r="3813">
          <cell r="P3813" t="str">
            <v>230F0022BN1</v>
          </cell>
        </row>
        <row r="3814">
          <cell r="B3814" t="str">
            <v>QC-202506-BK01</v>
          </cell>
        </row>
        <row r="3814">
          <cell r="P3814" t="str">
            <v>230F0022BK1</v>
          </cell>
        </row>
        <row r="3815">
          <cell r="B3815" t="str">
            <v>QC-202506-ORB01</v>
          </cell>
        </row>
        <row r="3815">
          <cell r="P3815" t="str">
            <v>230F0022OB1</v>
          </cell>
        </row>
        <row r="3816">
          <cell r="B3816" t="str">
            <v>QC-202506-BKZZ01</v>
          </cell>
        </row>
        <row r="3816">
          <cell r="P3816" t="str">
            <v>230F0022BK1</v>
          </cell>
        </row>
        <row r="3817">
          <cell r="B3817" t="str">
            <v>QC-202506-CPZZ01</v>
          </cell>
        </row>
        <row r="3817">
          <cell r="P3817" t="str">
            <v>230F0022CP1</v>
          </cell>
        </row>
        <row r="3818">
          <cell r="B3818" t="str">
            <v>QC-202506-BNZZ01</v>
          </cell>
        </row>
        <row r="3818">
          <cell r="P3818" t="str">
            <v>230F0022BN1</v>
          </cell>
        </row>
        <row r="3819">
          <cell r="B3819" t="str">
            <v>QC-202506-CP01</v>
          </cell>
        </row>
        <row r="3819">
          <cell r="P3819" t="str">
            <v>230F0022CP1</v>
          </cell>
        </row>
        <row r="3820">
          <cell r="B3820" t="str">
            <v>QC-202507-BKZZ01</v>
          </cell>
        </row>
        <row r="3820">
          <cell r="P3820" t="str">
            <v>221F0022BK1</v>
          </cell>
        </row>
        <row r="3821">
          <cell r="B3821" t="str">
            <v>QC-202506-BG01</v>
          </cell>
        </row>
        <row r="3821">
          <cell r="P3821" t="str">
            <v>230F0022BG1</v>
          </cell>
        </row>
        <row r="3822">
          <cell r="B3822" t="str">
            <v>QC-202507-ORBZZ01</v>
          </cell>
        </row>
        <row r="3822">
          <cell r="P3822" t="str">
            <v>221F0022OB1</v>
          </cell>
        </row>
        <row r="3823">
          <cell r="B3823" t="str">
            <v>QC-202506-ORBZZ01</v>
          </cell>
        </row>
        <row r="3823">
          <cell r="P3823" t="str">
            <v>230F0022OB1</v>
          </cell>
        </row>
        <row r="3824">
          <cell r="B3824" t="str">
            <v>QC-202506-BGZZ01</v>
          </cell>
        </row>
        <row r="3824">
          <cell r="P3824" t="str">
            <v>230F0022BG1</v>
          </cell>
        </row>
        <row r="3825">
          <cell r="B3825" t="str">
            <v>8811BG JB-ZZ</v>
          </cell>
        </row>
        <row r="3825">
          <cell r="P3825" t="str">
            <v>211F0088BG1</v>
          </cell>
        </row>
        <row r="3826">
          <cell r="B3826" t="str">
            <v>Bundle-880804-CP</v>
          </cell>
        </row>
        <row r="3827">
          <cell r="B3827" t="str">
            <v>Bundle-880804-ORB</v>
          </cell>
        </row>
        <row r="3828">
          <cell r="B3828" t="str">
            <v>Bundle-880804-BK</v>
          </cell>
        </row>
        <row r="3829">
          <cell r="B3829" t="str">
            <v>Bundle-880804-BN</v>
          </cell>
        </row>
        <row r="3830">
          <cell r="B3830" t="str">
            <v>Bundle-880804-BG</v>
          </cell>
        </row>
        <row r="3831">
          <cell r="B3831" t="str">
            <v>Bundle-880904-BK</v>
          </cell>
        </row>
        <row r="3832">
          <cell r="B3832" t="str">
            <v>Bundle-880901-CP</v>
          </cell>
        </row>
        <row r="3833">
          <cell r="B3833" t="str">
            <v>Bundle-880901-BN</v>
          </cell>
        </row>
        <row r="3834">
          <cell r="B3834" t="str">
            <v>Bundle-880901-BK</v>
          </cell>
        </row>
        <row r="3835">
          <cell r="B3835" t="str">
            <v>Bundle-880901-ORB</v>
          </cell>
        </row>
        <row r="3836">
          <cell r="B3836" t="str">
            <v>LD8904+07CP</v>
          </cell>
        </row>
        <row r="3837">
          <cell r="B3837" t="str">
            <v>LD8904+07ORB</v>
          </cell>
        </row>
        <row r="3838">
          <cell r="B3838" t="str">
            <v>LD8904+07BK</v>
          </cell>
        </row>
        <row r="3839">
          <cell r="B3839" t="str">
            <v>LD8904+07BG</v>
          </cell>
        </row>
        <row r="3840">
          <cell r="B3840" t="str">
            <v>LD8904+07BN</v>
          </cell>
        </row>
        <row r="3841">
          <cell r="B3841" t="str">
            <v>LD8901+07CP</v>
          </cell>
        </row>
        <row r="3842">
          <cell r="B3842" t="str">
            <v>LD8901+07ORB</v>
          </cell>
        </row>
        <row r="3843">
          <cell r="B3843" t="str">
            <v>LD8901+07BN</v>
          </cell>
        </row>
        <row r="3844">
          <cell r="B3844" t="str">
            <v>LD8901+07BG</v>
          </cell>
        </row>
        <row r="3845">
          <cell r="B3845" t="str">
            <v>LD8901+04CP</v>
          </cell>
        </row>
        <row r="3846">
          <cell r="B3846" t="str">
            <v>LD8901+07BK</v>
          </cell>
        </row>
        <row r="3847">
          <cell r="B3847" t="str">
            <v>LD8901+04ORB</v>
          </cell>
        </row>
        <row r="3848">
          <cell r="B3848" t="str">
            <v>LD8901+04BK</v>
          </cell>
        </row>
        <row r="3849">
          <cell r="B3849" t="str">
            <v>LD8901+04BN</v>
          </cell>
        </row>
        <row r="3850">
          <cell r="B3850" t="str">
            <v>LD8901+04BG</v>
          </cell>
        </row>
        <row r="3851">
          <cell r="B3851" t="str">
            <v>LD8901&amp;8904</v>
          </cell>
        </row>
        <row r="3852">
          <cell r="B3852" t="str">
            <v>8811ORB JB-ZZ</v>
          </cell>
        </row>
        <row r="3852">
          <cell r="P3852" t="str">
            <v>211F0088OB1</v>
          </cell>
        </row>
        <row r="3853">
          <cell r="B3853" t="str">
            <v>8811BN JBZZ01</v>
          </cell>
        </row>
        <row r="3853">
          <cell r="P3853" t="str">
            <v>211F0088BN1</v>
          </cell>
        </row>
        <row r="3854">
          <cell r="B3854" t="str">
            <v>8909CP QC1BY1</v>
          </cell>
        </row>
        <row r="3854">
          <cell r="P3854" t="str">
            <v>223F0089CP1</v>
          </cell>
        </row>
        <row r="3855">
          <cell r="B3855" t="str">
            <v>8911BG QC1BY1</v>
          </cell>
        </row>
        <row r="3855">
          <cell r="P3855" t="str">
            <v>211F0089BG1</v>
          </cell>
        </row>
        <row r="3856">
          <cell r="B3856" t="str">
            <v>8908BN QC1BY1</v>
          </cell>
        </row>
        <row r="3856">
          <cell r="P3856" t="str">
            <v>222F0089BN1</v>
          </cell>
        </row>
        <row r="3857">
          <cell r="B3857" t="str">
            <v>8908CP QC1BY1</v>
          </cell>
        </row>
        <row r="3857">
          <cell r="P3857" t="str">
            <v>222F0089CP1</v>
          </cell>
        </row>
        <row r="3858">
          <cell r="B3858" t="str">
            <v>8909BN QC1BY1</v>
          </cell>
        </row>
        <row r="3858">
          <cell r="P3858" t="str">
            <v>223F0089BN1</v>
          </cell>
        </row>
        <row r="3859">
          <cell r="B3859" t="str">
            <v>8911BN QC1BY1</v>
          </cell>
        </row>
        <row r="3859">
          <cell r="P3859" t="str">
            <v>211F0089BN1</v>
          </cell>
        </row>
        <row r="3860">
          <cell r="B3860" t="str">
            <v>8908BK QC1BY1</v>
          </cell>
        </row>
        <row r="3860">
          <cell r="P3860" t="str">
            <v>222F0089BK1</v>
          </cell>
        </row>
        <row r="3861">
          <cell r="B3861" t="str">
            <v>8911CP QC1BY1</v>
          </cell>
        </row>
        <row r="3861">
          <cell r="P3861" t="str">
            <v>211F0089CP1</v>
          </cell>
        </row>
        <row r="3862">
          <cell r="B3862" t="str">
            <v>8908ORB QC1BY1</v>
          </cell>
        </row>
        <row r="3862">
          <cell r="P3862" t="str">
            <v>222F0089OB1</v>
          </cell>
        </row>
        <row r="3863">
          <cell r="B3863" t="str">
            <v>8909ORB QC1BY1</v>
          </cell>
        </row>
        <row r="3863">
          <cell r="P3863" t="str">
            <v>223F0089OB1</v>
          </cell>
        </row>
        <row r="3864">
          <cell r="B3864" t="str">
            <v>8911BK QC1BY1</v>
          </cell>
        </row>
        <row r="3864">
          <cell r="P3864" t="str">
            <v>211F0089BK2</v>
          </cell>
        </row>
        <row r="3865">
          <cell r="B3865" t="str">
            <v>HM-8804-BG2</v>
          </cell>
        </row>
        <row r="3865">
          <cell r="P3865" t="str">
            <v>140F0088BG1</v>
          </cell>
        </row>
        <row r="3866">
          <cell r="B3866" t="str">
            <v>8909BK QC1BY1</v>
          </cell>
        </row>
        <row r="3866">
          <cell r="P3866" t="str">
            <v>223F0089BK1</v>
          </cell>
        </row>
        <row r="3867">
          <cell r="B3867" t="str">
            <v>8911ORB QC1BY1</v>
          </cell>
        </row>
        <row r="3867">
          <cell r="P3867" t="str">
            <v>211F0089OB1</v>
          </cell>
        </row>
        <row r="3868">
          <cell r="B3868" t="str">
            <v>8908BG QC1BY1</v>
          </cell>
        </row>
        <row r="3868">
          <cell r="P3868" t="str">
            <v>222F0089BG1</v>
          </cell>
        </row>
        <row r="3869">
          <cell r="B3869" t="str">
            <v>8909BG QC1BY1</v>
          </cell>
        </row>
        <row r="3869">
          <cell r="P3869" t="str">
            <v>223F0089BG1</v>
          </cell>
        </row>
        <row r="3870">
          <cell r="B3870" t="str">
            <v>8901ORB QC1BY2</v>
          </cell>
        </row>
        <row r="3870">
          <cell r="P3870" t="str">
            <v>110F0089OB1</v>
          </cell>
        </row>
        <row r="3871">
          <cell r="B3871" t="str">
            <v>8904BK QC1BY1</v>
          </cell>
        </row>
        <row r="3871">
          <cell r="P3871" t="str">
            <v>140F0089BK1</v>
          </cell>
        </row>
        <row r="3872">
          <cell r="B3872" t="str">
            <v>8901CP QC1BY2</v>
          </cell>
        </row>
        <row r="3872">
          <cell r="P3872" t="str">
            <v>110F0089CP1</v>
          </cell>
        </row>
        <row r="3873">
          <cell r="B3873" t="str">
            <v>8904CP QC1BY1</v>
          </cell>
        </row>
        <row r="3873">
          <cell r="P3873" t="str">
            <v>140F0089CP1</v>
          </cell>
        </row>
        <row r="3874">
          <cell r="B3874" t="str">
            <v>8901BK QC1BY2</v>
          </cell>
        </row>
        <row r="3874">
          <cell r="P3874" t="str">
            <v>110F0089BK1</v>
          </cell>
        </row>
        <row r="3875">
          <cell r="B3875" t="str">
            <v>8904BG QC1BY1</v>
          </cell>
        </row>
        <row r="3875">
          <cell r="P3875" t="str">
            <v>140F0089BG1</v>
          </cell>
        </row>
        <row r="3876">
          <cell r="B3876" t="str">
            <v>8904ORB QC1BY1</v>
          </cell>
        </row>
        <row r="3876">
          <cell r="P3876" t="str">
            <v>140F0089OB1</v>
          </cell>
        </row>
        <row r="3877">
          <cell r="B3877" t="str">
            <v>8901BG QC1BY2</v>
          </cell>
        </row>
        <row r="3877">
          <cell r="P3877" t="str">
            <v>110F0089BG1</v>
          </cell>
        </row>
        <row r="3878">
          <cell r="B3878" t="str">
            <v>8904BN QC1BY1</v>
          </cell>
        </row>
        <row r="3878">
          <cell r="P3878" t="str">
            <v>140F0089BN1</v>
          </cell>
        </row>
        <row r="3879">
          <cell r="B3879" t="str">
            <v>8901BN QC1BY2</v>
          </cell>
        </row>
        <row r="3879">
          <cell r="P3879" t="str">
            <v>110F0089BN1</v>
          </cell>
        </row>
        <row r="3880">
          <cell r="B3880" t="str">
            <v>BD-Q9IM-IVQX</v>
          </cell>
        </row>
        <row r="3881">
          <cell r="B3881" t="str">
            <v>6H-HWCR-DTO0</v>
          </cell>
        </row>
        <row r="3882">
          <cell r="B3882" t="str">
            <v>LD9901BK+BG</v>
          </cell>
        </row>
        <row r="3883">
          <cell r="B3883" t="str">
            <v>3003ZZ-HM</v>
          </cell>
        </row>
        <row r="3883">
          <cell r="P3883" t="str">
            <v>220F3003CP1</v>
          </cell>
        </row>
        <row r="3884">
          <cell r="B3884" t="str">
            <v>8911BG QC1</v>
          </cell>
        </row>
        <row r="3884">
          <cell r="P3884" t="str">
            <v>211F0089BG1</v>
          </cell>
        </row>
        <row r="3885">
          <cell r="B3885" t="str">
            <v>8911BN QC1</v>
          </cell>
        </row>
        <row r="3885">
          <cell r="P3885" t="str">
            <v>211F0089BN1</v>
          </cell>
        </row>
        <row r="3886">
          <cell r="B3886" t="str">
            <v>8911ORB QC1</v>
          </cell>
        </row>
        <row r="3886">
          <cell r="P3886" t="str">
            <v>211F0089OB1</v>
          </cell>
        </row>
        <row r="3887">
          <cell r="B3887" t="str">
            <v>8911CP QC1</v>
          </cell>
        </row>
        <row r="3887">
          <cell r="P3887" t="str">
            <v>211F0089CP1</v>
          </cell>
        </row>
        <row r="3888">
          <cell r="B3888" t="str">
            <v>8911BK QC1</v>
          </cell>
        </row>
        <row r="3888">
          <cell r="P3888" t="str">
            <v>211F0089BK2</v>
          </cell>
        </row>
        <row r="3889">
          <cell r="B3889" t="str">
            <v>Bundle-880704-BK</v>
          </cell>
        </row>
        <row r="3890">
          <cell r="B3890" t="str">
            <v>JT-6HIZ-3L04</v>
          </cell>
        </row>
        <row r="3891">
          <cell r="B3891" t="str">
            <v>Bundle-880701-BK</v>
          </cell>
        </row>
        <row r="3892">
          <cell r="B3892" t="str">
            <v>Bundle-50018801-BK</v>
          </cell>
        </row>
        <row r="3893">
          <cell r="B3893" t="str">
            <v>OD-2JCQ-Y4FC</v>
          </cell>
        </row>
        <row r="3893">
          <cell r="P3893" t="str">
            <v>240F3004BG1</v>
          </cell>
        </row>
        <row r="3894">
          <cell r="B3894" t="str">
            <v>HM-8807-BK</v>
          </cell>
        </row>
        <row r="3894">
          <cell r="P3894" t="str">
            <v>221F0088BK1</v>
          </cell>
        </row>
        <row r="3895">
          <cell r="B3895" t="str">
            <v>IW-29QC-4W5N</v>
          </cell>
        </row>
        <row r="3895">
          <cell r="P3895" t="str">
            <v>221F0088CP1</v>
          </cell>
        </row>
        <row r="3896">
          <cell r="B3896" t="str">
            <v>3012BK 1006BK</v>
          </cell>
        </row>
        <row r="3897">
          <cell r="B3897" t="str">
            <v>3012BK 3007BK</v>
          </cell>
        </row>
        <row r="3898">
          <cell r="B3898" t="str">
            <v>3011BN 3008BN</v>
          </cell>
        </row>
        <row r="3899">
          <cell r="B3899" t="str">
            <v>3011BN 3007BN</v>
          </cell>
        </row>
        <row r="3900">
          <cell r="B3900" t="str">
            <v>3011BK 1006BK</v>
          </cell>
        </row>
        <row r="3901">
          <cell r="B3901" t="str">
            <v>3011BK 3007BK</v>
          </cell>
        </row>
        <row r="3902">
          <cell r="B3902" t="str">
            <v>8807BK JB-ZZ01</v>
          </cell>
        </row>
        <row r="3902">
          <cell r="P3902" t="str">
            <v>221F0088BK1</v>
          </cell>
        </row>
        <row r="3903">
          <cell r="B3903" t="str">
            <v>8807CP JB-ZZ01</v>
          </cell>
        </row>
        <row r="3903">
          <cell r="P3903" t="str">
            <v>221F0088CP1</v>
          </cell>
        </row>
        <row r="3904">
          <cell r="B3904" t="str">
            <v>8801 BK-ZZ</v>
          </cell>
        </row>
        <row r="3904">
          <cell r="P3904" t="str">
            <v>110F0088BK1</v>
          </cell>
        </row>
        <row r="3905">
          <cell r="B3905" t="str">
            <v>8807BN JB-ZZ01</v>
          </cell>
        </row>
        <row r="3905">
          <cell r="P3905" t="str">
            <v>221F0088BN1</v>
          </cell>
        </row>
        <row r="3906">
          <cell r="B3906" t="str">
            <v>8801 ORB-ZZ</v>
          </cell>
        </row>
        <row r="3906">
          <cell r="P3906" t="str">
            <v>110F0088OB1</v>
          </cell>
        </row>
        <row r="3907">
          <cell r="B3907" t="str">
            <v>8809CP JB-1</v>
          </cell>
        </row>
        <row r="3907">
          <cell r="P3907" t="str">
            <v>223F0088CP1</v>
          </cell>
        </row>
        <row r="3908">
          <cell r="B3908" t="str">
            <v>8811BN JB-ZZ01</v>
          </cell>
        </row>
        <row r="3908">
          <cell r="P3908" t="str">
            <v>211F0088BN1</v>
          </cell>
        </row>
        <row r="3909">
          <cell r="B3909" t="str">
            <v>8809BN JB-1</v>
          </cell>
        </row>
        <row r="3909">
          <cell r="P3909" t="str">
            <v>223F0088BN1</v>
          </cell>
        </row>
        <row r="3910">
          <cell r="B3910" t="str">
            <v>HM-1005-BG</v>
          </cell>
        </row>
        <row r="3910">
          <cell r="P3910" t="str">
            <v>211F1005BG4</v>
          </cell>
        </row>
        <row r="3911">
          <cell r="B3911" t="str">
            <v>8811 JB-ZZ</v>
          </cell>
        </row>
        <row r="3912">
          <cell r="B3912" t="str">
            <v>8811BN JB-ZZ</v>
          </cell>
        </row>
        <row r="3912">
          <cell r="P3912" t="str">
            <v>211F0088BN1</v>
          </cell>
        </row>
        <row r="3913">
          <cell r="B3913" t="str">
            <v>8811CP JB-ZZ</v>
          </cell>
        </row>
        <row r="3913">
          <cell r="P3913" t="str">
            <v>211F0088CP1</v>
          </cell>
        </row>
        <row r="3914">
          <cell r="B3914" t="str">
            <v>8809BG JB-1</v>
          </cell>
        </row>
        <row r="3914">
          <cell r="P3914" t="str">
            <v>223F0088BG1</v>
          </cell>
        </row>
        <row r="3915">
          <cell r="B3915" t="str">
            <v>8801CPJB-1</v>
          </cell>
        </row>
        <row r="3915">
          <cell r="P3915" t="str">
            <v>110F0088CP1</v>
          </cell>
        </row>
        <row r="3916">
          <cell r="B3916" t="str">
            <v>Bundle-50018801-CP</v>
          </cell>
        </row>
        <row r="3917">
          <cell r="B3917" t="str">
            <v>Bundle-30028801-CP</v>
          </cell>
        </row>
        <row r="3918">
          <cell r="B3918" t="str">
            <v>Bundle-50018801-BN</v>
          </cell>
        </row>
        <row r="3919">
          <cell r="B3919" t="str">
            <v>Bundle-30028801-BN</v>
          </cell>
        </row>
        <row r="3920">
          <cell r="B3920" t="str">
            <v>Bundle-30038801-CP</v>
          </cell>
        </row>
        <row r="3921">
          <cell r="B3921" t="str">
            <v>L6-5WAR-Q1UB</v>
          </cell>
        </row>
        <row r="3922">
          <cell r="B3922" t="str">
            <v>1L-G981-BSF9</v>
          </cell>
        </row>
        <row r="3923">
          <cell r="B3923" t="str">
            <v>MP105CP+101CP</v>
          </cell>
        </row>
        <row r="3923">
          <cell r="P3923" t="str">
            <v>110F0101CP1</v>
          </cell>
        </row>
        <row r="3924">
          <cell r="B3924" t="str">
            <v>3012BK 5002BK</v>
          </cell>
        </row>
        <row r="3925">
          <cell r="B3925" t="str">
            <v>3012BK 3008BK</v>
          </cell>
        </row>
        <row r="3926">
          <cell r="B3926" t="str">
            <v>3012BK 3004BK</v>
          </cell>
        </row>
        <row r="3927">
          <cell r="B3927" t="str">
            <v>3012BK 3003BK</v>
          </cell>
        </row>
        <row r="3928">
          <cell r="B3928" t="str">
            <v>3011BK 3008BK</v>
          </cell>
        </row>
        <row r="3929">
          <cell r="B3929" t="str">
            <v>3011ORB 3004ORB</v>
          </cell>
        </row>
        <row r="3930">
          <cell r="B3930" t="str">
            <v>3011BK 5002BK</v>
          </cell>
        </row>
        <row r="3931">
          <cell r="B3931" t="str">
            <v>3011BN 3004BN</v>
          </cell>
        </row>
        <row r="3932">
          <cell r="B3932" t="str">
            <v>3011CP 3004CP</v>
          </cell>
        </row>
        <row r="3933">
          <cell r="B3933" t="str">
            <v>3011BK 3004BK</v>
          </cell>
        </row>
        <row r="3934">
          <cell r="B3934" t="str">
            <v>3011BG 3004BG</v>
          </cell>
        </row>
        <row r="3935">
          <cell r="B3935" t="str">
            <v>3011ORB 3003ORB</v>
          </cell>
        </row>
        <row r="3936">
          <cell r="B3936" t="str">
            <v>3011CP and 3003CP</v>
          </cell>
        </row>
        <row r="3937">
          <cell r="B3937" t="str">
            <v>3011BG+3003BG</v>
          </cell>
        </row>
        <row r="3938">
          <cell r="B3938" t="str">
            <v>3011BN+3003BN</v>
          </cell>
        </row>
        <row r="3939">
          <cell r="B3939" t="str">
            <v>8809BG JB-ZZ</v>
          </cell>
        </row>
        <row r="3939">
          <cell r="P3939" t="str">
            <v>223F0088BG1</v>
          </cell>
        </row>
        <row r="3940">
          <cell r="B3940" t="str">
            <v>8809BN JB-ZZ</v>
          </cell>
        </row>
        <row r="3940">
          <cell r="P3940" t="str">
            <v>223F0088BN1</v>
          </cell>
        </row>
        <row r="3941">
          <cell r="B3941" t="str">
            <v>8808CP JB-ZZ</v>
          </cell>
        </row>
        <row r="3941">
          <cell r="P3941" t="str">
            <v>222F0088CP1</v>
          </cell>
        </row>
        <row r="3942">
          <cell r="B3942" t="str">
            <v>8808BG JB-ZZ</v>
          </cell>
        </row>
        <row r="3942">
          <cell r="P3942" t="str">
            <v>222F0088BG1</v>
          </cell>
        </row>
        <row r="3943">
          <cell r="B3943" t="str">
            <v>8809BK JB-ZZ</v>
          </cell>
        </row>
        <row r="3943">
          <cell r="P3943" t="str">
            <v>223F0088BK1</v>
          </cell>
        </row>
        <row r="3944">
          <cell r="B3944" t="str">
            <v>8808ORB JB-ZZ</v>
          </cell>
        </row>
        <row r="3944">
          <cell r="P3944" t="str">
            <v>222F0088OB1</v>
          </cell>
        </row>
        <row r="3945">
          <cell r="B3945" t="str">
            <v>8809CP JB-ZZ</v>
          </cell>
        </row>
        <row r="3945">
          <cell r="P3945" t="str">
            <v>223F0088CP1</v>
          </cell>
        </row>
        <row r="3946">
          <cell r="B3946" t="str">
            <v>8808BK JB-ZZ</v>
          </cell>
        </row>
        <row r="3946">
          <cell r="P3946" t="str">
            <v>222F0088BK1</v>
          </cell>
        </row>
        <row r="3947">
          <cell r="B3947" t="str">
            <v>8808BN JB-ZZ</v>
          </cell>
        </row>
        <row r="3947">
          <cell r="P3947" t="str">
            <v>222F0088BN1</v>
          </cell>
        </row>
        <row r="3948">
          <cell r="B3948" t="str">
            <v>8809ORB JB-ZZ</v>
          </cell>
        </row>
        <row r="3948">
          <cell r="P3948" t="str">
            <v>223F0088OB1</v>
          </cell>
        </row>
        <row r="3949">
          <cell r="B3949" t="str">
            <v>3011BK 3003BK</v>
          </cell>
        </row>
        <row r="3950">
          <cell r="B3950" t="str">
            <v>3004CP HM1-ZZ</v>
          </cell>
        </row>
        <row r="3950">
          <cell r="P3950" t="str">
            <v>240F3004CP1</v>
          </cell>
        </row>
        <row r="3951">
          <cell r="B3951" t="str">
            <v>3003BK HM1-Z</v>
          </cell>
        </row>
        <row r="3951">
          <cell r="P3951" t="str">
            <v>220F3003BK1</v>
          </cell>
        </row>
        <row r="3952">
          <cell r="B3952" t="str">
            <v>46-IU7L-6GIL</v>
          </cell>
        </row>
        <row r="3952">
          <cell r="P3952" t="str">
            <v>240F3004BG1</v>
          </cell>
        </row>
        <row r="3953">
          <cell r="B3953" t="str">
            <v>O1-4Y7P-I4CM</v>
          </cell>
        </row>
        <row r="3953">
          <cell r="P3953" t="str">
            <v>240F3004BK1</v>
          </cell>
        </row>
        <row r="3954">
          <cell r="B3954" t="str">
            <v>S2-X30A-5XDH</v>
          </cell>
        </row>
        <row r="3954">
          <cell r="P3954" t="str">
            <v>240F3004BK1</v>
          </cell>
        </row>
        <row r="3955">
          <cell r="B3955" t="str">
            <v>J3-NY7Y-315Q</v>
          </cell>
        </row>
        <row r="3955">
          <cell r="P3955" t="str">
            <v>240F3004CP1</v>
          </cell>
        </row>
        <row r="3956">
          <cell r="B3956" t="str">
            <v>KA-HY5Y-RERJ</v>
          </cell>
        </row>
        <row r="3956">
          <cell r="P3956" t="str">
            <v>240F3004BG1</v>
          </cell>
        </row>
        <row r="3957">
          <cell r="B3957" t="str">
            <v>4J-4GMJ-YLEQ</v>
          </cell>
        </row>
        <row r="3957">
          <cell r="P3957" t="str">
            <v>240F3004BK1</v>
          </cell>
        </row>
        <row r="3958">
          <cell r="B3958" t="str">
            <v>CK-4IB2-ZKBW</v>
          </cell>
        </row>
        <row r="3959">
          <cell r="B3959" t="str">
            <v>VR-FJB1-T8UB</v>
          </cell>
        </row>
        <row r="3959">
          <cell r="P3959" t="str">
            <v>240F3004BK1</v>
          </cell>
        </row>
        <row r="3960">
          <cell r="B3960" t="str">
            <v>8809ORB JB-ZZ</v>
          </cell>
        </row>
        <row r="3960">
          <cell r="P3960" t="str">
            <v>223F0088OB1</v>
          </cell>
        </row>
        <row r="3961">
          <cell r="B3961" t="str">
            <v>8809CP JB-ZZ</v>
          </cell>
        </row>
        <row r="3961">
          <cell r="P3961" t="str">
            <v>223F0088CP1</v>
          </cell>
        </row>
        <row r="3962">
          <cell r="B3962" t="str">
            <v>8809BN JB-ZZ</v>
          </cell>
        </row>
        <row r="3962">
          <cell r="P3962" t="str">
            <v>223F0088BN1</v>
          </cell>
        </row>
        <row r="3963">
          <cell r="B3963" t="str">
            <v>8808CP JB-ZZ</v>
          </cell>
        </row>
        <row r="3963">
          <cell r="P3963" t="str">
            <v>222F0088CP1</v>
          </cell>
        </row>
        <row r="3964">
          <cell r="B3964" t="str">
            <v>8809BG JB-ZZ</v>
          </cell>
        </row>
        <row r="3964">
          <cell r="P3964" t="str">
            <v>223F0088BG1</v>
          </cell>
        </row>
        <row r="3965">
          <cell r="B3965" t="str">
            <v>8809BK JB-ZZ</v>
          </cell>
        </row>
        <row r="3965">
          <cell r="P3965" t="str">
            <v>223F0088BK1</v>
          </cell>
        </row>
        <row r="3966">
          <cell r="B3966" t="str">
            <v>8808BN JB-ZZ</v>
          </cell>
        </row>
        <row r="3966">
          <cell r="P3966" t="str">
            <v>222F0088BN1</v>
          </cell>
        </row>
        <row r="3967">
          <cell r="B3967" t="str">
            <v>8808ORB JB-ZZ</v>
          </cell>
        </row>
        <row r="3967">
          <cell r="P3967" t="str">
            <v>222F0088OB1</v>
          </cell>
        </row>
        <row r="3968">
          <cell r="B3968" t="str">
            <v>8808BG JB-ZZ</v>
          </cell>
        </row>
        <row r="3968">
          <cell r="P3968" t="str">
            <v>222F0088BG1</v>
          </cell>
        </row>
        <row r="3969">
          <cell r="B3969" t="str">
            <v>8808BK JB-ZZ</v>
          </cell>
        </row>
        <row r="3969">
          <cell r="P3969" t="str">
            <v>222F0088BK1</v>
          </cell>
        </row>
        <row r="3970">
          <cell r="B3970" t="str">
            <v>8804BN JB-ZZ</v>
          </cell>
        </row>
        <row r="3970">
          <cell r="P3970" t="str">
            <v>140F0088BN1</v>
          </cell>
        </row>
        <row r="3971">
          <cell r="B3971" t="str">
            <v>8804CP JB-ZZ</v>
          </cell>
        </row>
        <row r="3971">
          <cell r="P3971" t="str">
            <v>140F0088CP1</v>
          </cell>
        </row>
        <row r="3972">
          <cell r="B3972" t="str">
            <v>8804ORB JB-ZZ</v>
          </cell>
        </row>
        <row r="3972">
          <cell r="P3972" t="str">
            <v>140F0088OB1</v>
          </cell>
        </row>
        <row r="3973">
          <cell r="B3973" t="str">
            <v>8804BG JB-ZZ</v>
          </cell>
        </row>
        <row r="3973">
          <cell r="P3973" t="str">
            <v>140F0088BG1</v>
          </cell>
        </row>
        <row r="3974">
          <cell r="B3974" t="str">
            <v>8804BK JB-ZZ</v>
          </cell>
        </row>
        <row r="3974">
          <cell r="P3974" t="str">
            <v>140F0088BK1</v>
          </cell>
        </row>
        <row r="3975">
          <cell r="B3975" t="str">
            <v>8801 CP-ZZ</v>
          </cell>
        </row>
        <row r="3975">
          <cell r="P3975" t="str">
            <v>110F0088CP1</v>
          </cell>
        </row>
        <row r="3976">
          <cell r="B3976" t="str">
            <v>8801 BN-ZZ</v>
          </cell>
        </row>
        <row r="3976">
          <cell r="P3976" t="str">
            <v>110F0088BN1</v>
          </cell>
        </row>
        <row r="3977">
          <cell r="B3977" t="str">
            <v>8801 BG-ZZ</v>
          </cell>
        </row>
        <row r="3977">
          <cell r="P3977" t="str">
            <v>110F0088BG1</v>
          </cell>
        </row>
        <row r="3978">
          <cell r="B3978" t="str">
            <v>HM-9801-ORB-ZZ</v>
          </cell>
        </row>
        <row r="3979">
          <cell r="B3979" t="str">
            <v>HM-9804-ORB-ZZ</v>
          </cell>
        </row>
        <row r="3979">
          <cell r="P3979" t="str">
            <v>140F0098OB1</v>
          </cell>
        </row>
        <row r="3980">
          <cell r="B3980" t="str">
            <v>YS-0618-XYJT</v>
          </cell>
        </row>
        <row r="3980">
          <cell r="P3980" t="str">
            <v>110F0098BK1</v>
          </cell>
        </row>
        <row r="3981">
          <cell r="B3981" t="str">
            <v>TT-9704ORB</v>
          </cell>
        </row>
        <row r="3981">
          <cell r="P3981" t="str">
            <v>140F0097OB1</v>
          </cell>
        </row>
        <row r="3982">
          <cell r="B3982" t="str">
            <v>TT-9704RGBK</v>
          </cell>
        </row>
        <row r="3982">
          <cell r="P3982" t="str">
            <v>140F0097RB1</v>
          </cell>
        </row>
        <row r="3983">
          <cell r="B3983" t="str">
            <v>TT-9704RGBK</v>
          </cell>
        </row>
        <row r="3983">
          <cell r="P3983" t="str">
            <v>140F0097RB1</v>
          </cell>
        </row>
        <row r="3984">
          <cell r="B3984" t="str">
            <v>TT-9704RGBK</v>
          </cell>
        </row>
        <row r="3984">
          <cell r="P3984" t="str">
            <v>140F0097RB1</v>
          </cell>
        </row>
        <row r="3985">
          <cell r="B3985" t="str">
            <v>WT-0001ZZ</v>
          </cell>
        </row>
        <row r="3985">
          <cell r="P3985" t="str">
            <v>130F0104CP1</v>
          </cell>
        </row>
        <row r="3986">
          <cell r="B3986" t="str">
            <v>BA-U5VO-4Q81</v>
          </cell>
        </row>
        <row r="3986">
          <cell r="P3986" t="str">
            <v>140F0098BK1</v>
          </cell>
        </row>
        <row r="3987">
          <cell r="B3987" t="str">
            <v>WT-0001ZZ</v>
          </cell>
        </row>
        <row r="3987">
          <cell r="P3987" t="str">
            <v>130F0104CP1</v>
          </cell>
        </row>
        <row r="3988">
          <cell r="B3988" t="str">
            <v>WT-0001ZZ</v>
          </cell>
        </row>
        <row r="3988">
          <cell r="P3988" t="str">
            <v>130F0104CP1</v>
          </cell>
        </row>
        <row r="3989">
          <cell r="B3989" t="str">
            <v>FA-R1VI-49JM</v>
          </cell>
        </row>
        <row r="3990">
          <cell r="B3990" t="str">
            <v>8807CPJB-ZZ</v>
          </cell>
        </row>
        <row r="3990">
          <cell r="P3990" t="str">
            <v>221F0088CP1</v>
          </cell>
        </row>
        <row r="3991">
          <cell r="B3991" t="str">
            <v>8807ORBJB-ZZ</v>
          </cell>
        </row>
        <row r="3991">
          <cell r="P3991" t="str">
            <v>221F0088OB1</v>
          </cell>
        </row>
        <row r="3992">
          <cell r="B3992" t="str">
            <v>8807BKJB-ZZ</v>
          </cell>
        </row>
        <row r="3992">
          <cell r="P3992" t="str">
            <v>221F0088BK1</v>
          </cell>
        </row>
        <row r="3993">
          <cell r="B3993" t="str">
            <v>8807BNJB-ZZ</v>
          </cell>
        </row>
        <row r="3993">
          <cell r="P3993" t="str">
            <v>221F0088BN1</v>
          </cell>
        </row>
        <row r="3994">
          <cell r="B3994" t="str">
            <v>8807BGJB-ZZ</v>
          </cell>
        </row>
        <row r="3994">
          <cell r="P3994" t="str">
            <v>221F0088BG1</v>
          </cell>
        </row>
        <row r="3995">
          <cell r="B3995" t="str">
            <v>8807CPJB-ZZ</v>
          </cell>
        </row>
        <row r="3995">
          <cell r="P3995" t="str">
            <v>221F0088CP1</v>
          </cell>
        </row>
        <row r="3996">
          <cell r="B3996" t="str">
            <v>Y3-IEBW-SXWZ</v>
          </cell>
        </row>
        <row r="3996">
          <cell r="P3996" t="str">
            <v>221F0088BK1</v>
          </cell>
        </row>
        <row r="3997">
          <cell r="B3997" t="str">
            <v>5C-TAUA-V9X6</v>
          </cell>
        </row>
        <row r="3997">
          <cell r="P3997" t="str">
            <v>222F0088CP1</v>
          </cell>
        </row>
        <row r="3998">
          <cell r="B3998" t="str">
            <v>8909ORB-QC1ZZZZ</v>
          </cell>
        </row>
        <row r="3998">
          <cell r="P3998" t="str">
            <v>223F0089OB1</v>
          </cell>
        </row>
        <row r="3999">
          <cell r="B3999" t="str">
            <v>KA-WA5L-EEU1</v>
          </cell>
        </row>
        <row r="4000">
          <cell r="B4000" t="str">
            <v>QC-8909ZZZ</v>
          </cell>
        </row>
        <row r="4001">
          <cell r="B4001" t="str">
            <v>8909BN QC1ZZ</v>
          </cell>
        </row>
        <row r="4002">
          <cell r="B4002" t="str">
            <v>8909ORB QC1ZZ</v>
          </cell>
        </row>
        <row r="4003">
          <cell r="B4003" t="str">
            <v>8909BG QC1ZZZ</v>
          </cell>
        </row>
        <row r="4004">
          <cell r="B4004" t="str">
            <v>8909CP QC1ZZ</v>
          </cell>
        </row>
        <row r="4005">
          <cell r="B4005" t="str">
            <v>8909BK QC1ZZZ</v>
          </cell>
        </row>
        <row r="4006">
          <cell r="B4006" t="str">
            <v>8908BN-QC1ZZ</v>
          </cell>
        </row>
        <row r="4007">
          <cell r="B4007" t="str">
            <v>8908ORB-QC1ZZ</v>
          </cell>
        </row>
        <row r="4008">
          <cell r="B4008" t="str">
            <v>8908BK-QC1ZZ</v>
          </cell>
        </row>
        <row r="4009">
          <cell r="B4009" t="str">
            <v>8908CP-QC1ZZ</v>
          </cell>
        </row>
        <row r="4010">
          <cell r="B4010" t="str">
            <v>8908BG-QC1ZZ</v>
          </cell>
        </row>
        <row r="4011">
          <cell r="B4011" t="str">
            <v>8908ORB-QCZZ</v>
          </cell>
        </row>
        <row r="4011">
          <cell r="P4011" t="str">
            <v>222F0089OB1</v>
          </cell>
        </row>
        <row r="4012">
          <cell r="B4012" t="str">
            <v>8907BN-QC1</v>
          </cell>
        </row>
        <row r="4013">
          <cell r="B4013" t="str">
            <v>8907CP-QC1</v>
          </cell>
        </row>
        <row r="4014">
          <cell r="B4014" t="str">
            <v>8907BK-QC1</v>
          </cell>
        </row>
        <row r="4015">
          <cell r="B4015" t="str">
            <v>8907ORB-QC1</v>
          </cell>
        </row>
        <row r="4016">
          <cell r="B4016" t="str">
            <v>8907BG--QC1</v>
          </cell>
        </row>
        <row r="4017">
          <cell r="B4017" t="str">
            <v>HM-8807-BG-zz</v>
          </cell>
        </row>
        <row r="4017">
          <cell r="P4017" t="str">
            <v>221F0088BG1</v>
          </cell>
        </row>
        <row r="4018">
          <cell r="B4018" t="str">
            <v>HM-8808-BK-zz</v>
          </cell>
        </row>
        <row r="4018">
          <cell r="P4018" t="str">
            <v>222F0088BK1</v>
          </cell>
        </row>
        <row r="4019">
          <cell r="B4019" t="str">
            <v>HM-8808-BG-zz</v>
          </cell>
        </row>
        <row r="4019">
          <cell r="P4019" t="str">
            <v>222F0088BG1</v>
          </cell>
        </row>
        <row r="4020">
          <cell r="B4020" t="str">
            <v>HM-8804-ORB1</v>
          </cell>
        </row>
        <row r="4020">
          <cell r="P4020" t="str">
            <v>140F0088OB1</v>
          </cell>
        </row>
        <row r="4021">
          <cell r="B4021" t="str">
            <v>HM-8808-ORB-zz</v>
          </cell>
        </row>
        <row r="4021">
          <cell r="P4021" t="str">
            <v>222F0088OB1</v>
          </cell>
        </row>
        <row r="4022">
          <cell r="B4022" t="str">
            <v>HM-8804-BK1</v>
          </cell>
        </row>
        <row r="4022">
          <cell r="P4022" t="str">
            <v>140F0088BK1</v>
          </cell>
        </row>
        <row r="4023">
          <cell r="B4023" t="str">
            <v>HM-8804-BN1</v>
          </cell>
        </row>
        <row r="4023">
          <cell r="P4023" t="str">
            <v>140F0088BN1</v>
          </cell>
        </row>
        <row r="4024">
          <cell r="B4024" t="str">
            <v>HM-8811-BG-zz</v>
          </cell>
        </row>
        <row r="4024">
          <cell r="P4024" t="str">
            <v>211F0088BG1</v>
          </cell>
        </row>
        <row r="4025">
          <cell r="B4025" t="str">
            <v>HM-8811-ORB-zz</v>
          </cell>
        </row>
        <row r="4025">
          <cell r="P4025" t="str">
            <v>211F0088OB1</v>
          </cell>
        </row>
        <row r="4026">
          <cell r="B4026" t="str">
            <v>9J-DY4N-JVNZ</v>
          </cell>
        </row>
        <row r="4026">
          <cell r="P4026" t="str">
            <v>211F0088BK2</v>
          </cell>
        </row>
        <row r="4027">
          <cell r="B4027" t="str">
            <v>2W-6TL4-NCWG</v>
          </cell>
        </row>
        <row r="4027">
          <cell r="P4027" t="str">
            <v>211F0088BG1</v>
          </cell>
        </row>
        <row r="4028">
          <cell r="B4028" t="str">
            <v>LZ-YWRC-LO96</v>
          </cell>
        </row>
        <row r="4028">
          <cell r="P4028" t="str">
            <v>211F0088OB1</v>
          </cell>
        </row>
        <row r="4029">
          <cell r="B4029" t="str">
            <v>F5-BN01-SMLE</v>
          </cell>
        </row>
        <row r="4029">
          <cell r="P4029" t="str">
            <v>211F0088BN1</v>
          </cell>
        </row>
        <row r="4030">
          <cell r="B4030" t="str">
            <v>GW-KLDU-QWGC</v>
          </cell>
        </row>
        <row r="4030">
          <cell r="P4030" t="str">
            <v>211F0088OB1</v>
          </cell>
        </row>
        <row r="4031">
          <cell r="B4031" t="str">
            <v>69-KBGQ-VPWY</v>
          </cell>
        </row>
        <row r="4031">
          <cell r="P4031" t="str">
            <v>211F0088BK2</v>
          </cell>
        </row>
        <row r="4032">
          <cell r="B4032" t="str">
            <v>8K-GAKL-WI4K</v>
          </cell>
        </row>
        <row r="4032">
          <cell r="P4032" t="str">
            <v>211F0088BG1</v>
          </cell>
        </row>
        <row r="4033">
          <cell r="B4033" t="str">
            <v>N5-GAXT-3V6I</v>
          </cell>
        </row>
        <row r="4033">
          <cell r="P4033" t="str">
            <v>211F0088CP1</v>
          </cell>
        </row>
        <row r="4034">
          <cell r="B4034" t="str">
            <v>HM-8801-BN2</v>
          </cell>
        </row>
        <row r="4034">
          <cell r="P4034" t="str">
            <v>110F0088BN1</v>
          </cell>
        </row>
        <row r="4035">
          <cell r="B4035" t="str">
            <v>MP 101CP JB1</v>
          </cell>
        </row>
        <row r="4036">
          <cell r="B4036" t="str">
            <v>BO-KRKD-1VAW</v>
          </cell>
        </row>
        <row r="4037">
          <cell r="B4037" t="str">
            <v>HM-8801-ORB</v>
          </cell>
        </row>
        <row r="4037">
          <cell r="P4037" t="str">
            <v>110F0088OB1</v>
          </cell>
        </row>
        <row r="4038">
          <cell r="B4038" t="str">
            <v>HM-8801-CP</v>
          </cell>
        </row>
        <row r="4038">
          <cell r="P4038" t="str">
            <v>110F0088CP1</v>
          </cell>
        </row>
        <row r="4039">
          <cell r="B4039" t="str">
            <v>3004BG HMxin</v>
          </cell>
        </row>
        <row r="4039">
          <cell r="P4039" t="str">
            <v>221F0088CP1</v>
          </cell>
        </row>
        <row r="4040">
          <cell r="B4040" t="str">
            <v>IU-OJDO-Q7US</v>
          </cell>
        </row>
        <row r="4040">
          <cell r="P4040" t="str">
            <v>223F0088CP1</v>
          </cell>
        </row>
        <row r="4041">
          <cell r="B4041" t="str">
            <v>HM-105-BN-ZZ</v>
          </cell>
        </row>
        <row r="4041">
          <cell r="P4041" t="str">
            <v>130F0105BN1</v>
          </cell>
        </row>
        <row r="4042">
          <cell r="B4042" t="str">
            <v>OH-KUXT-ON5T</v>
          </cell>
        </row>
        <row r="4043">
          <cell r="B4043" t="str">
            <v>HM-105-BN</v>
          </cell>
        </row>
        <row r="4043">
          <cell r="P4043" t="str">
            <v>130F0105BN1</v>
          </cell>
        </row>
        <row r="4044">
          <cell r="B4044" t="str">
            <v>HM-105-ORB</v>
          </cell>
        </row>
        <row r="4044">
          <cell r="P4044" t="str">
            <v>130F0105OB1</v>
          </cell>
        </row>
        <row r="4045">
          <cell r="B4045" t="str">
            <v>HM-8801-CS</v>
          </cell>
        </row>
        <row r="4046">
          <cell r="B4046" t="str">
            <v>HM-8809-ORB-zz</v>
          </cell>
        </row>
        <row r="4046">
          <cell r="P4046" t="str">
            <v>223F0088OB1</v>
          </cell>
        </row>
        <row r="4047">
          <cell r="B4047" t="str">
            <v>AP-67XW-DUPY</v>
          </cell>
        </row>
        <row r="4047">
          <cell r="P4047" t="str">
            <v>221F0088CP1</v>
          </cell>
        </row>
        <row r="4048">
          <cell r="B4048" t="str">
            <v>HM-8809-BG-zz</v>
          </cell>
        </row>
        <row r="4048">
          <cell r="P4048" t="str">
            <v>223F0088BG1</v>
          </cell>
        </row>
        <row r="4049">
          <cell r="B4049" t="str">
            <v>HM-8809-BK-zz</v>
          </cell>
        </row>
        <row r="4049">
          <cell r="P4049" t="str">
            <v>223F0088BK1</v>
          </cell>
        </row>
        <row r="4050">
          <cell r="B4050" t="str">
            <v>D6-TTPF-XRFX</v>
          </cell>
        </row>
        <row r="4051">
          <cell r="B4051" t="str">
            <v>HM-8804-ORB-zz</v>
          </cell>
        </row>
        <row r="4051">
          <cell r="P4051" t="str">
            <v>140F0088OB1</v>
          </cell>
        </row>
        <row r="4052">
          <cell r="B4052" t="str">
            <v>HM-8804-BK-zz</v>
          </cell>
        </row>
        <row r="4052">
          <cell r="P4052" t="str">
            <v>140F0088BK1</v>
          </cell>
        </row>
        <row r="4053">
          <cell r="B4053" t="str">
            <v>HM-8804-BG-zz</v>
          </cell>
        </row>
        <row r="4053">
          <cell r="P4053" t="str">
            <v>140F0088BG1</v>
          </cell>
        </row>
        <row r="4054">
          <cell r="B4054" t="str">
            <v>CQ-2MPT-A2Z1</v>
          </cell>
        </row>
        <row r="4055">
          <cell r="B4055" t="str">
            <v>QC-0006</v>
          </cell>
        </row>
        <row r="4055">
          <cell r="P4055" t="str">
            <v>220F3003CP1</v>
          </cell>
        </row>
        <row r="4056">
          <cell r="B4056" t="str">
            <v>QC-0001</v>
          </cell>
        </row>
        <row r="4056">
          <cell r="P4056" t="str">
            <v>220F3003CP1</v>
          </cell>
        </row>
        <row r="4057">
          <cell r="B4057" t="str">
            <v>QC-0005</v>
          </cell>
        </row>
        <row r="4057">
          <cell r="P4057" t="str">
            <v>220F3003CP1</v>
          </cell>
        </row>
        <row r="4058">
          <cell r="B4058" t="str">
            <v>5002ORB QC1</v>
          </cell>
        </row>
        <row r="4058">
          <cell r="P4058" t="str">
            <v>231F5002OB1</v>
          </cell>
        </row>
        <row r="4059">
          <cell r="B4059" t="str">
            <v>3004BG QC1</v>
          </cell>
        </row>
        <row r="4059">
          <cell r="P4059" t="str">
            <v>240F3004BG1</v>
          </cell>
        </row>
        <row r="4060">
          <cell r="B4060" t="str">
            <v>3004BN QC1</v>
          </cell>
        </row>
        <row r="4060">
          <cell r="P4060" t="str">
            <v>240F3004BN2</v>
          </cell>
        </row>
        <row r="4061">
          <cell r="B4061" t="str">
            <v>3004ORB QC1</v>
          </cell>
        </row>
        <row r="4061">
          <cell r="P4061" t="str">
            <v>240F3004OB1</v>
          </cell>
        </row>
        <row r="4062">
          <cell r="B4062" t="str">
            <v>MP104BK + 3006ORB JB</v>
          </cell>
        </row>
        <row r="4063">
          <cell r="B4063" t="str">
            <v>MP105BN + 3006ORB JB</v>
          </cell>
        </row>
        <row r="4064">
          <cell r="B4064" t="str">
            <v>MP105BK + 3006CP JB</v>
          </cell>
        </row>
        <row r="4065">
          <cell r="B4065" t="str">
            <v>MP105BK + 3006ORB JB</v>
          </cell>
        </row>
        <row r="4066">
          <cell r="B4066" t="str">
            <v>MP104BK + 3006CP JB</v>
          </cell>
        </row>
        <row r="4067">
          <cell r="B4067" t="str">
            <v>MP105CP + 3006ORB JB</v>
          </cell>
        </row>
        <row r="4068">
          <cell r="B4068" t="str">
            <v>MP105CP + 3006BG JB</v>
          </cell>
        </row>
        <row r="4069">
          <cell r="B4069" t="str">
            <v>MP105BK + 3006BG JB</v>
          </cell>
        </row>
        <row r="4070">
          <cell r="B4070" t="str">
            <v>MP105BN + 3006CP JB</v>
          </cell>
        </row>
        <row r="4071">
          <cell r="B4071" t="str">
            <v>MP105CP + 3006CP JB</v>
          </cell>
        </row>
        <row r="4072">
          <cell r="B4072" t="str">
            <v>MP104BK + 3006BG JB</v>
          </cell>
        </row>
        <row r="4073">
          <cell r="B4073" t="str">
            <v>MP104BK + 3006BN JB</v>
          </cell>
        </row>
        <row r="4074">
          <cell r="B4074" t="str">
            <v>MP105BK + 3006BN JB</v>
          </cell>
        </row>
        <row r="4075">
          <cell r="B4075" t="str">
            <v>MP105BN + 3006BG JB</v>
          </cell>
        </row>
        <row r="4076">
          <cell r="B4076" t="str">
            <v>MP105CP + 3006BN JB</v>
          </cell>
        </row>
        <row r="4077">
          <cell r="B4077" t="str">
            <v>MP105BN + 3006BN JB</v>
          </cell>
        </row>
        <row r="4078">
          <cell r="B4078" t="str">
            <v>MP104BK + 3006BK JB</v>
          </cell>
        </row>
        <row r="4079">
          <cell r="B4079" t="str">
            <v>MP105CP + 3006BK JB</v>
          </cell>
        </row>
        <row r="4080">
          <cell r="B4080" t="str">
            <v>MP105BN + 3006BK JB</v>
          </cell>
        </row>
        <row r="4081">
          <cell r="B4081" t="str">
            <v>MP105BK + 3006BK JB</v>
          </cell>
        </row>
        <row r="4082">
          <cell r="B4082" t="str">
            <v>5002BG QC1</v>
          </cell>
        </row>
        <row r="4082">
          <cell r="P4082" t="str">
            <v>231F5002BG4</v>
          </cell>
        </row>
        <row r="4083">
          <cell r="B4083" t="str">
            <v>5002CP QC1</v>
          </cell>
        </row>
        <row r="4083">
          <cell r="P4083" t="str">
            <v>231F5002CP1</v>
          </cell>
        </row>
        <row r="4084">
          <cell r="B4084" t="str">
            <v>5002BN QC1</v>
          </cell>
        </row>
        <row r="4084">
          <cell r="P4084" t="str">
            <v>231F5002BN3</v>
          </cell>
        </row>
        <row r="4085">
          <cell r="B4085" t="str">
            <v>1005BN QC1</v>
          </cell>
        </row>
        <row r="4085">
          <cell r="P4085" t="str">
            <v>211F1005BN3</v>
          </cell>
        </row>
        <row r="4086">
          <cell r="B4086" t="str">
            <v>1007CP QC1</v>
          </cell>
        </row>
        <row r="4086">
          <cell r="P4086" t="str">
            <v>211F1007CP1</v>
          </cell>
        </row>
        <row r="4087">
          <cell r="B4087" t="str">
            <v>1007ORB QC1</v>
          </cell>
        </row>
        <row r="4087">
          <cell r="P4087" t="str">
            <v>211F1007OB1</v>
          </cell>
        </row>
        <row r="4088">
          <cell r="B4088" t="str">
            <v>1005CP QC1</v>
          </cell>
        </row>
        <row r="4088">
          <cell r="P4088" t="str">
            <v>211F1005CP1</v>
          </cell>
        </row>
        <row r="4089">
          <cell r="B4089" t="str">
            <v>1007BG QC1</v>
          </cell>
        </row>
        <row r="4089">
          <cell r="P4089" t="str">
            <v>211F1007BG4</v>
          </cell>
        </row>
        <row r="4090">
          <cell r="B4090" t="str">
            <v>1007BK QC1</v>
          </cell>
        </row>
        <row r="4090">
          <cell r="P4090" t="str">
            <v>211F1007BK2</v>
          </cell>
        </row>
        <row r="4091">
          <cell r="B4091" t="str">
            <v>3007ORB QC1</v>
          </cell>
        </row>
        <row r="4091">
          <cell r="P4091" t="str">
            <v>230F3007OB1</v>
          </cell>
        </row>
        <row r="4092">
          <cell r="B4092" t="str">
            <v>3007CP QC1</v>
          </cell>
        </row>
        <row r="4092">
          <cell r="P4092" t="str">
            <v>230F3007CP1</v>
          </cell>
        </row>
        <row r="4093">
          <cell r="B4093" t="str">
            <v>3008BK QC1</v>
          </cell>
        </row>
        <row r="4093">
          <cell r="P4093" t="str">
            <v>230F3008BK1</v>
          </cell>
        </row>
        <row r="4094">
          <cell r="B4094" t="str">
            <v>3008ORB QC1</v>
          </cell>
        </row>
        <row r="4094">
          <cell r="P4094" t="str">
            <v>230F3008OB1</v>
          </cell>
        </row>
        <row r="4095">
          <cell r="B4095" t="str">
            <v>3008CP QC1</v>
          </cell>
        </row>
        <row r="4095">
          <cell r="P4095" t="str">
            <v>230F3008CP1</v>
          </cell>
        </row>
        <row r="4096">
          <cell r="B4096" t="str">
            <v>3008BG QC1</v>
          </cell>
        </row>
        <row r="4096">
          <cell r="P4096" t="str">
            <v>230F3008BG4</v>
          </cell>
        </row>
        <row r="4097">
          <cell r="B4097" t="str">
            <v>3008BN QC1</v>
          </cell>
        </row>
        <row r="4097">
          <cell r="P4097" t="str">
            <v>230F3008BN3</v>
          </cell>
        </row>
        <row r="4098">
          <cell r="B4098" t="str">
            <v>3006ORB JB1</v>
          </cell>
        </row>
        <row r="4098">
          <cell r="P4098" t="str">
            <v>231F3006OB1</v>
          </cell>
        </row>
        <row r="4099">
          <cell r="B4099" t="str">
            <v>QC-0004</v>
          </cell>
        </row>
        <row r="4099">
          <cell r="P4099" t="str">
            <v>220F3003CP1</v>
          </cell>
        </row>
        <row r="4100">
          <cell r="B4100" t="str">
            <v>8811CP JB-1</v>
          </cell>
        </row>
        <row r="4101">
          <cell r="B4101" t="str">
            <v>8807CP JB-1</v>
          </cell>
        </row>
        <row r="4101">
          <cell r="P4101" t="str">
            <v>221F0088CP1</v>
          </cell>
        </row>
        <row r="4102">
          <cell r="B4102" t="str">
            <v>8807ORB JB-1</v>
          </cell>
        </row>
        <row r="4102">
          <cell r="P4102" t="str">
            <v>221F0088OB1</v>
          </cell>
        </row>
        <row r="4103">
          <cell r="B4103" t="str">
            <v>8811BN JB-1</v>
          </cell>
        </row>
        <row r="4104">
          <cell r="B4104" t="str">
            <v>8811BK JB-1</v>
          </cell>
        </row>
        <row r="4105">
          <cell r="B4105" t="str">
            <v>8811ORB JB-1</v>
          </cell>
        </row>
        <row r="4106">
          <cell r="B4106" t="str">
            <v>8807BG JB-1</v>
          </cell>
        </row>
        <row r="4106">
          <cell r="P4106" t="str">
            <v>221F0088BG1</v>
          </cell>
        </row>
        <row r="4107">
          <cell r="B4107" t="str">
            <v>8811BG JB-1</v>
          </cell>
        </row>
        <row r="4108">
          <cell r="B4108" t="str">
            <v>8807BK JB-1</v>
          </cell>
        </row>
        <row r="4108">
          <cell r="P4108" t="str">
            <v>221F0088BK1</v>
          </cell>
        </row>
        <row r="4109">
          <cell r="B4109" t="str">
            <v>8807BN JB-1</v>
          </cell>
        </row>
        <row r="4109">
          <cell r="P4109" t="str">
            <v>221F0088BN1</v>
          </cell>
        </row>
        <row r="4110">
          <cell r="B4110" t="str">
            <v>3006BG JB1</v>
          </cell>
        </row>
        <row r="4110">
          <cell r="P4110" t="str">
            <v>231F3006BG1</v>
          </cell>
        </row>
        <row r="4111">
          <cell r="B4111" t="str">
            <v>3006BK JB1</v>
          </cell>
        </row>
        <row r="4111">
          <cell r="P4111" t="str">
            <v>231F3006BK1</v>
          </cell>
        </row>
        <row r="4112">
          <cell r="B4112" t="str">
            <v>3006CP JB1</v>
          </cell>
        </row>
        <row r="4112">
          <cell r="P4112" t="str">
            <v>231F3006CP1</v>
          </cell>
        </row>
        <row r="4113">
          <cell r="B4113" t="str">
            <v>3006BN JB1</v>
          </cell>
        </row>
        <row r="4113">
          <cell r="P4113" t="str">
            <v>231F3006BN2</v>
          </cell>
        </row>
        <row r="4114">
          <cell r="B4114" t="str">
            <v>8804BK JB</v>
          </cell>
        </row>
        <row r="4115">
          <cell r="B4115" t="str">
            <v>8801BG JB</v>
          </cell>
        </row>
        <row r="4116">
          <cell r="B4116" t="str">
            <v>8801BK JB</v>
          </cell>
        </row>
        <row r="4117">
          <cell r="B4117" t="str">
            <v>8804BG JB-1</v>
          </cell>
        </row>
        <row r="4118">
          <cell r="B4118" t="str">
            <v>8801BG JB-1</v>
          </cell>
        </row>
        <row r="4119">
          <cell r="B4119" t="str">
            <v>8801BN JB</v>
          </cell>
        </row>
        <row r="4120">
          <cell r="B4120" t="str">
            <v>8801ORB JB</v>
          </cell>
        </row>
        <row r="4121">
          <cell r="B4121" t="str">
            <v>8801CP JB</v>
          </cell>
        </row>
        <row r="4122">
          <cell r="B4122" t="str">
            <v>8804BN JB</v>
          </cell>
        </row>
        <row r="4123">
          <cell r="B4123" t="str">
            <v>8804BG JB</v>
          </cell>
        </row>
        <row r="4124">
          <cell r="B4124" t="str">
            <v>8804ORB JB</v>
          </cell>
        </row>
        <row r="4125">
          <cell r="B4125" t="str">
            <v>8804CP JB</v>
          </cell>
        </row>
        <row r="4126">
          <cell r="B4126" t="str">
            <v>AW-LE07-4NGO</v>
          </cell>
        </row>
        <row r="4126">
          <cell r="P4126" t="str">
            <v>221F0088CP1</v>
          </cell>
        </row>
        <row r="4127">
          <cell r="B4127" t="str">
            <v>IY-JPIJ-PU8I</v>
          </cell>
        </row>
        <row r="4127">
          <cell r="P4127" t="str">
            <v>221F0088CP1</v>
          </cell>
        </row>
        <row r="4128">
          <cell r="B4128" t="str">
            <v>15-TYXX-2YGE</v>
          </cell>
        </row>
        <row r="4128">
          <cell r="P4128" t="str">
            <v>221F0088CP1</v>
          </cell>
        </row>
        <row r="4129">
          <cell r="B4129" t="str">
            <v>MP107BG LD1</v>
          </cell>
        </row>
        <row r="4129">
          <cell r="P4129" t="str">
            <v>140F0107BG1</v>
          </cell>
        </row>
        <row r="4130">
          <cell r="B4130" t="str">
            <v>MP104BK LD1</v>
          </cell>
        </row>
        <row r="4130">
          <cell r="P4130" t="str">
            <v>130F0104BK1</v>
          </cell>
        </row>
        <row r="4131">
          <cell r="B4131" t="str">
            <v>3002BK HM1</v>
          </cell>
        </row>
        <row r="4131">
          <cell r="P4131" t="str">
            <v>221F3002BK1</v>
          </cell>
        </row>
        <row r="4132">
          <cell r="B4132" t="str">
            <v>3003BG HM1</v>
          </cell>
        </row>
        <row r="4132">
          <cell r="P4132" t="str">
            <v>220F3003BG1</v>
          </cell>
        </row>
        <row r="4133">
          <cell r="B4133" t="str">
            <v>3004BG HM1</v>
          </cell>
        </row>
        <row r="4133">
          <cell r="P4133" t="str">
            <v>240F3004BG1</v>
          </cell>
        </row>
        <row r="4134">
          <cell r="B4134" t="str">
            <v>3003BG HM1</v>
          </cell>
        </row>
        <row r="4134">
          <cell r="P4134" t="str">
            <v>220F3003BG1</v>
          </cell>
        </row>
        <row r="4135">
          <cell r="B4135" t="str">
            <v>3002ORB HM1</v>
          </cell>
        </row>
        <row r="4135">
          <cell r="P4135" t="str">
            <v>221F3002OB1</v>
          </cell>
        </row>
        <row r="4136">
          <cell r="B4136" t="str">
            <v>3004BN HM1</v>
          </cell>
        </row>
        <row r="4136">
          <cell r="P4136" t="str">
            <v>240F3004BN2</v>
          </cell>
        </row>
        <row r="4137">
          <cell r="B4137" t="str">
            <v>5001CP HM1</v>
          </cell>
        </row>
        <row r="4137">
          <cell r="P4137" t="str">
            <v>223F5001CP1</v>
          </cell>
        </row>
        <row r="4138">
          <cell r="B4138" t="str">
            <v>3002BG HM1</v>
          </cell>
        </row>
        <row r="4138">
          <cell r="P4138" t="str">
            <v>221F3002BG4</v>
          </cell>
        </row>
        <row r="4139">
          <cell r="B4139" t="str">
            <v>3002BK HM1</v>
          </cell>
        </row>
        <row r="4139">
          <cell r="P4139" t="str">
            <v>221F3002BK1</v>
          </cell>
        </row>
        <row r="4140">
          <cell r="B4140" t="str">
            <v>5001CP HM1</v>
          </cell>
        </row>
        <row r="4140">
          <cell r="P4140" t="str">
            <v>223F5001CP1</v>
          </cell>
        </row>
        <row r="4141">
          <cell r="B4141" t="str">
            <v>3004ORB HM1</v>
          </cell>
        </row>
        <row r="4141">
          <cell r="P4141" t="str">
            <v>240F3004OB1</v>
          </cell>
        </row>
        <row r="4142">
          <cell r="B4142" t="str">
            <v>5001BN HM1</v>
          </cell>
        </row>
        <row r="4142">
          <cell r="P4142" t="str">
            <v>223F5001BN3</v>
          </cell>
        </row>
        <row r="4143">
          <cell r="B4143" t="str">
            <v>3003ORB HM1</v>
          </cell>
        </row>
        <row r="4143">
          <cell r="P4143" t="str">
            <v>220F3003OB1</v>
          </cell>
        </row>
        <row r="4144">
          <cell r="B4144" t="str">
            <v>3003BN HM1</v>
          </cell>
        </row>
        <row r="4144">
          <cell r="P4144" t="str">
            <v>220F3003BN2</v>
          </cell>
        </row>
        <row r="4145">
          <cell r="B4145" t="str">
            <v>5001ORB HM1</v>
          </cell>
        </row>
        <row r="4145">
          <cell r="P4145" t="str">
            <v>223F5001OB1</v>
          </cell>
        </row>
        <row r="4146">
          <cell r="B4146" t="str">
            <v>5001BG HM1</v>
          </cell>
        </row>
        <row r="4146">
          <cell r="P4146" t="str">
            <v>223F5001BG4</v>
          </cell>
        </row>
        <row r="4147">
          <cell r="B4147" t="str">
            <v>3004BK HM1</v>
          </cell>
        </row>
        <row r="4147">
          <cell r="P4147" t="str">
            <v>240F3004BK1</v>
          </cell>
        </row>
        <row r="4148">
          <cell r="B4148" t="str">
            <v>3004BN HM1</v>
          </cell>
        </row>
        <row r="4148">
          <cell r="P4148" t="str">
            <v>240F3004BN2</v>
          </cell>
        </row>
        <row r="4149">
          <cell r="B4149" t="str">
            <v>3003CP HM1</v>
          </cell>
        </row>
        <row r="4149">
          <cell r="P4149" t="str">
            <v>220F3003CP1</v>
          </cell>
        </row>
        <row r="4150">
          <cell r="B4150" t="str">
            <v>5001BK HM1</v>
          </cell>
        </row>
        <row r="4150">
          <cell r="P4150" t="str">
            <v>223F5001BK1</v>
          </cell>
        </row>
        <row r="4151">
          <cell r="B4151" t="str">
            <v>3002ORB HM1</v>
          </cell>
        </row>
        <row r="4151">
          <cell r="P4151" t="str">
            <v>221F3002OB1</v>
          </cell>
        </row>
        <row r="4152">
          <cell r="B4152" t="str">
            <v>3004CP HM1</v>
          </cell>
        </row>
        <row r="4152">
          <cell r="P4152" t="str">
            <v>240F3004CP1</v>
          </cell>
        </row>
        <row r="4153">
          <cell r="B4153" t="str">
            <v>3002BG HM1</v>
          </cell>
        </row>
        <row r="4153">
          <cell r="P4153" t="str">
            <v>221F3002BG4</v>
          </cell>
        </row>
        <row r="4154">
          <cell r="B4154" t="str">
            <v>3004ORB HM1</v>
          </cell>
        </row>
        <row r="4154">
          <cell r="P4154" t="str">
            <v>240F3004OB1</v>
          </cell>
        </row>
        <row r="4155">
          <cell r="B4155" t="str">
            <v>3003BK HM1</v>
          </cell>
        </row>
        <row r="4155">
          <cell r="P4155" t="str">
            <v>220F3003BK1</v>
          </cell>
        </row>
        <row r="4156">
          <cell r="B4156" t="str">
            <v>3004BK HM1</v>
          </cell>
        </row>
        <row r="4156">
          <cell r="P4156" t="str">
            <v>240F3004BK1</v>
          </cell>
        </row>
        <row r="4157">
          <cell r="B4157" t="str">
            <v>5001ORB HM1</v>
          </cell>
        </row>
        <row r="4157">
          <cell r="P4157" t="str">
            <v>223F5001OB1</v>
          </cell>
        </row>
        <row r="4158">
          <cell r="B4158" t="str">
            <v>3003BN HM1</v>
          </cell>
        </row>
        <row r="4158">
          <cell r="P4158" t="str">
            <v>220F3003BN2</v>
          </cell>
        </row>
        <row r="4159">
          <cell r="B4159" t="str">
            <v>3003CP HM1</v>
          </cell>
        </row>
        <row r="4159">
          <cell r="P4159" t="str">
            <v>220F3003CP1</v>
          </cell>
        </row>
        <row r="4160">
          <cell r="B4160" t="str">
            <v>3004CP HM1</v>
          </cell>
        </row>
        <row r="4160">
          <cell r="P4160" t="str">
            <v>240F3004CP1</v>
          </cell>
        </row>
        <row r="4161">
          <cell r="B4161" t="str">
            <v>3003ORB HM1</v>
          </cell>
        </row>
        <row r="4161">
          <cell r="P4161" t="str">
            <v>220F3003OB1</v>
          </cell>
        </row>
        <row r="4162">
          <cell r="B4162" t="str">
            <v>5001BG HM1</v>
          </cell>
        </row>
        <row r="4162">
          <cell r="P4162" t="str">
            <v>223F5001BG4</v>
          </cell>
        </row>
        <row r="4163">
          <cell r="B4163" t="str">
            <v>5001BK HM1</v>
          </cell>
        </row>
        <row r="4163">
          <cell r="P4163" t="str">
            <v>223F5001BK1</v>
          </cell>
        </row>
        <row r="4164">
          <cell r="B4164" t="str">
            <v>5001BN HM1</v>
          </cell>
        </row>
        <row r="4164">
          <cell r="P4164" t="str">
            <v>223F5001BN3</v>
          </cell>
        </row>
        <row r="4165">
          <cell r="B4165" t="str">
            <v>3002BN--HM1</v>
          </cell>
        </row>
        <row r="4165">
          <cell r="P4165" t="str">
            <v>221F3002BN3</v>
          </cell>
        </row>
        <row r="4166">
          <cell r="B4166" t="str">
            <v>3002CP--HM1</v>
          </cell>
        </row>
        <row r="4166">
          <cell r="P4166" t="str">
            <v>221F3002CP1</v>
          </cell>
        </row>
        <row r="4167">
          <cell r="B4167" t="str">
            <v>3002BN--HM1</v>
          </cell>
        </row>
        <row r="4167">
          <cell r="P4167" t="str">
            <v>221F3002BN3</v>
          </cell>
        </row>
        <row r="4168">
          <cell r="B4168" t="str">
            <v>3002CP--HM1</v>
          </cell>
        </row>
        <row r="4168">
          <cell r="P4168" t="str">
            <v>221F3002CP1</v>
          </cell>
        </row>
        <row r="4169">
          <cell r="B4169" t="str">
            <v>MP8907CP</v>
          </cell>
        </row>
        <row r="4170">
          <cell r="B4170" t="str">
            <v>HM-8804-CP</v>
          </cell>
        </row>
        <row r="4170">
          <cell r="P4170" t="str">
            <v>140F0088CP1</v>
          </cell>
        </row>
        <row r="4171">
          <cell r="B4171" t="str">
            <v>HM-8804-BK</v>
          </cell>
        </row>
        <row r="4171">
          <cell r="P4171" t="str">
            <v>140F0088BK1</v>
          </cell>
        </row>
        <row r="4172">
          <cell r="B4172" t="str">
            <v>HM-8804-BG</v>
          </cell>
        </row>
        <row r="4172">
          <cell r="P4172" t="str">
            <v>140F0088BG1</v>
          </cell>
        </row>
        <row r="4173">
          <cell r="B4173" t="str">
            <v>HM-8804-BN</v>
          </cell>
        </row>
        <row r="4173">
          <cell r="P4173" t="str">
            <v>140F0088BN1</v>
          </cell>
        </row>
        <row r="4174">
          <cell r="B4174" t="str">
            <v>HM-8804-ORB</v>
          </cell>
        </row>
        <row r="4174">
          <cell r="P4174" t="str">
            <v>140F0088OB1</v>
          </cell>
        </row>
        <row r="4175">
          <cell r="B4175" t="str">
            <v>8804BG HM1</v>
          </cell>
        </row>
        <row r="4175">
          <cell r="P4175" t="str">
            <v>140F0088BG1</v>
          </cell>
        </row>
        <row r="4176">
          <cell r="B4176" t="str">
            <v>8804CP HM1</v>
          </cell>
        </row>
        <row r="4176">
          <cell r="P4176" t="str">
            <v>140F0088CP1</v>
          </cell>
        </row>
        <row r="4177">
          <cell r="B4177" t="str">
            <v>8804ORB HM1</v>
          </cell>
        </row>
        <row r="4177">
          <cell r="P4177" t="str">
            <v>140F0088OB1</v>
          </cell>
        </row>
        <row r="4178">
          <cell r="B4178" t="str">
            <v>8804BK HM1</v>
          </cell>
        </row>
        <row r="4178">
          <cell r="P4178" t="str">
            <v>140F0088BK1</v>
          </cell>
        </row>
        <row r="4179">
          <cell r="B4179" t="str">
            <v>8804BN HM1</v>
          </cell>
        </row>
        <row r="4179">
          <cell r="P4179" t="str">
            <v>140F0088BN1</v>
          </cell>
        </row>
        <row r="4180">
          <cell r="B4180" t="str">
            <v>WT-0002ZZ</v>
          </cell>
        </row>
        <row r="4180">
          <cell r="P4180" t="str">
            <v>130F0104BK1</v>
          </cell>
        </row>
        <row r="4181">
          <cell r="B4181" t="str">
            <v>WT-0002ZZ</v>
          </cell>
        </row>
        <row r="4181">
          <cell r="P4181" t="str">
            <v>130F0104BK1</v>
          </cell>
        </row>
        <row r="4182">
          <cell r="B4182" t="str">
            <v>8801BG HM1</v>
          </cell>
        </row>
        <row r="4182">
          <cell r="P4182" t="str">
            <v>110F0088BG1</v>
          </cell>
        </row>
        <row r="4183">
          <cell r="B4183" t="str">
            <v>WT-0002ZZ</v>
          </cell>
        </row>
        <row r="4183">
          <cell r="P4183" t="str">
            <v>130F0104BK1</v>
          </cell>
        </row>
        <row r="4184">
          <cell r="B4184" t="str">
            <v>8801BK HM1</v>
          </cell>
        </row>
        <row r="4184">
          <cell r="P4184" t="str">
            <v>110F0088BK1</v>
          </cell>
        </row>
        <row r="4185">
          <cell r="B4185" t="str">
            <v>MP102ORBCP</v>
          </cell>
        </row>
        <row r="4186">
          <cell r="B4186" t="str">
            <v>MP105CPBK</v>
          </cell>
        </row>
        <row r="4187">
          <cell r="B4187" t="str">
            <v>MP105CPBN</v>
          </cell>
        </row>
        <row r="4188">
          <cell r="B4188" t="str">
            <v>105NB</v>
          </cell>
        </row>
        <row r="4189">
          <cell r="B4189" t="str">
            <v>8004BG HM1</v>
          </cell>
        </row>
        <row r="4189">
          <cell r="P4189" t="str">
            <v>140F0088BG1</v>
          </cell>
        </row>
        <row r="4190">
          <cell r="B4190" t="str">
            <v>8004BK HM1</v>
          </cell>
        </row>
        <row r="4190">
          <cell r="P4190" t="str">
            <v>140F0088BK1</v>
          </cell>
        </row>
        <row r="4191">
          <cell r="B4191" t="str">
            <v>8004BN HM1</v>
          </cell>
        </row>
        <row r="4191">
          <cell r="P4191" t="str">
            <v>140F0088BN1</v>
          </cell>
        </row>
        <row r="4192">
          <cell r="B4192" t="str">
            <v>8004ORB HM1</v>
          </cell>
        </row>
        <row r="4192">
          <cell r="P4192" t="str">
            <v>140F0088OB1</v>
          </cell>
        </row>
        <row r="4193">
          <cell r="B4193" t="str">
            <v>8004CP HM1</v>
          </cell>
        </row>
        <row r="4193">
          <cell r="P4193" t="str">
            <v>140F0088CP1</v>
          </cell>
        </row>
        <row r="4194">
          <cell r="B4194" t="str">
            <v>8001HM</v>
          </cell>
        </row>
        <row r="4195">
          <cell r="B4195" t="str">
            <v>6K-GHFT-QT2J</v>
          </cell>
        </row>
        <row r="4195">
          <cell r="P4195" t="str">
            <v>140F0088OB1</v>
          </cell>
        </row>
        <row r="4196">
          <cell r="B4196" t="str">
            <v>8001BG HM1</v>
          </cell>
        </row>
        <row r="4196">
          <cell r="P4196" t="str">
            <v>110F0088BG1</v>
          </cell>
        </row>
        <row r="4197">
          <cell r="B4197" t="str">
            <v>HI-M1GE-E5UX</v>
          </cell>
        </row>
        <row r="4197">
          <cell r="P4197" t="str">
            <v>140F0088BK1</v>
          </cell>
        </row>
        <row r="4198">
          <cell r="B4198" t="str">
            <v>GT-F4N9-45V4</v>
          </cell>
        </row>
        <row r="4198">
          <cell r="P4198" t="str">
            <v>140F0088BN1</v>
          </cell>
        </row>
        <row r="4199">
          <cell r="B4199" t="str">
            <v>1U-39YX-TI0N</v>
          </cell>
        </row>
        <row r="4199">
          <cell r="P4199" t="str">
            <v>140F0088CP1</v>
          </cell>
        </row>
        <row r="4200">
          <cell r="B4200" t="str">
            <v>WT-0003ZZ</v>
          </cell>
        </row>
        <row r="4200">
          <cell r="P4200" t="str">
            <v>130F0104BN1</v>
          </cell>
        </row>
        <row r="4201">
          <cell r="B4201" t="str">
            <v>WT-0003ZZ</v>
          </cell>
        </row>
        <row r="4201">
          <cell r="P4201" t="str">
            <v>130F0104BN1</v>
          </cell>
        </row>
        <row r="4202">
          <cell r="B4202" t="str">
            <v>NO-J5BA-20GW</v>
          </cell>
        </row>
        <row r="4202">
          <cell r="P4202" t="str">
            <v>140F0088BG1</v>
          </cell>
        </row>
        <row r="4203">
          <cell r="B4203" t="str">
            <v>WT-0003ZZ</v>
          </cell>
        </row>
        <row r="4203">
          <cell r="P4203" t="str">
            <v>130F0104BN1</v>
          </cell>
        </row>
        <row r="4204">
          <cell r="B4204" t="str">
            <v>8001BK HM1</v>
          </cell>
        </row>
        <row r="4204">
          <cell r="P4204" t="str">
            <v>110F0088BK1</v>
          </cell>
        </row>
        <row r="4205">
          <cell r="B4205" t="str">
            <v>ewr</v>
          </cell>
        </row>
        <row r="4206">
          <cell r="B4206" t="str">
            <v>7U-W1V1-PBMF</v>
          </cell>
        </row>
        <row r="4206">
          <cell r="P4206" t="str">
            <v>110F0088BK1</v>
          </cell>
        </row>
        <row r="4207">
          <cell r="B4207" t="str">
            <v>WT-0004ZZ</v>
          </cell>
        </row>
        <row r="4207">
          <cell r="P4207" t="str">
            <v>130F0104BG1</v>
          </cell>
        </row>
        <row r="4208">
          <cell r="B4208" t="str">
            <v>V3-DVHQ-V9OG</v>
          </cell>
        </row>
        <row r="4208">
          <cell r="P4208" t="str">
            <v>110F0088BG1</v>
          </cell>
        </row>
        <row r="4209">
          <cell r="B4209" t="str">
            <v>WT-0004ZZ</v>
          </cell>
        </row>
        <row r="4209">
          <cell r="P4209" t="str">
            <v>130F0104BG1</v>
          </cell>
        </row>
        <row r="4210">
          <cell r="B4210" t="str">
            <v>WT-0004ZZ</v>
          </cell>
        </row>
        <row r="4210">
          <cell r="P4210" t="str">
            <v>130F0104BG1</v>
          </cell>
        </row>
        <row r="4211">
          <cell r="B4211" t="str">
            <v>MP104MP105</v>
          </cell>
        </row>
        <row r="4212">
          <cell r="B4212" t="str">
            <v>MP104BK JB1</v>
          </cell>
        </row>
        <row r="4212">
          <cell r="P4212" t="str">
            <v>130F0104BK1</v>
          </cell>
        </row>
        <row r="4213">
          <cell r="B4213" t="str">
            <v>MP105CP JB1</v>
          </cell>
        </row>
        <row r="4213">
          <cell r="P4213" t="str">
            <v>130F0105CP1</v>
          </cell>
        </row>
        <row r="4214">
          <cell r="B4214" t="str">
            <v>MP105BK JB1</v>
          </cell>
        </row>
        <row r="4214">
          <cell r="P4214" t="str">
            <v>130F0105BK1</v>
          </cell>
        </row>
        <row r="4215">
          <cell r="B4215" t="str">
            <v>MP105BN JB1</v>
          </cell>
        </row>
        <row r="4215">
          <cell r="P4215" t="str">
            <v>130F0105BN1</v>
          </cell>
        </row>
        <row r="4216">
          <cell r="B4216" t="str">
            <v>MP103CP LD1</v>
          </cell>
        </row>
        <row r="4216">
          <cell r="P4216" t="str">
            <v>130F0103CP1</v>
          </cell>
        </row>
        <row r="4217">
          <cell r="B4217" t="str">
            <v>D1 JB1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2172"/>
  <sheetViews>
    <sheetView tabSelected="1" topLeftCell="L1" workbookViewId="0">
      <pane ySplit="1" topLeftCell="A1548" activePane="bottomLeft" state="frozen"/>
      <selection activeCell="A1" sqref="A1"/>
      <selection pane="bottomLeft" activeCell="H1548" sqref="H1548"/>
    </sheetView>
  </sheetViews>
  <sheetFormatPr baseColWidth="8" defaultColWidth="9" defaultRowHeight="13.5" customHeight="1"/>
  <cols>
    <col width="13.2916666666667" customWidth="1" style="36" min="1" max="1"/>
    <col width="15.8333333333333" customWidth="1" style="36" min="2" max="2"/>
    <col hidden="1" width="38.625" customWidth="1" style="36" min="3" max="3"/>
    <col width="25.4666666666667" customWidth="1" style="36" min="4" max="4"/>
    <col width="18.1666666666667" customWidth="1" style="36" min="5" max="5"/>
    <col width="39" customWidth="1" style="36" min="6" max="6"/>
    <col width="7.125" customWidth="1" style="36" min="7" max="7"/>
    <col width="12.6666666666667" customWidth="1" style="36" min="8" max="8"/>
    <col width="15" customWidth="1" style="22" min="9" max="9"/>
    <col width="10.625" customWidth="1" style="36" min="10" max="10"/>
    <col width="15" customWidth="1" style="36" min="11" max="11"/>
    <col width="14.725" customWidth="1" style="36" min="12" max="12"/>
    <col width="15" customWidth="1" style="36" min="13" max="13"/>
    <col width="31.0833333333333" customWidth="1" style="36" min="14" max="14"/>
    <col width="12.5" customWidth="1" style="36" min="15" max="15"/>
    <col width="9" customWidth="1" style="36" min="16" max="43"/>
  </cols>
  <sheetData>
    <row r="1" ht="14.25" customFormat="1" customHeight="1" s="36">
      <c r="A1" s="3" t="inlineStr">
        <is>
          <t>店铺</t>
        </is>
      </c>
      <c r="B1" s="4" t="inlineStr">
        <is>
          <t>核算店铺</t>
        </is>
      </c>
      <c r="C1" s="39" t="inlineStr">
        <is>
          <t>SKU+核算店铺</t>
        </is>
      </c>
      <c r="D1" s="3" t="inlineStr">
        <is>
          <t>MSKU</t>
        </is>
      </c>
      <c r="E1" s="40" t="inlineStr">
        <is>
          <t>产品编码</t>
        </is>
      </c>
      <c r="F1" s="7" t="inlineStr">
        <is>
          <t>产品名称</t>
        </is>
      </c>
      <c r="G1" s="8" t="inlineStr">
        <is>
          <t>运营</t>
        </is>
      </c>
      <c r="H1" s="9" t="inlineStr">
        <is>
          <t>品线</t>
        </is>
      </c>
      <c r="I1" s="10" t="inlineStr">
        <is>
          <t>是否淘汰款</t>
        </is>
      </c>
      <c r="J1" s="4" t="inlineStr">
        <is>
          <t>上架时间</t>
        </is>
      </c>
      <c r="K1" s="4" t="inlineStr">
        <is>
          <t>开售时间</t>
        </is>
      </c>
      <c r="L1" s="11" t="n">
        <v>46053</v>
      </c>
      <c r="M1" s="0" t="inlineStr">
        <is>
          <t>新老品/界定</t>
        </is>
      </c>
      <c r="N1" s="36" t="inlineStr">
        <is>
          <t>备注</t>
        </is>
      </c>
    </row>
    <row r="2" ht="15" customFormat="1" customHeight="1" s="36">
      <c r="A2" s="4" t="inlineStr">
        <is>
          <t>Qinkell-US</t>
        </is>
      </c>
      <c r="B2" s="4" t="inlineStr">
        <is>
          <t>Qinkell美国站</t>
        </is>
      </c>
      <c r="C2" s="4">
        <f>B2&amp;D2</f>
        <v/>
      </c>
      <c r="D2" s="4" t="inlineStr">
        <is>
          <t>1005BG QC1</t>
        </is>
      </c>
      <c r="E2" s="4" t="inlineStr">
        <is>
          <t>211F1005BG4</t>
        </is>
      </c>
      <c r="F2" s="4" t="inlineStr">
        <is>
          <t>1005二功能落地浴缸龙头拉丝钛金</t>
        </is>
      </c>
      <c r="G2" s="4" t="inlineStr">
        <is>
          <t>刘皓</t>
        </is>
      </c>
      <c r="H2" s="4" t="inlineStr">
        <is>
          <t>落地浴缸</t>
        </is>
      </c>
      <c r="I2" s="12" t="inlineStr">
        <is>
          <t>是</t>
        </is>
      </c>
      <c r="J2" s="13" t="n">
        <v>44494</v>
      </c>
      <c r="K2" s="13" t="n">
        <v>44494</v>
      </c>
      <c r="L2" s="0">
        <f>DATEDIF(J2,$L$1,"M")</f>
        <v/>
      </c>
      <c r="M2" s="0">
        <f>IF(L2&lt;18,"新品期",IF(L2&lt;=36,"老品期","衰退期"))</f>
        <v/>
      </c>
    </row>
    <row r="3" ht="15" customFormat="1" customHeight="1" s="36">
      <c r="A3" s="4" t="inlineStr">
        <is>
          <t>Qinkell-CA</t>
        </is>
      </c>
      <c r="B3" s="4" t="inlineStr">
        <is>
          <t>Qinkell加拿大站</t>
        </is>
      </c>
      <c r="C3" s="4">
        <f>B3&amp;D3</f>
        <v/>
      </c>
      <c r="D3" s="4" t="inlineStr">
        <is>
          <t>1005BG QC1</t>
        </is>
      </c>
      <c r="E3" s="4" t="inlineStr">
        <is>
          <t>211F1005BG4</t>
        </is>
      </c>
      <c r="F3" s="4" t="inlineStr">
        <is>
          <t>1005二功能落地浴缸龙头拉丝钛金</t>
        </is>
      </c>
      <c r="G3" s="4" t="inlineStr">
        <is>
          <t>刘皓</t>
        </is>
      </c>
      <c r="H3" s="4" t="inlineStr">
        <is>
          <t>落地浴缸</t>
        </is>
      </c>
      <c r="I3" s="12" t="inlineStr">
        <is>
          <t>是</t>
        </is>
      </c>
      <c r="J3" s="13" t="n">
        <v>44494</v>
      </c>
      <c r="K3" s="13" t="n">
        <v>44494</v>
      </c>
      <c r="L3" s="0">
        <f>DATEDIF(J3,$L$1,"M")</f>
        <v/>
      </c>
      <c r="M3" s="0">
        <f>IF(L3&lt;18,"新品期",IF(L3&lt;=36,"老品期","衰退期"))</f>
        <v/>
      </c>
    </row>
    <row r="4" ht="15" customFormat="1" customHeight="1" s="36">
      <c r="A4" s="4" t="inlineStr">
        <is>
          <t>Qinkell-US</t>
        </is>
      </c>
      <c r="B4" s="4" t="inlineStr">
        <is>
          <t>Qinkell美国站</t>
        </is>
      </c>
      <c r="C4" s="4">
        <f>B4&amp;D4</f>
        <v/>
      </c>
      <c r="D4" s="4" t="inlineStr">
        <is>
          <t>1005BK QC1</t>
        </is>
      </c>
      <c r="E4" s="4" t="inlineStr">
        <is>
          <t>211F1005BK2</t>
        </is>
      </c>
      <c r="F4" s="4" t="inlineStr">
        <is>
          <t>1005二功能落地浴缸龙头酸铜发黑</t>
        </is>
      </c>
      <c r="G4" s="4" t="inlineStr">
        <is>
          <t>刘皓</t>
        </is>
      </c>
      <c r="H4" s="4" t="inlineStr">
        <is>
          <t>落地浴缸</t>
        </is>
      </c>
      <c r="I4" s="12" t="inlineStr">
        <is>
          <t>是</t>
        </is>
      </c>
      <c r="J4" s="13" t="n">
        <v>44494</v>
      </c>
      <c r="K4" s="13" t="n">
        <v>44494</v>
      </c>
      <c r="L4" s="0">
        <f>DATEDIF(J4,$L$1,"M")</f>
        <v/>
      </c>
      <c r="M4" s="0">
        <f>IF(L4&lt;18,"新品期",IF(L4&lt;=36,"老品期","衰退期"))</f>
        <v/>
      </c>
    </row>
    <row r="5" ht="15" customFormat="1" customHeight="1" s="36">
      <c r="A5" s="4" t="inlineStr">
        <is>
          <t>Qinkell-CA</t>
        </is>
      </c>
      <c r="B5" s="4" t="inlineStr">
        <is>
          <t>Qinkell加拿大站</t>
        </is>
      </c>
      <c r="C5" s="4">
        <f>B5&amp;D5</f>
        <v/>
      </c>
      <c r="D5" s="4" t="inlineStr">
        <is>
          <t>1005BK QC1</t>
        </is>
      </c>
      <c r="E5" s="4" t="inlineStr">
        <is>
          <t>211F1005BK2</t>
        </is>
      </c>
      <c r="F5" s="4" t="inlineStr">
        <is>
          <t>1005二功能落地浴缸龙头酸铜发黑</t>
        </is>
      </c>
      <c r="G5" s="4" t="inlineStr">
        <is>
          <t>刘皓</t>
        </is>
      </c>
      <c r="H5" s="4" t="inlineStr">
        <is>
          <t>落地浴缸</t>
        </is>
      </c>
      <c r="I5" s="12" t="inlineStr">
        <is>
          <t>是</t>
        </is>
      </c>
      <c r="J5" s="13" t="n">
        <v>44494</v>
      </c>
      <c r="K5" s="13" t="n">
        <v>44494</v>
      </c>
      <c r="L5" s="0">
        <f>DATEDIF(J5,$L$1,"M")</f>
        <v/>
      </c>
      <c r="M5" s="0">
        <f>IF(L5&lt;18,"新品期",IF(L5&lt;=36,"老品期","衰退期"))</f>
        <v/>
      </c>
    </row>
    <row r="6" ht="15" customFormat="1" customHeight="1" s="36">
      <c r="A6" s="4" t="inlineStr">
        <is>
          <t>Qinkell-US</t>
        </is>
      </c>
      <c r="B6" s="4" t="inlineStr">
        <is>
          <t>Qinkell美国站</t>
        </is>
      </c>
      <c r="C6" s="4">
        <f>B6&amp;D6</f>
        <v/>
      </c>
      <c r="D6" s="4" t="inlineStr">
        <is>
          <t>1005BN QC1</t>
        </is>
      </c>
      <c r="E6" s="4" t="inlineStr">
        <is>
          <t>211F1005BN3</t>
        </is>
      </c>
      <c r="F6" s="4" t="inlineStr">
        <is>
          <t>1005二功能落地浴缸龙头拉丝PVD</t>
        </is>
      </c>
      <c r="G6" s="4" t="inlineStr">
        <is>
          <t>刘皓</t>
        </is>
      </c>
      <c r="H6" s="4" t="inlineStr">
        <is>
          <t>落地浴缸</t>
        </is>
      </c>
      <c r="I6" s="12" t="inlineStr">
        <is>
          <t>是</t>
        </is>
      </c>
      <c r="J6" s="13" t="n">
        <v>44494</v>
      </c>
      <c r="K6" s="13" t="n">
        <v>44494</v>
      </c>
      <c r="L6" s="0">
        <f>DATEDIF(J6,$L$1,"M")</f>
        <v/>
      </c>
      <c r="M6" s="0">
        <f>IF(L6&lt;18,"新品期",IF(L6&lt;=36,"老品期","衰退期"))</f>
        <v/>
      </c>
    </row>
    <row r="7" ht="15" customFormat="1" customHeight="1" s="36">
      <c r="A7" s="4" t="inlineStr">
        <is>
          <t>Qinkell-US</t>
        </is>
      </c>
      <c r="B7" s="4" t="inlineStr">
        <is>
          <t>Qinkell美国站</t>
        </is>
      </c>
      <c r="C7" s="4">
        <f>B7&amp;D7</f>
        <v/>
      </c>
      <c r="D7" s="4" t="inlineStr">
        <is>
          <t>1005CP QC1</t>
        </is>
      </c>
      <c r="E7" s="4" t="inlineStr">
        <is>
          <t>211F1005CP1</t>
        </is>
      </c>
      <c r="F7" s="4" t="inlineStr">
        <is>
          <t>1005二功能落地浴缸龙头铬</t>
        </is>
      </c>
      <c r="G7" s="4" t="inlineStr">
        <is>
          <t>刘皓</t>
        </is>
      </c>
      <c r="H7" s="4" t="inlineStr">
        <is>
          <t>落地浴缸</t>
        </is>
      </c>
      <c r="I7" s="12" t="inlineStr">
        <is>
          <t>是</t>
        </is>
      </c>
      <c r="J7" s="13" t="n">
        <v>44494</v>
      </c>
      <c r="K7" s="13" t="n">
        <v>44494</v>
      </c>
      <c r="L7" s="0">
        <f>DATEDIF(J7,$L$1,"M")</f>
        <v/>
      </c>
      <c r="M7" s="0">
        <f>IF(L7&lt;18,"新品期",IF(L7&lt;=36,"老品期","衰退期"))</f>
        <v/>
      </c>
    </row>
    <row r="8" ht="15" customFormat="1" customHeight="1" s="36">
      <c r="A8" s="4" t="inlineStr">
        <is>
          <t>Qinkell-US</t>
        </is>
      </c>
      <c r="B8" s="4" t="inlineStr">
        <is>
          <t>Qinkell美国站</t>
        </is>
      </c>
      <c r="C8" s="4">
        <f>B8&amp;D8</f>
        <v/>
      </c>
      <c r="D8" s="4" t="inlineStr">
        <is>
          <t>1005ORB QC1</t>
        </is>
      </c>
      <c r="E8" s="4" t="inlineStr">
        <is>
          <t>211F1005OB1</t>
        </is>
      </c>
      <c r="F8" s="4" t="inlineStr">
        <is>
          <t>1005二功能落地浴缸龙头拉丝古铜色</t>
        </is>
      </c>
      <c r="G8" s="4" t="inlineStr">
        <is>
          <t>刘皓</t>
        </is>
      </c>
      <c r="H8" s="4" t="inlineStr">
        <is>
          <t>落地浴缸</t>
        </is>
      </c>
      <c r="I8" s="12" t="inlineStr">
        <is>
          <t>是</t>
        </is>
      </c>
      <c r="J8" s="13" t="n">
        <v>44494</v>
      </c>
      <c r="K8" s="13" t="n">
        <v>44494</v>
      </c>
      <c r="L8" s="0">
        <f>DATEDIF(J8,$L$1,"M")</f>
        <v/>
      </c>
      <c r="M8" s="0">
        <f>IF(L8&lt;18,"新品期",IF(L8&lt;=36,"老品期","衰退期"))</f>
        <v/>
      </c>
    </row>
    <row r="9" ht="15" customFormat="1" customHeight="1" s="36">
      <c r="A9" s="4" t="inlineStr">
        <is>
          <t>Qinkell-CA</t>
        </is>
      </c>
      <c r="B9" s="4" t="inlineStr">
        <is>
          <t>Qinkell加拿大站</t>
        </is>
      </c>
      <c r="C9" s="4">
        <f>B9&amp;D9</f>
        <v/>
      </c>
      <c r="D9" s="4" t="inlineStr">
        <is>
          <t>1005ORB QC1</t>
        </is>
      </c>
      <c r="E9" s="4" t="inlineStr">
        <is>
          <t>211F1005OB1</t>
        </is>
      </c>
      <c r="F9" s="4" t="inlineStr">
        <is>
          <t>1005二功能落地浴缸龙头拉丝古铜色</t>
        </is>
      </c>
      <c r="G9" s="4" t="inlineStr">
        <is>
          <t>刘皓</t>
        </is>
      </c>
      <c r="H9" s="4" t="inlineStr">
        <is>
          <t>落地浴缸</t>
        </is>
      </c>
      <c r="I9" s="12" t="inlineStr">
        <is>
          <t>是</t>
        </is>
      </c>
      <c r="J9" s="13" t="n">
        <v>44494</v>
      </c>
      <c r="K9" s="13" t="n">
        <v>44494</v>
      </c>
      <c r="L9" s="0">
        <f>DATEDIF(J9,$L$1,"M")</f>
        <v/>
      </c>
      <c r="M9" s="0">
        <f>IF(L9&lt;18,"新品期",IF(L9&lt;=36,"老品期","衰退期"))</f>
        <v/>
      </c>
    </row>
    <row r="10" ht="15" customFormat="1" customHeight="1" s="36">
      <c r="A10" s="4" t="inlineStr">
        <is>
          <t>Qinkell-US</t>
        </is>
      </c>
      <c r="B10" s="4" t="inlineStr">
        <is>
          <t>Qinkell美国站</t>
        </is>
      </c>
      <c r="C10" s="4">
        <f>B10&amp;D10</f>
        <v/>
      </c>
      <c r="D10" s="4" t="inlineStr">
        <is>
          <t>1006BG QC1</t>
        </is>
      </c>
      <c r="E10" s="4" t="inlineStr">
        <is>
          <t>211F1006BG1</t>
        </is>
      </c>
      <c r="F10" s="4" t="inlineStr">
        <is>
          <t>1006二功能落地浴缸龙头拉丝钛金封油</t>
        </is>
      </c>
      <c r="G10" s="4" t="inlineStr">
        <is>
          <t>刘皓</t>
        </is>
      </c>
      <c r="H10" s="4" t="inlineStr">
        <is>
          <t>落地浴缸</t>
        </is>
      </c>
      <c r="I10" s="12" t="inlineStr">
        <is>
          <t>是</t>
        </is>
      </c>
      <c r="J10" s="13" t="n">
        <v>44494</v>
      </c>
      <c r="K10" s="13" t="n">
        <v>44494</v>
      </c>
      <c r="L10" s="0">
        <f>DATEDIF(J10,$L$1,"M")</f>
        <v/>
      </c>
      <c r="M10" s="0">
        <f>IF(L10&lt;18,"新品期",IF(L10&lt;=36,"老品期","衰退期"))</f>
        <v/>
      </c>
    </row>
    <row r="11" ht="15" customFormat="1" customHeight="1" s="36">
      <c r="A11" s="4" t="inlineStr">
        <is>
          <t>Qinkell-CA</t>
        </is>
      </c>
      <c r="B11" s="4" t="inlineStr">
        <is>
          <t>Qinkell加拿大站</t>
        </is>
      </c>
      <c r="C11" s="4">
        <f>B11&amp;D11</f>
        <v/>
      </c>
      <c r="D11" s="4" t="inlineStr">
        <is>
          <t>1006BG QC1</t>
        </is>
      </c>
      <c r="E11" s="4" t="inlineStr">
        <is>
          <t>211F1006BG1</t>
        </is>
      </c>
      <c r="F11" s="4" t="inlineStr">
        <is>
          <t>1006二功能落地浴缸龙头拉丝钛金封油</t>
        </is>
      </c>
      <c r="G11" s="4" t="inlineStr">
        <is>
          <t>刘皓</t>
        </is>
      </c>
      <c r="H11" s="4" t="inlineStr">
        <is>
          <t>落地浴缸</t>
        </is>
      </c>
      <c r="I11" s="12" t="inlineStr">
        <is>
          <t>是</t>
        </is>
      </c>
      <c r="J11" s="13" t="n">
        <v>44494</v>
      </c>
      <c r="K11" s="13" t="n">
        <v>44494</v>
      </c>
      <c r="L11" s="0">
        <f>DATEDIF(J11,$L$1,"M")</f>
        <v/>
      </c>
      <c r="M11" s="0">
        <f>IF(L11&lt;18,"新品期",IF(L11&lt;=36,"老品期","衰退期"))</f>
        <v/>
      </c>
    </row>
    <row r="12" ht="15" customFormat="1" customHeight="1" s="36">
      <c r="A12" s="4" t="inlineStr">
        <is>
          <t>Qinkell-US</t>
        </is>
      </c>
      <c r="B12" s="4" t="inlineStr">
        <is>
          <t>Qinkell美国站</t>
        </is>
      </c>
      <c r="C12" s="4">
        <f>B12&amp;D12</f>
        <v/>
      </c>
      <c r="D12" s="4" t="inlineStr">
        <is>
          <t>1006BK QC1</t>
        </is>
      </c>
      <c r="E12" s="4" t="inlineStr">
        <is>
          <t>211F1006BK1</t>
        </is>
      </c>
      <c r="F12" s="4" t="inlineStr">
        <is>
          <t>1006二功能落地浴缸龙头酸铜发黑</t>
        </is>
      </c>
      <c r="G12" s="4" t="inlineStr">
        <is>
          <t>刘皓</t>
        </is>
      </c>
      <c r="H12" s="4" t="inlineStr">
        <is>
          <t>落地浴缸</t>
        </is>
      </c>
      <c r="I12" s="12" t="inlineStr">
        <is>
          <t>是</t>
        </is>
      </c>
      <c r="J12" s="13" t="n">
        <v>44494</v>
      </c>
      <c r="K12" s="13" t="n">
        <v>44494</v>
      </c>
      <c r="L12" s="0">
        <f>DATEDIF(J12,$L$1,"M")</f>
        <v/>
      </c>
      <c r="M12" s="0">
        <f>IF(L12&lt;18,"新品期",IF(L12&lt;=36,"老品期","衰退期"))</f>
        <v/>
      </c>
    </row>
    <row r="13" ht="15" customFormat="1" customHeight="1" s="36">
      <c r="A13" s="4" t="inlineStr">
        <is>
          <t>Qinkell-CA</t>
        </is>
      </c>
      <c r="B13" s="4" t="inlineStr">
        <is>
          <t>Qinkell加拿大站</t>
        </is>
      </c>
      <c r="C13" s="4">
        <f>B13&amp;D13</f>
        <v/>
      </c>
      <c r="D13" s="4" t="inlineStr">
        <is>
          <t>1006BK QC1</t>
        </is>
      </c>
      <c r="E13" s="4" t="inlineStr">
        <is>
          <t>211F1006BK1</t>
        </is>
      </c>
      <c r="F13" s="4" t="inlineStr">
        <is>
          <t>1006二功能落地浴缸龙头酸铜发黑</t>
        </is>
      </c>
      <c r="G13" s="4" t="inlineStr">
        <is>
          <t>刘皓</t>
        </is>
      </c>
      <c r="H13" s="4" t="inlineStr">
        <is>
          <t>落地浴缸</t>
        </is>
      </c>
      <c r="I13" s="12" t="inlineStr">
        <is>
          <t>是</t>
        </is>
      </c>
      <c r="J13" s="13" t="n">
        <v>44494</v>
      </c>
      <c r="K13" s="13" t="n">
        <v>44494</v>
      </c>
      <c r="L13" s="0">
        <f>DATEDIF(J13,$L$1,"M")</f>
        <v/>
      </c>
      <c r="M13" s="0">
        <f>IF(L13&lt;18,"新品期",IF(L13&lt;=36,"老品期","衰退期"))</f>
        <v/>
      </c>
    </row>
    <row r="14" ht="15" customFormat="1" customHeight="1" s="36">
      <c r="A14" s="4" t="inlineStr">
        <is>
          <t>Qinkell-US</t>
        </is>
      </c>
      <c r="B14" s="4" t="inlineStr">
        <is>
          <t>Qinkell美国站</t>
        </is>
      </c>
      <c r="C14" s="4">
        <f>B14&amp;D14</f>
        <v/>
      </c>
      <c r="D14" s="4" t="inlineStr">
        <is>
          <t>1006BN QC1</t>
        </is>
      </c>
      <c r="E14" s="4" t="inlineStr">
        <is>
          <t>211F1006BN1</t>
        </is>
      </c>
      <c r="F14" s="4" t="inlineStr">
        <is>
          <t>1006二功能落地浴缸龙头拉丝封半哑油</t>
        </is>
      </c>
      <c r="G14" s="4" t="inlineStr">
        <is>
          <t>刘皓</t>
        </is>
      </c>
      <c r="H14" s="4" t="inlineStr">
        <is>
          <t>落地浴缸</t>
        </is>
      </c>
      <c r="I14" s="12" t="inlineStr">
        <is>
          <t>是</t>
        </is>
      </c>
      <c r="J14" s="13" t="n">
        <v>44494</v>
      </c>
      <c r="K14" s="13" t="n">
        <v>44494</v>
      </c>
      <c r="L14" s="0">
        <f>DATEDIF(J14,$L$1,"M")</f>
        <v/>
      </c>
      <c r="M14" s="0">
        <f>IF(L14&lt;18,"新品期",IF(L14&lt;=36,"老品期","衰退期"))</f>
        <v/>
      </c>
    </row>
    <row r="15" ht="15" customFormat="1" customHeight="1" s="36">
      <c r="A15" s="4" t="inlineStr">
        <is>
          <t>Qinkell-CA</t>
        </is>
      </c>
      <c r="B15" s="4" t="inlineStr">
        <is>
          <t>Qinkell加拿大站</t>
        </is>
      </c>
      <c r="C15" s="4">
        <f>B15&amp;D15</f>
        <v/>
      </c>
      <c r="D15" s="4" t="inlineStr">
        <is>
          <t>1006BN QC1</t>
        </is>
      </c>
      <c r="E15" s="4" t="inlineStr">
        <is>
          <t>211F1006BN1</t>
        </is>
      </c>
      <c r="F15" s="4" t="inlineStr">
        <is>
          <t>1006二功能落地浴缸龙头拉丝封半哑油</t>
        </is>
      </c>
      <c r="G15" s="4" t="inlineStr">
        <is>
          <t>刘皓</t>
        </is>
      </c>
      <c r="H15" s="4" t="inlineStr">
        <is>
          <t>落地浴缸</t>
        </is>
      </c>
      <c r="I15" s="12" t="inlineStr">
        <is>
          <t>是</t>
        </is>
      </c>
      <c r="J15" s="13" t="n">
        <v>44494</v>
      </c>
      <c r="K15" s="13" t="n">
        <v>44494</v>
      </c>
      <c r="L15" s="0">
        <f>DATEDIF(J15,$L$1,"M")</f>
        <v/>
      </c>
      <c r="M15" s="0">
        <f>IF(L15&lt;18,"新品期",IF(L15&lt;=36,"老品期","衰退期"))</f>
        <v/>
      </c>
    </row>
    <row r="16" ht="15" customFormat="1" customHeight="1" s="36">
      <c r="A16" s="4" t="inlineStr">
        <is>
          <t>Qinkell-US</t>
        </is>
      </c>
      <c r="B16" s="4" t="inlineStr">
        <is>
          <t>Qinkell美国站</t>
        </is>
      </c>
      <c r="C16" s="4">
        <f>B16&amp;D16</f>
        <v/>
      </c>
      <c r="D16" s="4" t="inlineStr">
        <is>
          <t>1006CP QC1</t>
        </is>
      </c>
      <c r="E16" s="4" t="inlineStr">
        <is>
          <t>211F1006CP1</t>
        </is>
      </c>
      <c r="F16" s="4" t="inlineStr">
        <is>
          <t>1006二功能落地浴缸龙头铬</t>
        </is>
      </c>
      <c r="G16" s="4" t="inlineStr">
        <is>
          <t>刘皓</t>
        </is>
      </c>
      <c r="H16" s="4" t="inlineStr">
        <is>
          <t>落地浴缸</t>
        </is>
      </c>
      <c r="I16" s="12" t="inlineStr">
        <is>
          <t>是</t>
        </is>
      </c>
      <c r="J16" s="13" t="n">
        <v>44494</v>
      </c>
      <c r="K16" s="13" t="n">
        <v>44494</v>
      </c>
      <c r="L16" s="0">
        <f>DATEDIF(J16,$L$1,"M")</f>
        <v/>
      </c>
      <c r="M16" s="0">
        <f>IF(L16&lt;18,"新品期",IF(L16&lt;=36,"老品期","衰退期"))</f>
        <v/>
      </c>
    </row>
    <row r="17" ht="15" customFormat="1" customHeight="1" s="36">
      <c r="A17" s="4" t="inlineStr">
        <is>
          <t>Qinkell-CA</t>
        </is>
      </c>
      <c r="B17" s="4" t="inlineStr">
        <is>
          <t>Qinkell加拿大站</t>
        </is>
      </c>
      <c r="C17" s="4">
        <f>B17&amp;D17</f>
        <v/>
      </c>
      <c r="D17" s="4" t="inlineStr">
        <is>
          <t>1006CP QC1</t>
        </is>
      </c>
      <c r="E17" s="4" t="inlineStr">
        <is>
          <t>211F1006CP1</t>
        </is>
      </c>
      <c r="F17" s="4" t="inlineStr">
        <is>
          <t>1006二功能落地浴缸龙头铬</t>
        </is>
      </c>
      <c r="G17" s="4" t="inlineStr">
        <is>
          <t>刘皓</t>
        </is>
      </c>
      <c r="H17" s="4" t="inlineStr">
        <is>
          <t>落地浴缸</t>
        </is>
      </c>
      <c r="I17" s="12" t="inlineStr">
        <is>
          <t>是</t>
        </is>
      </c>
      <c r="J17" s="13" t="n">
        <v>44494</v>
      </c>
      <c r="K17" s="13" t="n">
        <v>44494</v>
      </c>
      <c r="L17" s="0">
        <f>DATEDIF(J17,$L$1,"M")</f>
        <v/>
      </c>
      <c r="M17" s="0">
        <f>IF(L17&lt;18,"新品期",IF(L17&lt;=36,"老品期","衰退期"))</f>
        <v/>
      </c>
    </row>
    <row r="18" ht="15" customFormat="1" customHeight="1" s="36">
      <c r="A18" s="4" t="inlineStr">
        <is>
          <t>Qinkell-US</t>
        </is>
      </c>
      <c r="B18" s="4" t="inlineStr">
        <is>
          <t>Qinkell美国站</t>
        </is>
      </c>
      <c r="C18" s="4">
        <f>B18&amp;D18</f>
        <v/>
      </c>
      <c r="D18" s="4" t="inlineStr">
        <is>
          <t>1006ORB QC1</t>
        </is>
      </c>
      <c r="E18" s="4" t="inlineStr">
        <is>
          <t>211F1006OB1</t>
        </is>
      </c>
      <c r="F18" s="4" t="inlineStr">
        <is>
          <t>1006二功能落地浴缸龙头拉丝古铜色</t>
        </is>
      </c>
      <c r="G18" s="4" t="inlineStr">
        <is>
          <t>刘皓</t>
        </is>
      </c>
      <c r="H18" s="4" t="inlineStr">
        <is>
          <t>落地浴缸</t>
        </is>
      </c>
      <c r="I18" s="12" t="inlineStr">
        <is>
          <t>是</t>
        </is>
      </c>
      <c r="J18" s="13" t="n">
        <v>44494</v>
      </c>
      <c r="K18" s="13" t="n">
        <v>44494</v>
      </c>
      <c r="L18" s="0">
        <f>DATEDIF(J18,$L$1,"M")</f>
        <v/>
      </c>
      <c r="M18" s="0">
        <f>IF(L18&lt;18,"新品期",IF(L18&lt;=36,"老品期","衰退期"))</f>
        <v/>
      </c>
    </row>
    <row r="19" ht="15" customFormat="1" customHeight="1" s="36">
      <c r="A19" s="4" t="inlineStr">
        <is>
          <t>Qinkell-CA</t>
        </is>
      </c>
      <c r="B19" s="4" t="inlineStr">
        <is>
          <t>Qinkell加拿大站</t>
        </is>
      </c>
      <c r="C19" s="4">
        <f>B19&amp;D19</f>
        <v/>
      </c>
      <c r="D19" s="4" t="inlineStr">
        <is>
          <t>1006ORB QC1</t>
        </is>
      </c>
      <c r="E19" s="4" t="inlineStr">
        <is>
          <t>211F1006OB1</t>
        </is>
      </c>
      <c r="F19" s="4" t="inlineStr">
        <is>
          <t>1006二功能落地浴缸龙头拉丝古铜色</t>
        </is>
      </c>
      <c r="G19" s="4" t="inlineStr">
        <is>
          <t>刘皓</t>
        </is>
      </c>
      <c r="H19" s="4" t="inlineStr">
        <is>
          <t>落地浴缸</t>
        </is>
      </c>
      <c r="I19" s="12" t="inlineStr">
        <is>
          <t>是</t>
        </is>
      </c>
      <c r="J19" s="13" t="n">
        <v>44494</v>
      </c>
      <c r="K19" s="13" t="n">
        <v>44494</v>
      </c>
      <c r="L19" s="0">
        <f>DATEDIF(J19,$L$1,"M")</f>
        <v/>
      </c>
      <c r="M19" s="0">
        <f>IF(L19&lt;18,"新品期",IF(L19&lt;=36,"老品期","衰退期"))</f>
        <v/>
      </c>
    </row>
    <row r="20" ht="15" customFormat="1" customHeight="1" s="36">
      <c r="A20" s="4" t="inlineStr">
        <is>
          <t>Qinkell-US</t>
        </is>
      </c>
      <c r="B20" s="4" t="inlineStr">
        <is>
          <t>Qinkell美国站</t>
        </is>
      </c>
      <c r="C20" s="4">
        <f>B20&amp;D20</f>
        <v/>
      </c>
      <c r="D20" s="4" t="inlineStr">
        <is>
          <t>1007BG QC1</t>
        </is>
      </c>
      <c r="E20" s="4" t="inlineStr">
        <is>
          <t>211F1007BG4</t>
        </is>
      </c>
      <c r="F20" s="4" t="inlineStr">
        <is>
          <t>1007二功能落地浴缸龙头拉丝钛金</t>
        </is>
      </c>
      <c r="G20" s="4" t="inlineStr">
        <is>
          <t>刘皓</t>
        </is>
      </c>
      <c r="H20" s="4" t="inlineStr">
        <is>
          <t>落地浴缸</t>
        </is>
      </c>
      <c r="I20" s="12" t="inlineStr">
        <is>
          <t>是</t>
        </is>
      </c>
      <c r="J20" s="34" t="n">
        <v>44553</v>
      </c>
      <c r="K20" s="34" t="n">
        <v>44553</v>
      </c>
      <c r="L20" s="0">
        <f>DATEDIF(J20,$L$1,"M")</f>
        <v/>
      </c>
      <c r="M20" s="0">
        <f>IF(L20&lt;18,"新品期",IF(L20&lt;=36,"老品期","衰退期"))</f>
        <v/>
      </c>
    </row>
    <row r="21" ht="15" customFormat="1" customHeight="1" s="36">
      <c r="A21" s="4" t="inlineStr">
        <is>
          <t>Qinkell-US</t>
        </is>
      </c>
      <c r="B21" s="4" t="inlineStr">
        <is>
          <t>Qinkell美国站</t>
        </is>
      </c>
      <c r="C21" s="4">
        <f>B21&amp;D21</f>
        <v/>
      </c>
      <c r="D21" s="4" t="inlineStr">
        <is>
          <t>1007BK QC1</t>
        </is>
      </c>
      <c r="E21" s="4" t="inlineStr">
        <is>
          <t>211F1007BK2</t>
        </is>
      </c>
      <c r="F21" s="4" t="inlineStr">
        <is>
          <t>1007二功能落地浴缸龙头酸铜发黑</t>
        </is>
      </c>
      <c r="G21" s="4" t="inlineStr">
        <is>
          <t>刘皓</t>
        </is>
      </c>
      <c r="H21" s="4" t="inlineStr">
        <is>
          <t>落地浴缸</t>
        </is>
      </c>
      <c r="I21" s="12" t="inlineStr">
        <is>
          <t>是</t>
        </is>
      </c>
      <c r="J21" s="34" t="n">
        <v>44553</v>
      </c>
      <c r="K21" s="34" t="n">
        <v>44553</v>
      </c>
      <c r="L21" s="0">
        <f>DATEDIF(J21,$L$1,"M")</f>
        <v/>
      </c>
      <c r="M21" s="0">
        <f>IF(L21&lt;18,"新品期",IF(L21&lt;=36,"老品期","衰退期"))</f>
        <v/>
      </c>
    </row>
    <row r="22" ht="15" customFormat="1" customHeight="1" s="36">
      <c r="A22" s="4" t="inlineStr">
        <is>
          <t>Qinkell-US</t>
        </is>
      </c>
      <c r="B22" s="4" t="inlineStr">
        <is>
          <t>Qinkell美国站</t>
        </is>
      </c>
      <c r="C22" s="4">
        <f>B22&amp;D22</f>
        <v/>
      </c>
      <c r="D22" s="4" t="inlineStr">
        <is>
          <t>1007BN QC1</t>
        </is>
      </c>
      <c r="E22" s="4" t="inlineStr">
        <is>
          <t>211F1007BN3</t>
        </is>
      </c>
      <c r="F22" s="4" t="inlineStr">
        <is>
          <t>1007二功能落地浴缸龙头拉丝PVD</t>
        </is>
      </c>
      <c r="G22" s="4" t="inlineStr">
        <is>
          <t>刘皓</t>
        </is>
      </c>
      <c r="H22" s="4" t="inlineStr">
        <is>
          <t>落地浴缸</t>
        </is>
      </c>
      <c r="I22" s="12" t="inlineStr">
        <is>
          <t>是</t>
        </is>
      </c>
      <c r="J22" s="34" t="n">
        <v>44553</v>
      </c>
      <c r="K22" s="34" t="n">
        <v>44553</v>
      </c>
      <c r="L22" s="0">
        <f>DATEDIF(J22,$L$1,"M")</f>
        <v/>
      </c>
      <c r="M22" s="0">
        <f>IF(L22&lt;18,"新品期",IF(L22&lt;=36,"老品期","衰退期"))</f>
        <v/>
      </c>
    </row>
    <row r="23" ht="15" customFormat="1" customHeight="1" s="36">
      <c r="A23" s="4" t="inlineStr">
        <is>
          <t>Qinkell-CA</t>
        </is>
      </c>
      <c r="B23" s="4" t="inlineStr">
        <is>
          <t>Qinkell加拿大站</t>
        </is>
      </c>
      <c r="C23" s="4">
        <f>B23&amp;D23</f>
        <v/>
      </c>
      <c r="D23" s="4" t="inlineStr">
        <is>
          <t>1007BN QC1</t>
        </is>
      </c>
      <c r="E23" s="4" t="inlineStr">
        <is>
          <t>211F1007BN3</t>
        </is>
      </c>
      <c r="F23" s="4" t="inlineStr">
        <is>
          <t>1007二功能落地浴缸龙头拉丝PVD</t>
        </is>
      </c>
      <c r="G23" s="4" t="inlineStr">
        <is>
          <t>刘皓</t>
        </is>
      </c>
      <c r="H23" s="4" t="inlineStr">
        <is>
          <t>落地浴缸</t>
        </is>
      </c>
      <c r="I23" s="12" t="inlineStr">
        <is>
          <t>是</t>
        </is>
      </c>
      <c r="J23" s="34" t="n">
        <v>44553</v>
      </c>
      <c r="K23" s="34" t="n">
        <v>44553</v>
      </c>
      <c r="L23" s="0">
        <f>DATEDIF(J23,$L$1,"M")</f>
        <v/>
      </c>
      <c r="M23" s="0">
        <f>IF(L23&lt;18,"新品期",IF(L23&lt;=36,"老品期","衰退期"))</f>
        <v/>
      </c>
    </row>
    <row r="24" ht="15" customFormat="1" customHeight="1" s="36">
      <c r="A24" s="4" t="inlineStr">
        <is>
          <t>Qinkell-US</t>
        </is>
      </c>
      <c r="B24" s="4" t="inlineStr">
        <is>
          <t>Qinkell美国站</t>
        </is>
      </c>
      <c r="C24" s="4">
        <f>B24&amp;D24</f>
        <v/>
      </c>
      <c r="D24" s="4" t="inlineStr">
        <is>
          <t>1007CP QC1</t>
        </is>
      </c>
      <c r="E24" s="4" t="inlineStr">
        <is>
          <t>211F1007CP1</t>
        </is>
      </c>
      <c r="F24" s="4" t="inlineStr">
        <is>
          <t>1007二功能落地浴缸龙头铬</t>
        </is>
      </c>
      <c r="G24" s="4" t="inlineStr">
        <is>
          <t>刘皓</t>
        </is>
      </c>
      <c r="H24" s="4" t="inlineStr">
        <is>
          <t>落地浴缸</t>
        </is>
      </c>
      <c r="I24" s="12" t="inlineStr">
        <is>
          <t>是</t>
        </is>
      </c>
      <c r="J24" s="34" t="n">
        <v>44553</v>
      </c>
      <c r="K24" s="34" t="n">
        <v>44553</v>
      </c>
      <c r="L24" s="0">
        <f>DATEDIF(J24,$L$1,"M")</f>
        <v/>
      </c>
      <c r="M24" s="0">
        <f>IF(L24&lt;18,"新品期",IF(L24&lt;=36,"老品期","衰退期"))</f>
        <v/>
      </c>
    </row>
    <row r="25" ht="15" customFormat="1" customHeight="1" s="36">
      <c r="A25" s="4" t="inlineStr">
        <is>
          <t>Qinkell-US</t>
        </is>
      </c>
      <c r="B25" s="4" t="inlineStr">
        <is>
          <t>Qinkell美国站</t>
        </is>
      </c>
      <c r="C25" s="4">
        <f>B25&amp;D25</f>
        <v/>
      </c>
      <c r="D25" s="4" t="inlineStr">
        <is>
          <t>1007ORB QC1</t>
        </is>
      </c>
      <c r="E25" s="4" t="inlineStr">
        <is>
          <t>211F1007OB1</t>
        </is>
      </c>
      <c r="F25" s="4" t="inlineStr">
        <is>
          <t>1007二功能落地浴缸龙头拉丝古铜色</t>
        </is>
      </c>
      <c r="G25" s="4" t="inlineStr">
        <is>
          <t>刘皓</t>
        </is>
      </c>
      <c r="H25" s="4" t="inlineStr">
        <is>
          <t>落地浴缸</t>
        </is>
      </c>
      <c r="I25" s="12" t="inlineStr">
        <is>
          <t>是</t>
        </is>
      </c>
      <c r="J25" s="34" t="n">
        <v>44553</v>
      </c>
      <c r="K25" s="34" t="n">
        <v>44553</v>
      </c>
      <c r="L25" s="0">
        <f>DATEDIF(J25,$L$1,"M")</f>
        <v/>
      </c>
      <c r="M25" s="0">
        <f>IF(L25&lt;18,"新品期",IF(L25&lt;=36,"老品期","衰退期"))</f>
        <v/>
      </c>
    </row>
    <row r="26" ht="15" customFormat="1" customHeight="1" s="36">
      <c r="A26" s="4" t="inlineStr">
        <is>
          <t>Hanallx-US</t>
        </is>
      </c>
      <c r="B26" s="4" t="inlineStr">
        <is>
          <t>Hanallx美国站</t>
        </is>
      </c>
      <c r="C26" s="4">
        <f>B26&amp;D26</f>
        <v/>
      </c>
      <c r="D26" s="4" t="inlineStr">
        <is>
          <t>3002BG HM1</t>
        </is>
      </c>
      <c r="E26" s="4" t="inlineStr">
        <is>
          <t>221F3002BG4</t>
        </is>
      </c>
      <c r="F26" s="4" t="inlineStr">
        <is>
          <t>3002三件套缸边浴缸龙头拉丝钛金</t>
        </is>
      </c>
      <c r="G26" s="4" t="inlineStr">
        <is>
          <t>朱艺璇</t>
        </is>
      </c>
      <c r="H26" s="4" t="inlineStr">
        <is>
          <t>缸边浴缸</t>
        </is>
      </c>
      <c r="I26" s="12" t="inlineStr">
        <is>
          <t>是</t>
        </is>
      </c>
      <c r="J26" s="34" t="n">
        <v>44208</v>
      </c>
      <c r="K26" s="34" t="n">
        <v>44283</v>
      </c>
      <c r="L26" s="0">
        <f>DATEDIF(J26,$L$1,"M")</f>
        <v/>
      </c>
      <c r="M26" s="0">
        <f>IF(L26&lt;18,"新品期",IF(L26&lt;=36,"老品期","衰退期"))</f>
        <v/>
      </c>
    </row>
    <row r="27" ht="15" customFormat="1" customHeight="1" s="36">
      <c r="A27" s="4" t="inlineStr">
        <is>
          <t>Hanallx-US</t>
        </is>
      </c>
      <c r="B27" s="4" t="inlineStr">
        <is>
          <t>Hanallx美国站</t>
        </is>
      </c>
      <c r="C27" s="4">
        <f>B27&amp;D27</f>
        <v/>
      </c>
      <c r="D27" s="4" t="inlineStr">
        <is>
          <t>3002BK HM1</t>
        </is>
      </c>
      <c r="E27" s="4" t="inlineStr">
        <is>
          <t>221F3002BK1</t>
        </is>
      </c>
      <c r="F27" s="4" t="inlineStr">
        <is>
          <t>3002三件套缸边浴缸龙头电泳黑</t>
        </is>
      </c>
      <c r="G27" s="4" t="inlineStr">
        <is>
          <t>朱艺璇</t>
        </is>
      </c>
      <c r="H27" s="4" t="inlineStr">
        <is>
          <t>缸边浴缸</t>
        </is>
      </c>
      <c r="I27" s="12" t="inlineStr">
        <is>
          <t>是</t>
        </is>
      </c>
      <c r="J27" s="34" t="n">
        <v>44208</v>
      </c>
      <c r="K27" s="34" t="n">
        <v>44283</v>
      </c>
      <c r="L27" s="0">
        <f>DATEDIF(J27,$L$1,"M")</f>
        <v/>
      </c>
      <c r="M27" s="0">
        <f>IF(L27&lt;18,"新品期",IF(L27&lt;=36,"老品期","衰退期"))</f>
        <v/>
      </c>
    </row>
    <row r="28" ht="15" customFormat="1" customHeight="1" s="36">
      <c r="A28" s="4" t="inlineStr">
        <is>
          <t>Hanallx-US</t>
        </is>
      </c>
      <c r="B28" s="4" t="inlineStr">
        <is>
          <t>Hanallx美国站</t>
        </is>
      </c>
      <c r="C28" s="4">
        <f>B28&amp;D28</f>
        <v/>
      </c>
      <c r="D28" s="4" t="inlineStr">
        <is>
          <t>3002BN--HM1</t>
        </is>
      </c>
      <c r="E28" s="4" t="inlineStr">
        <is>
          <t>221F3002BN3</t>
        </is>
      </c>
      <c r="F28" s="4" t="inlineStr">
        <is>
          <t>3002三件套缸边浴缸龙头拉丝PVD</t>
        </is>
      </c>
      <c r="G28" s="4" t="inlineStr">
        <is>
          <t>朱艺璇</t>
        </is>
      </c>
      <c r="H28" s="4" t="inlineStr">
        <is>
          <t>缸边浴缸</t>
        </is>
      </c>
      <c r="I28" s="12" t="inlineStr">
        <is>
          <t>是</t>
        </is>
      </c>
      <c r="J28" s="34" t="n">
        <v>44208</v>
      </c>
      <c r="K28" s="34" t="n">
        <v>44283</v>
      </c>
      <c r="L28" s="0">
        <f>DATEDIF(J28,$L$1,"M")</f>
        <v/>
      </c>
      <c r="M28" s="0">
        <f>IF(L28&lt;18,"新品期",IF(L28&lt;=36,"老品期","衰退期"))</f>
        <v/>
      </c>
    </row>
    <row r="29" ht="15" customFormat="1" customHeight="1" s="36">
      <c r="A29" s="4" t="inlineStr">
        <is>
          <t>Hanallx-US</t>
        </is>
      </c>
      <c r="B29" s="4" t="inlineStr">
        <is>
          <t>Hanallx美国站</t>
        </is>
      </c>
      <c r="C29" s="4">
        <f>B29&amp;D29</f>
        <v/>
      </c>
      <c r="D29" s="4" t="inlineStr">
        <is>
          <t>3002CP--HM1</t>
        </is>
      </c>
      <c r="E29" s="4" t="inlineStr">
        <is>
          <t>221F3002CP1</t>
        </is>
      </c>
      <c r="F29" s="4" t="inlineStr">
        <is>
          <t>3002三件套缸边浴缸龙头铬</t>
        </is>
      </c>
      <c r="G29" s="4" t="inlineStr">
        <is>
          <t>朱艺璇</t>
        </is>
      </c>
      <c r="H29" s="4" t="inlineStr">
        <is>
          <t>缸边浴缸</t>
        </is>
      </c>
      <c r="I29" s="12" t="inlineStr">
        <is>
          <t>是</t>
        </is>
      </c>
      <c r="J29" s="34" t="n">
        <v>44208</v>
      </c>
      <c r="K29" s="34" t="n">
        <v>44283</v>
      </c>
      <c r="L29" s="0">
        <f>DATEDIF(J29,$L$1,"M")</f>
        <v/>
      </c>
      <c r="M29" s="0">
        <f>IF(L29&lt;18,"新品期",IF(L29&lt;=36,"老品期","衰退期"))</f>
        <v/>
      </c>
    </row>
    <row r="30" ht="15" customFormat="1" customHeight="1" s="36">
      <c r="A30" s="4" t="inlineStr">
        <is>
          <t>Hanallx-US</t>
        </is>
      </c>
      <c r="B30" s="4" t="inlineStr">
        <is>
          <t>Hanallx美国站</t>
        </is>
      </c>
      <c r="C30" s="4">
        <f>B30&amp;D30</f>
        <v/>
      </c>
      <c r="D30" s="4" t="inlineStr">
        <is>
          <t>3002ORB HM1</t>
        </is>
      </c>
      <c r="E30" s="4" t="inlineStr">
        <is>
          <t>221F3002OB1</t>
        </is>
      </c>
      <c r="F30" s="4" t="inlineStr">
        <is>
          <t>3002三件套缸边浴缸龙头拉丝古铜色</t>
        </is>
      </c>
      <c r="G30" s="4" t="inlineStr">
        <is>
          <t>朱艺璇</t>
        </is>
      </c>
      <c r="H30" s="4" t="inlineStr">
        <is>
          <t>缸边浴缸</t>
        </is>
      </c>
      <c r="I30" s="12" t="inlineStr">
        <is>
          <t>是</t>
        </is>
      </c>
      <c r="J30" s="34" t="n">
        <v>44208</v>
      </c>
      <c r="K30" s="34" t="n">
        <v>44283</v>
      </c>
      <c r="L30" s="0">
        <f>DATEDIF(J30,$L$1,"M")</f>
        <v/>
      </c>
      <c r="M30" s="0">
        <f>IF(L30&lt;18,"新品期",IF(L30&lt;=36,"老品期","衰退期"))</f>
        <v/>
      </c>
    </row>
    <row r="31" ht="15" customFormat="1" customHeight="1" s="36">
      <c r="A31" s="4" t="inlineStr">
        <is>
          <t>Hanallx-US</t>
        </is>
      </c>
      <c r="B31" s="4" t="inlineStr">
        <is>
          <t>Hanallx美国站</t>
        </is>
      </c>
      <c r="C31" s="4">
        <f>B31&amp;D31</f>
        <v/>
      </c>
      <c r="D31" s="4" t="inlineStr">
        <is>
          <t>3003BG HM1</t>
        </is>
      </c>
      <c r="E31" s="4" t="inlineStr">
        <is>
          <t>220F3003BG1</t>
        </is>
      </c>
      <c r="F31" s="4" t="inlineStr">
        <is>
          <t>3003二件套缸边浴缸龙头拉丝钛金封油</t>
        </is>
      </c>
      <c r="G31" s="4" t="inlineStr">
        <is>
          <t>朱艺璇</t>
        </is>
      </c>
      <c r="H31" s="4" t="inlineStr">
        <is>
          <t>缸边浴缸</t>
        </is>
      </c>
      <c r="I31" s="12" t="inlineStr">
        <is>
          <t>是</t>
        </is>
      </c>
      <c r="J31" s="34" t="n">
        <v>44388</v>
      </c>
      <c r="K31" s="34" t="n">
        <v>44433</v>
      </c>
      <c r="L31" s="0">
        <f>DATEDIF(J31,$L$1,"M")</f>
        <v/>
      </c>
      <c r="M31" s="0">
        <f>IF(L31&lt;18,"新品期",IF(L31&lt;=36,"老品期","衰退期"))</f>
        <v/>
      </c>
    </row>
    <row r="32" ht="15" customFormat="1" customHeight="1" s="36">
      <c r="A32" s="4" t="inlineStr">
        <is>
          <t>Qinkell-US</t>
        </is>
      </c>
      <c r="B32" s="4" t="inlineStr">
        <is>
          <t>Qinkell美国站</t>
        </is>
      </c>
      <c r="C32" s="4">
        <f>B32&amp;D32</f>
        <v/>
      </c>
      <c r="D32" s="4" t="inlineStr">
        <is>
          <t>3003BG QC1</t>
        </is>
      </c>
      <c r="E32" s="4" t="inlineStr">
        <is>
          <t>220F3003BG1</t>
        </is>
      </c>
      <c r="F32" s="4" t="inlineStr">
        <is>
          <t>3003二件套缸边浴缸龙头拉丝钛金封油</t>
        </is>
      </c>
      <c r="G32" s="4" t="inlineStr">
        <is>
          <t>朱艺璇</t>
        </is>
      </c>
      <c r="H32" s="4" t="inlineStr">
        <is>
          <t>缸边浴缸</t>
        </is>
      </c>
      <c r="I32" s="12" t="inlineStr">
        <is>
          <t>是</t>
        </is>
      </c>
      <c r="J32" s="34" t="n">
        <v>45126</v>
      </c>
      <c r="K32" s="34" t="n">
        <v>45188</v>
      </c>
      <c r="L32" s="0">
        <f>DATEDIF(J32,$L$1,"M")</f>
        <v/>
      </c>
      <c r="M32" s="0">
        <f>IF(L32&lt;18,"新品期",IF(L32&lt;=36,"老品期","衰退期"))</f>
        <v/>
      </c>
    </row>
    <row r="33" ht="15" customFormat="1" customHeight="1" s="36">
      <c r="A33" s="4" t="inlineStr">
        <is>
          <t>Qinkell-CA</t>
        </is>
      </c>
      <c r="B33" s="4" t="inlineStr">
        <is>
          <t>Qinkell加拿大站</t>
        </is>
      </c>
      <c r="C33" s="4">
        <f>B33&amp;D33</f>
        <v/>
      </c>
      <c r="D33" s="4" t="inlineStr">
        <is>
          <t>3003BG QC1</t>
        </is>
      </c>
      <c r="E33" s="4" t="inlineStr">
        <is>
          <t>220F3003BG1</t>
        </is>
      </c>
      <c r="F33" s="4" t="inlineStr">
        <is>
          <t>3003二件套缸边浴缸龙头拉丝钛金封油</t>
        </is>
      </c>
      <c r="G33" s="4" t="inlineStr">
        <is>
          <t>朱艺璇</t>
        </is>
      </c>
      <c r="H33" s="4" t="inlineStr">
        <is>
          <t>缸边浴缸</t>
        </is>
      </c>
      <c r="I33" s="12" t="inlineStr">
        <is>
          <t>是</t>
        </is>
      </c>
      <c r="J33" s="34" t="n">
        <v>45126</v>
      </c>
      <c r="K33" s="34" t="n">
        <v>45188</v>
      </c>
      <c r="L33" s="0">
        <f>DATEDIF(J33,$L$1,"M")</f>
        <v/>
      </c>
      <c r="M33" s="0">
        <f>IF(L33&lt;18,"新品期",IF(L33&lt;=36,"老品期","衰退期"))</f>
        <v/>
      </c>
    </row>
    <row r="34" ht="15" customFormat="1" customHeight="1" s="36">
      <c r="A34" s="4" t="inlineStr">
        <is>
          <t>Hanallx-US</t>
        </is>
      </c>
      <c r="B34" s="4" t="inlineStr">
        <is>
          <t>Hanallx美国站</t>
        </is>
      </c>
      <c r="C34" s="4">
        <f>B34&amp;D34</f>
        <v/>
      </c>
      <c r="D34" s="4" t="inlineStr">
        <is>
          <t>3003BK HM1</t>
        </is>
      </c>
      <c r="E34" s="4" t="inlineStr">
        <is>
          <t>220F3003BK1</t>
        </is>
      </c>
      <c r="F34" s="4" t="inlineStr">
        <is>
          <t>3003二件套缸边浴缸龙头电泳黑</t>
        </is>
      </c>
      <c r="G34" s="4" t="inlineStr">
        <is>
          <t>朱艺璇</t>
        </is>
      </c>
      <c r="H34" s="4" t="inlineStr">
        <is>
          <t>缸边浴缸</t>
        </is>
      </c>
      <c r="I34" s="12" t="inlineStr">
        <is>
          <t>是</t>
        </is>
      </c>
      <c r="J34" s="34" t="n">
        <v>44388</v>
      </c>
      <c r="K34" s="34" t="n">
        <v>44433</v>
      </c>
      <c r="L34" s="0">
        <f>DATEDIF(J34,$L$1,"M")</f>
        <v/>
      </c>
      <c r="M34" s="0">
        <f>IF(L34&lt;18,"新品期",IF(L34&lt;=36,"老品期","衰退期"))</f>
        <v/>
      </c>
    </row>
    <row r="35" ht="15" customFormat="1" customHeight="1" s="36">
      <c r="A35" s="4" t="inlineStr">
        <is>
          <t>Hanallx-CA</t>
        </is>
      </c>
      <c r="B35" s="4" t="inlineStr">
        <is>
          <t>Hanallx加拿大站</t>
        </is>
      </c>
      <c r="C35" s="4">
        <f>B35&amp;D35</f>
        <v/>
      </c>
      <c r="D35" s="4" t="inlineStr">
        <is>
          <t>3003BK HM1</t>
        </is>
      </c>
      <c r="E35" s="4" t="inlineStr">
        <is>
          <t>220F3003BK1</t>
        </is>
      </c>
      <c r="F35" s="4" t="inlineStr">
        <is>
          <t>3003二件套缸边浴缸龙头电泳黑</t>
        </is>
      </c>
      <c r="G35" s="4" t="inlineStr">
        <is>
          <t>朱艺璇</t>
        </is>
      </c>
      <c r="H35" s="4" t="inlineStr">
        <is>
          <t>缸边浴缸</t>
        </is>
      </c>
      <c r="I35" s="12" t="inlineStr">
        <is>
          <t>是</t>
        </is>
      </c>
      <c r="J35" s="34" t="n">
        <v>44388</v>
      </c>
      <c r="K35" s="34" t="n">
        <v>44433</v>
      </c>
      <c r="L35" s="0">
        <f>DATEDIF(J35,$L$1,"M")</f>
        <v/>
      </c>
      <c r="M35" s="0">
        <f>IF(L35&lt;18,"新品期",IF(L35&lt;=36,"老品期","衰退期"))</f>
        <v/>
      </c>
    </row>
    <row r="36" ht="15" customFormat="1" customHeight="1" s="36">
      <c r="A36" s="4" t="inlineStr">
        <is>
          <t>Hanallx-US</t>
        </is>
      </c>
      <c r="B36" s="4" t="inlineStr">
        <is>
          <t>Hanallx美国站</t>
        </is>
      </c>
      <c r="C36" s="4">
        <f>B36&amp;D36</f>
        <v/>
      </c>
      <c r="D36" s="4" t="inlineStr">
        <is>
          <t>3003BK HM1-Z</t>
        </is>
      </c>
      <c r="E36" s="4" t="inlineStr">
        <is>
          <t>220F3003BK1</t>
        </is>
      </c>
      <c r="F36" s="4" t="inlineStr">
        <is>
          <t>3003二件套缸边浴缸龙头电泳黑</t>
        </is>
      </c>
      <c r="G36" s="4" t="inlineStr">
        <is>
          <t>朱艺璇</t>
        </is>
      </c>
      <c r="H36" s="4" t="inlineStr">
        <is>
          <t>缸边浴缸</t>
        </is>
      </c>
      <c r="I36" s="12" t="inlineStr">
        <is>
          <t>是</t>
        </is>
      </c>
      <c r="J36" s="34" t="n">
        <v>44388</v>
      </c>
      <c r="K36" s="34" t="n">
        <v>44433</v>
      </c>
      <c r="L36" s="0">
        <f>DATEDIF(J36,$L$1,"M")</f>
        <v/>
      </c>
      <c r="M36" s="0">
        <f>IF(L36&lt;18,"新品期",IF(L36&lt;=36,"老品期","衰退期"))</f>
        <v/>
      </c>
    </row>
    <row r="37" ht="15" customFormat="1" customHeight="1" s="36">
      <c r="A37" s="4" t="inlineStr">
        <is>
          <t>Hanallx-US</t>
        </is>
      </c>
      <c r="B37" s="4" t="inlineStr">
        <is>
          <t>Hanallx美国站</t>
        </is>
      </c>
      <c r="C37" s="4">
        <f>B37&amp;D37</f>
        <v/>
      </c>
      <c r="D37" s="4" t="inlineStr">
        <is>
          <t>3003BK HM1-ZZ</t>
        </is>
      </c>
      <c r="E37" s="4" t="inlineStr">
        <is>
          <t>220F3003BK1</t>
        </is>
      </c>
      <c r="F37" s="4" t="inlineStr">
        <is>
          <t>3003二件套缸边浴缸龙头电泳黑</t>
        </is>
      </c>
      <c r="G37" s="4" t="inlineStr">
        <is>
          <t>朱艺璇</t>
        </is>
      </c>
      <c r="H37" s="4" t="inlineStr">
        <is>
          <t>缸边浴缸</t>
        </is>
      </c>
      <c r="I37" s="12" t="inlineStr">
        <is>
          <t>是</t>
        </is>
      </c>
      <c r="J37" s="34" t="n">
        <v>44388</v>
      </c>
      <c r="K37" s="34" t="n">
        <v>44433</v>
      </c>
      <c r="L37" s="0">
        <f>DATEDIF(J37,$L$1,"M")</f>
        <v/>
      </c>
      <c r="M37" s="0">
        <f>IF(L37&lt;18,"新品期",IF(L37&lt;=36,"老品期","衰退期"))</f>
        <v/>
      </c>
    </row>
    <row r="38" ht="15" customFormat="1" customHeight="1" s="36">
      <c r="A38" s="4" t="inlineStr">
        <is>
          <t>Hanallx-US</t>
        </is>
      </c>
      <c r="B38" s="4" t="inlineStr">
        <is>
          <t>Hanallx美国站</t>
        </is>
      </c>
      <c r="C38" s="4">
        <f>B38&amp;D38</f>
        <v/>
      </c>
      <c r="D38" s="4" t="inlineStr">
        <is>
          <t>3003BK HM1-ZZZ</t>
        </is>
      </c>
      <c r="E38" s="4" t="inlineStr">
        <is>
          <t>220F3003BK1</t>
        </is>
      </c>
      <c r="F38" s="4" t="inlineStr">
        <is>
          <t>3003二件套缸边浴缸龙头电泳黑</t>
        </is>
      </c>
      <c r="G38" s="4" t="inlineStr">
        <is>
          <t>朱艺璇</t>
        </is>
      </c>
      <c r="H38" s="4" t="inlineStr">
        <is>
          <t>缸边浴缸</t>
        </is>
      </c>
      <c r="I38" s="12" t="inlineStr">
        <is>
          <t>是</t>
        </is>
      </c>
      <c r="J38" s="34" t="n">
        <v>44388</v>
      </c>
      <c r="K38" s="34" t="n">
        <v>44433</v>
      </c>
      <c r="L38" s="0">
        <f>DATEDIF(J38,$L$1,"M")</f>
        <v/>
      </c>
      <c r="M38" s="0">
        <f>IF(L38&lt;18,"新品期",IF(L38&lt;=36,"老品期","衰退期"))</f>
        <v/>
      </c>
    </row>
    <row r="39" ht="15" customFormat="1" customHeight="1" s="36">
      <c r="A39" s="4" t="inlineStr">
        <is>
          <t>Qinkell-US</t>
        </is>
      </c>
      <c r="B39" s="4" t="inlineStr">
        <is>
          <t>Qinkell美国站</t>
        </is>
      </c>
      <c r="C39" s="4">
        <f>B39&amp;D39</f>
        <v/>
      </c>
      <c r="D39" s="4" t="inlineStr">
        <is>
          <t>3003BK QC1</t>
        </is>
      </c>
      <c r="E39" s="4" t="inlineStr">
        <is>
          <t>220F3003BK1</t>
        </is>
      </c>
      <c r="F39" s="4" t="inlineStr">
        <is>
          <t>3003二件套缸边浴缸龙头电泳黑</t>
        </is>
      </c>
      <c r="G39" s="4" t="inlineStr">
        <is>
          <t>朱艺璇</t>
        </is>
      </c>
      <c r="H39" s="4" t="inlineStr">
        <is>
          <t>缸边浴缸</t>
        </is>
      </c>
      <c r="I39" s="12" t="inlineStr">
        <is>
          <t>是</t>
        </is>
      </c>
      <c r="J39" s="34" t="n">
        <v>45126</v>
      </c>
      <c r="K39" s="34" t="n">
        <v>45188</v>
      </c>
      <c r="L39" s="0">
        <f>DATEDIF(J39,$L$1,"M")</f>
        <v/>
      </c>
      <c r="M39" s="0">
        <f>IF(L39&lt;18,"新品期",IF(L39&lt;=36,"老品期","衰退期"))</f>
        <v/>
      </c>
    </row>
    <row r="40" ht="15" customFormat="1" customHeight="1" s="36">
      <c r="A40" s="4" t="inlineStr">
        <is>
          <t>Qinkell-CA</t>
        </is>
      </c>
      <c r="B40" s="4" t="inlineStr">
        <is>
          <t>Qinkell加拿大站</t>
        </is>
      </c>
      <c r="C40" s="4">
        <f>B40&amp;D40</f>
        <v/>
      </c>
      <c r="D40" s="4" t="inlineStr">
        <is>
          <t>3003BK QC1</t>
        </is>
      </c>
      <c r="E40" s="4" t="inlineStr">
        <is>
          <t>220F3003BK1</t>
        </is>
      </c>
      <c r="F40" s="4" t="inlineStr">
        <is>
          <t>3003二件套缸边浴缸龙头电泳黑</t>
        </is>
      </c>
      <c r="G40" s="4" t="inlineStr">
        <is>
          <t>朱艺璇</t>
        </is>
      </c>
      <c r="H40" s="4" t="inlineStr">
        <is>
          <t>缸边浴缸</t>
        </is>
      </c>
      <c r="I40" s="12" t="inlineStr">
        <is>
          <t>是</t>
        </is>
      </c>
      <c r="J40" s="34" t="n">
        <v>45126</v>
      </c>
      <c r="K40" s="34" t="n">
        <v>45188</v>
      </c>
      <c r="L40" s="0">
        <f>DATEDIF(J40,$L$1,"M")</f>
        <v/>
      </c>
      <c r="M40" s="0">
        <f>IF(L40&lt;18,"新品期",IF(L40&lt;=36,"老品期","衰退期"))</f>
        <v/>
      </c>
    </row>
    <row r="41" ht="15" customFormat="1" customHeight="1" s="36">
      <c r="A41" s="4" t="inlineStr">
        <is>
          <t>Hanallx-US</t>
        </is>
      </c>
      <c r="B41" s="4" t="inlineStr">
        <is>
          <t>Hanallx美国站</t>
        </is>
      </c>
      <c r="C41" s="4">
        <f>B41&amp;D41</f>
        <v/>
      </c>
      <c r="D41" s="4" t="inlineStr">
        <is>
          <t>3003BN HM1</t>
        </is>
      </c>
      <c r="E41" s="4" t="inlineStr">
        <is>
          <t>220F3003BN1</t>
        </is>
      </c>
      <c r="F41" s="4" t="inlineStr">
        <is>
          <t>3003二件套缸边浴缸龙头拉丝封半哑油</t>
        </is>
      </c>
      <c r="G41" s="4" t="inlineStr">
        <is>
          <t>朱艺璇</t>
        </is>
      </c>
      <c r="H41" s="4" t="inlineStr">
        <is>
          <t>缸边浴缸</t>
        </is>
      </c>
      <c r="I41" s="12" t="inlineStr">
        <is>
          <t>是</t>
        </is>
      </c>
      <c r="J41" s="34" t="n">
        <v>44388</v>
      </c>
      <c r="K41" s="34" t="n">
        <v>44433</v>
      </c>
      <c r="L41" s="0">
        <f>DATEDIF(J41,$L$1,"M")</f>
        <v/>
      </c>
      <c r="M41" s="0">
        <f>IF(L41&lt;18,"新品期",IF(L41&lt;=36,"老品期","衰退期"))</f>
        <v/>
      </c>
    </row>
    <row r="42" ht="15" customFormat="1" customHeight="1" s="36">
      <c r="A42" s="4" t="inlineStr">
        <is>
          <t>Hanallx-US</t>
        </is>
      </c>
      <c r="B42" s="4" t="inlineStr">
        <is>
          <t>Hanallx美国站</t>
        </is>
      </c>
      <c r="C42" s="4">
        <f>B42&amp;D42</f>
        <v/>
      </c>
      <c r="D42" s="4" t="inlineStr">
        <is>
          <t>3003BN HM1-Z</t>
        </is>
      </c>
      <c r="E42" s="4" t="inlineStr">
        <is>
          <t>220F3003BN1</t>
        </is>
      </c>
      <c r="F42" s="4" t="inlineStr">
        <is>
          <t>3003二件套缸边浴缸龙头拉丝封半哑油</t>
        </is>
      </c>
      <c r="G42" s="4" t="inlineStr">
        <is>
          <t>朱艺璇</t>
        </is>
      </c>
      <c r="H42" s="4" t="inlineStr">
        <is>
          <t>缸边浴缸</t>
        </is>
      </c>
      <c r="I42" s="12" t="inlineStr">
        <is>
          <t>是</t>
        </is>
      </c>
      <c r="J42" s="34" t="n">
        <v>44388</v>
      </c>
      <c r="K42" s="34" t="n">
        <v>44433</v>
      </c>
      <c r="L42" s="0">
        <f>DATEDIF(J42,$L$1,"M")</f>
        <v/>
      </c>
      <c r="M42" s="0">
        <f>IF(L42&lt;18,"新品期",IF(L42&lt;=36,"老品期","衰退期"))</f>
        <v/>
      </c>
    </row>
    <row r="43" ht="15" customFormat="1" customHeight="1" s="36">
      <c r="A43" s="4" t="inlineStr">
        <is>
          <t>Hanallx-US</t>
        </is>
      </c>
      <c r="B43" s="4" t="inlineStr">
        <is>
          <t>Hanallx美国站</t>
        </is>
      </c>
      <c r="C43" s="4">
        <f>B43&amp;D43</f>
        <v/>
      </c>
      <c r="D43" s="4" t="inlineStr">
        <is>
          <t>3003BN HM1-ZZ</t>
        </is>
      </c>
      <c r="E43" s="4" t="inlineStr">
        <is>
          <t>220F3003BN1</t>
        </is>
      </c>
      <c r="F43" s="4" t="inlineStr">
        <is>
          <t>3003二件套缸边浴缸龙头拉丝封半哑油</t>
        </is>
      </c>
      <c r="G43" s="4" t="inlineStr">
        <is>
          <t>朱艺璇</t>
        </is>
      </c>
      <c r="H43" s="4" t="inlineStr">
        <is>
          <t>缸边浴缸</t>
        </is>
      </c>
      <c r="I43" s="12" t="inlineStr">
        <is>
          <t>是</t>
        </is>
      </c>
      <c r="J43" s="34" t="n">
        <v>44388</v>
      </c>
      <c r="K43" s="34" t="n">
        <v>44433</v>
      </c>
      <c r="L43" s="0">
        <f>DATEDIF(J43,$L$1,"M")</f>
        <v/>
      </c>
      <c r="M43" s="0">
        <f>IF(L43&lt;18,"新品期",IF(L43&lt;=36,"老品期","衰退期"))</f>
        <v/>
      </c>
    </row>
    <row r="44" ht="15" customFormat="1" customHeight="1" s="36">
      <c r="A44" s="4" t="inlineStr">
        <is>
          <t>Qinkell-US</t>
        </is>
      </c>
      <c r="B44" s="4" t="inlineStr">
        <is>
          <t>Qinkell美国站</t>
        </is>
      </c>
      <c r="C44" s="4">
        <f>B44&amp;D44</f>
        <v/>
      </c>
      <c r="D44" s="4" t="inlineStr">
        <is>
          <t>3003BN QC1</t>
        </is>
      </c>
      <c r="E44" s="4" t="inlineStr">
        <is>
          <t>220F3003BN1</t>
        </is>
      </c>
      <c r="F44" s="4" t="inlineStr">
        <is>
          <t>3003二件套缸边浴缸龙头拉丝封半哑油</t>
        </is>
      </c>
      <c r="G44" s="4" t="inlineStr">
        <is>
          <t>朱艺璇</t>
        </is>
      </c>
      <c r="H44" s="4" t="inlineStr">
        <is>
          <t>缸边浴缸</t>
        </is>
      </c>
      <c r="I44" s="12" t="inlineStr">
        <is>
          <t>是</t>
        </is>
      </c>
      <c r="J44" s="34" t="n">
        <v>45126</v>
      </c>
      <c r="K44" s="34" t="n">
        <v>45188</v>
      </c>
      <c r="L44" s="0">
        <f>DATEDIF(J44,$L$1,"M")</f>
        <v/>
      </c>
      <c r="M44" s="0">
        <f>IF(L44&lt;18,"新品期",IF(L44&lt;=36,"老品期","衰退期"))</f>
        <v/>
      </c>
    </row>
    <row r="45" ht="15" customFormat="1" customHeight="1" s="36">
      <c r="A45" s="4" t="inlineStr">
        <is>
          <t>Qinkell-CA</t>
        </is>
      </c>
      <c r="B45" s="4" t="inlineStr">
        <is>
          <t>Qinkell加拿大站</t>
        </is>
      </c>
      <c r="C45" s="4">
        <f>B45&amp;D45</f>
        <v/>
      </c>
      <c r="D45" s="4" t="inlineStr">
        <is>
          <t>3003BN QC1</t>
        </is>
      </c>
      <c r="E45" s="4" t="inlineStr">
        <is>
          <t>220F3003BN1</t>
        </is>
      </c>
      <c r="F45" s="4" t="inlineStr">
        <is>
          <t>3003二件套缸边浴缸龙头拉丝封半哑油</t>
        </is>
      </c>
      <c r="G45" s="4" t="inlineStr">
        <is>
          <t>朱艺璇</t>
        </is>
      </c>
      <c r="H45" s="4" t="inlineStr">
        <is>
          <t>缸边浴缸</t>
        </is>
      </c>
      <c r="I45" s="12" t="inlineStr">
        <is>
          <t>是</t>
        </is>
      </c>
      <c r="J45" s="34" t="n">
        <v>45126</v>
      </c>
      <c r="K45" s="34" t="n">
        <v>45188</v>
      </c>
      <c r="L45" s="0">
        <f>DATEDIF(J45,$L$1,"M")</f>
        <v/>
      </c>
      <c r="M45" s="0">
        <f>IF(L45&lt;18,"新品期",IF(L45&lt;=36,"老品期","衰退期"))</f>
        <v/>
      </c>
    </row>
    <row r="46" ht="15" customFormat="1" customHeight="1" s="36">
      <c r="A46" s="4" t="inlineStr">
        <is>
          <t>Hanallx-US</t>
        </is>
      </c>
      <c r="B46" s="4" t="inlineStr">
        <is>
          <t>Hanallx美国站</t>
        </is>
      </c>
      <c r="C46" s="4">
        <f>B46&amp;D46</f>
        <v/>
      </c>
      <c r="D46" s="4" t="inlineStr">
        <is>
          <t>3003CP HM1</t>
        </is>
      </c>
      <c r="E46" s="4" t="inlineStr">
        <is>
          <t>220F3003CP1</t>
        </is>
      </c>
      <c r="F46" s="4" t="inlineStr">
        <is>
          <t>3003二件套缸边浴缸龙头铬</t>
        </is>
      </c>
      <c r="G46" s="4" t="inlineStr">
        <is>
          <t>朱艺璇</t>
        </is>
      </c>
      <c r="H46" s="4" t="inlineStr">
        <is>
          <t>缸边浴缸</t>
        </is>
      </c>
      <c r="I46" s="12" t="inlineStr">
        <is>
          <t>是</t>
        </is>
      </c>
      <c r="J46" s="34" t="n">
        <v>44388</v>
      </c>
      <c r="K46" s="34" t="n">
        <v>44433</v>
      </c>
      <c r="L46" s="0">
        <f>DATEDIF(J46,$L$1,"M")</f>
        <v/>
      </c>
      <c r="M46" s="0">
        <f>IF(L46&lt;18,"新品期",IF(L46&lt;=36,"老品期","衰退期"))</f>
        <v/>
      </c>
    </row>
    <row r="47" ht="15" customFormat="1" customHeight="1" s="36">
      <c r="A47" s="4" t="inlineStr">
        <is>
          <t>Qinkell-US</t>
        </is>
      </c>
      <c r="B47" s="4" t="inlineStr">
        <is>
          <t>Qinkell美国站</t>
        </is>
      </c>
      <c r="C47" s="4">
        <f>B47&amp;D47</f>
        <v/>
      </c>
      <c r="D47" s="4" t="inlineStr">
        <is>
          <t>3003CP QC1</t>
        </is>
      </c>
      <c r="E47" s="4" t="inlineStr">
        <is>
          <t>220F3003CP1</t>
        </is>
      </c>
      <c r="F47" s="4" t="inlineStr">
        <is>
          <t>3003二件套缸边浴缸龙头铬</t>
        </is>
      </c>
      <c r="G47" s="4" t="inlineStr">
        <is>
          <t>朱艺璇</t>
        </is>
      </c>
      <c r="H47" s="4" t="inlineStr">
        <is>
          <t>缸边浴缸</t>
        </is>
      </c>
      <c r="I47" s="12" t="inlineStr">
        <is>
          <t>是</t>
        </is>
      </c>
      <c r="J47" s="34" t="n">
        <v>45126</v>
      </c>
      <c r="K47" s="34" t="n">
        <v>45188</v>
      </c>
      <c r="L47" s="0">
        <f>DATEDIF(J47,$L$1,"M")</f>
        <v/>
      </c>
      <c r="M47" s="0">
        <f>IF(L47&lt;18,"新品期",IF(L47&lt;=36,"老品期","衰退期"))</f>
        <v/>
      </c>
    </row>
    <row r="48" ht="15" customFormat="1" customHeight="1" s="36">
      <c r="A48" s="4" t="inlineStr">
        <is>
          <t>Qinkell-CA</t>
        </is>
      </c>
      <c r="B48" s="4" t="inlineStr">
        <is>
          <t>Qinkell加拿大站</t>
        </is>
      </c>
      <c r="C48" s="4">
        <f>B48&amp;D48</f>
        <v/>
      </c>
      <c r="D48" s="4" t="inlineStr">
        <is>
          <t>3003CP QC1</t>
        </is>
      </c>
      <c r="E48" s="4" t="inlineStr">
        <is>
          <t>220F3003CP1</t>
        </is>
      </c>
      <c r="F48" s="4" t="inlineStr">
        <is>
          <t>3003二件套缸边浴缸龙头铬</t>
        </is>
      </c>
      <c r="G48" s="4" t="inlineStr">
        <is>
          <t>朱艺璇</t>
        </is>
      </c>
      <c r="H48" s="4" t="inlineStr">
        <is>
          <t>缸边浴缸</t>
        </is>
      </c>
      <c r="I48" s="12" t="inlineStr">
        <is>
          <t>是</t>
        </is>
      </c>
      <c r="J48" s="34" t="n">
        <v>45126</v>
      </c>
      <c r="K48" s="34" t="n">
        <v>45188</v>
      </c>
      <c r="L48" s="0">
        <f>DATEDIF(J48,$L$1,"M")</f>
        <v/>
      </c>
      <c r="M48" s="0">
        <f>IF(L48&lt;18,"新品期",IF(L48&lt;=36,"老品期","衰退期"))</f>
        <v/>
      </c>
    </row>
    <row r="49" ht="15" customFormat="1" customHeight="1" s="36">
      <c r="A49" s="4" t="inlineStr">
        <is>
          <t>Hanallx-US</t>
        </is>
      </c>
      <c r="B49" s="4" t="inlineStr">
        <is>
          <t>Hanallx美国站</t>
        </is>
      </c>
      <c r="C49" s="4">
        <f>B49&amp;D49</f>
        <v/>
      </c>
      <c r="D49" s="4" t="inlineStr">
        <is>
          <t>3003ORB HM1</t>
        </is>
      </c>
      <c r="E49" s="4" t="inlineStr">
        <is>
          <t>220F3003OB1</t>
        </is>
      </c>
      <c r="F49" s="4" t="inlineStr">
        <is>
          <t>3003二件套缸边浴缸龙头拉丝古铜色</t>
        </is>
      </c>
      <c r="G49" s="4" t="inlineStr">
        <is>
          <t>朱艺璇</t>
        </is>
      </c>
      <c r="H49" s="4" t="inlineStr">
        <is>
          <t>缸边浴缸</t>
        </is>
      </c>
      <c r="I49" s="12" t="inlineStr">
        <is>
          <t>是</t>
        </is>
      </c>
      <c r="J49" s="34" t="n">
        <v>44388</v>
      </c>
      <c r="K49" s="34" t="n">
        <v>44433</v>
      </c>
      <c r="L49" s="0">
        <f>DATEDIF(J49,$L$1,"M")</f>
        <v/>
      </c>
      <c r="M49" s="0">
        <f>IF(L49&lt;18,"新品期",IF(L49&lt;=36,"老品期","衰退期"))</f>
        <v/>
      </c>
    </row>
    <row r="50" ht="15" customFormat="1" customHeight="1" s="36">
      <c r="A50" s="4" t="inlineStr">
        <is>
          <t>Qinkell-US</t>
        </is>
      </c>
      <c r="B50" s="4" t="inlineStr">
        <is>
          <t>Qinkell美国站</t>
        </is>
      </c>
      <c r="C50" s="4">
        <f>B50&amp;D50</f>
        <v/>
      </c>
      <c r="D50" s="4" t="inlineStr">
        <is>
          <t>3003ORB QC1</t>
        </is>
      </c>
      <c r="E50" s="4" t="inlineStr">
        <is>
          <t>220F3003OB1</t>
        </is>
      </c>
      <c r="F50" s="4" t="inlineStr">
        <is>
          <t>3003二件套缸边浴缸龙头拉丝古铜色</t>
        </is>
      </c>
      <c r="G50" s="4" t="inlineStr">
        <is>
          <t>朱艺璇</t>
        </is>
      </c>
      <c r="H50" s="4" t="inlineStr">
        <is>
          <t>缸边浴缸</t>
        </is>
      </c>
      <c r="I50" s="12" t="inlineStr">
        <is>
          <t>是</t>
        </is>
      </c>
      <c r="J50" s="34" t="n">
        <v>45126</v>
      </c>
      <c r="K50" s="34" t="n">
        <v>45188</v>
      </c>
      <c r="L50" s="0">
        <f>DATEDIF(J50,$L$1,"M")</f>
        <v/>
      </c>
      <c r="M50" s="0">
        <f>IF(L50&lt;18,"新品期",IF(L50&lt;=36,"老品期","衰退期"))</f>
        <v/>
      </c>
    </row>
    <row r="51" ht="15" customFormat="1" customHeight="1" s="36">
      <c r="A51" s="4" t="inlineStr">
        <is>
          <t>Qinkell-CA</t>
        </is>
      </c>
      <c r="B51" s="4" t="inlineStr">
        <is>
          <t>Qinkell加拿大站</t>
        </is>
      </c>
      <c r="C51" s="4">
        <f>B51&amp;D51</f>
        <v/>
      </c>
      <c r="D51" s="4" t="inlineStr">
        <is>
          <t>3003ORB QC1</t>
        </is>
      </c>
      <c r="E51" s="4" t="inlineStr">
        <is>
          <t>220F3003OB1</t>
        </is>
      </c>
      <c r="F51" s="4" t="inlineStr">
        <is>
          <t>3003二件套缸边浴缸龙头拉丝古铜色</t>
        </is>
      </c>
      <c r="G51" s="4" t="inlineStr">
        <is>
          <t>朱艺璇</t>
        </is>
      </c>
      <c r="H51" s="4" t="inlineStr">
        <is>
          <t>缸边浴缸</t>
        </is>
      </c>
      <c r="I51" s="12" t="inlineStr">
        <is>
          <t>是</t>
        </is>
      </c>
      <c r="J51" s="34" t="n">
        <v>45126</v>
      </c>
      <c r="K51" s="34" t="n">
        <v>45188</v>
      </c>
      <c r="L51" s="0">
        <f>DATEDIF(J51,$L$1,"M")</f>
        <v/>
      </c>
      <c r="M51" s="0">
        <f>IF(L51&lt;18,"新品期",IF(L51&lt;=36,"老品期","衰退期"))</f>
        <v/>
      </c>
    </row>
    <row r="52" ht="15" customFormat="1" customHeight="1" s="36">
      <c r="A52" s="4" t="inlineStr">
        <is>
          <t>Hanallx-US</t>
        </is>
      </c>
      <c r="B52" s="4" t="inlineStr">
        <is>
          <t>Hanallx美国站</t>
        </is>
      </c>
      <c r="C52" s="4">
        <f>B52&amp;D52</f>
        <v/>
      </c>
      <c r="D52" s="4" t="inlineStr">
        <is>
          <t>3004BG HM1</t>
        </is>
      </c>
      <c r="E52" s="4" t="inlineStr">
        <is>
          <t>240F3004BG1</t>
        </is>
      </c>
      <c r="F52" s="4" t="inlineStr">
        <is>
          <t>3004二功能挂墙浴缸龙头拉丝钛金封油</t>
        </is>
      </c>
      <c r="G52" s="4" t="inlineStr">
        <is>
          <t>朱艺璇</t>
        </is>
      </c>
      <c r="H52" s="4" t="inlineStr">
        <is>
          <t>缸边浴缸</t>
        </is>
      </c>
      <c r="I52" s="12" t="inlineStr">
        <is>
          <t>否</t>
        </is>
      </c>
      <c r="J52" s="34" t="n">
        <v>44388</v>
      </c>
      <c r="K52" s="34" t="n">
        <v>44428</v>
      </c>
      <c r="L52" s="0">
        <f>DATEDIF(J52,$L$1,"M")</f>
        <v/>
      </c>
      <c r="M52" s="0">
        <f>IF(L52&lt;18,"新品期",IF(L52&lt;=36,"老品期","衰退期"))</f>
        <v/>
      </c>
    </row>
    <row r="53" ht="15" customFormat="1" customHeight="1" s="36">
      <c r="A53" s="4" t="inlineStr">
        <is>
          <t>Hanallx-CA</t>
        </is>
      </c>
      <c r="B53" s="4" t="inlineStr">
        <is>
          <t>Hanallx加拿大站</t>
        </is>
      </c>
      <c r="C53" s="4">
        <f>B53&amp;D53</f>
        <v/>
      </c>
      <c r="D53" s="4" t="inlineStr">
        <is>
          <t>3004BG HM1</t>
        </is>
      </c>
      <c r="E53" s="4" t="inlineStr">
        <is>
          <t>240F3004BG1</t>
        </is>
      </c>
      <c r="F53" s="4" t="inlineStr">
        <is>
          <t>3004二功能挂墙浴缸龙头拉丝钛金封油</t>
        </is>
      </c>
      <c r="G53" s="4" t="inlineStr">
        <is>
          <t>朱艺璇</t>
        </is>
      </c>
      <c r="H53" s="4" t="inlineStr">
        <is>
          <t>缸边浴缸</t>
        </is>
      </c>
      <c r="I53" s="12" t="inlineStr">
        <is>
          <t>否</t>
        </is>
      </c>
      <c r="J53" s="34" t="n">
        <v>44388</v>
      </c>
      <c r="K53" s="34" t="n">
        <v>44428</v>
      </c>
      <c r="L53" s="0">
        <f>DATEDIF(J53,$L$1,"M")</f>
        <v/>
      </c>
      <c r="M53" s="0">
        <f>IF(L53&lt;18,"新品期",IF(L53&lt;=36,"老品期","衰退期"))</f>
        <v/>
      </c>
    </row>
    <row r="54" ht="15" customFormat="1" customHeight="1" s="36">
      <c r="A54" s="4" t="inlineStr">
        <is>
          <t>Hanallx-US</t>
        </is>
      </c>
      <c r="B54" s="4" t="inlineStr">
        <is>
          <t>Hanallx美国站</t>
        </is>
      </c>
      <c r="C54" s="4">
        <f>B54&amp;D54</f>
        <v/>
      </c>
      <c r="D54" s="4" t="inlineStr">
        <is>
          <t>3004BG HM1-Z</t>
        </is>
      </c>
      <c r="E54" s="4" t="inlineStr">
        <is>
          <t>240F3004BG1</t>
        </is>
      </c>
      <c r="F54" s="4" t="inlineStr">
        <is>
          <t>3004二功能挂墙浴缸龙头拉丝钛金封油</t>
        </is>
      </c>
      <c r="G54" s="4" t="inlineStr">
        <is>
          <t>朱艺璇</t>
        </is>
      </c>
      <c r="H54" s="4" t="inlineStr">
        <is>
          <t>缸边浴缸</t>
        </is>
      </c>
      <c r="I54" s="12" t="inlineStr">
        <is>
          <t>是</t>
        </is>
      </c>
      <c r="J54" s="34" t="n">
        <v>44388</v>
      </c>
      <c r="K54" s="34" t="n">
        <v>44428</v>
      </c>
      <c r="L54" s="0">
        <f>DATEDIF(J54,$L$1,"M")</f>
        <v/>
      </c>
      <c r="M54" s="0">
        <f>IF(L54&lt;18,"新品期",IF(L54&lt;=36,"老品期","衰退期"))</f>
        <v/>
      </c>
    </row>
    <row r="55" ht="15" customFormat="1" customHeight="1" s="36">
      <c r="A55" s="4" t="inlineStr">
        <is>
          <t>Hanallx-US</t>
        </is>
      </c>
      <c r="B55" s="4" t="inlineStr">
        <is>
          <t>Hanallx美国站</t>
        </is>
      </c>
      <c r="C55" s="4">
        <f>B55&amp;D55</f>
        <v/>
      </c>
      <c r="D55" s="4" t="inlineStr">
        <is>
          <t>3004BG HM1-ZZ</t>
        </is>
      </c>
      <c r="E55" s="4" t="inlineStr">
        <is>
          <t>240F3004BG1</t>
        </is>
      </c>
      <c r="F55" s="4" t="inlineStr">
        <is>
          <t>3004二功能挂墙浴缸龙头拉丝钛金封油</t>
        </is>
      </c>
      <c r="G55" s="4" t="inlineStr">
        <is>
          <t>朱艺璇</t>
        </is>
      </c>
      <c r="H55" s="4" t="inlineStr">
        <is>
          <t>缸边浴缸</t>
        </is>
      </c>
      <c r="I55" s="12" t="inlineStr">
        <is>
          <t>是</t>
        </is>
      </c>
      <c r="J55" s="34" t="n">
        <v>44388</v>
      </c>
      <c r="K55" s="34" t="n">
        <v>44428</v>
      </c>
      <c r="L55" s="0">
        <f>DATEDIF(J55,$L$1,"M")</f>
        <v/>
      </c>
      <c r="M55" s="0">
        <f>IF(L55&lt;18,"新品期",IF(L55&lt;=36,"老品期","衰退期"))</f>
        <v/>
      </c>
    </row>
    <row r="56" ht="15" customFormat="1" customHeight="1" s="36">
      <c r="A56" s="4" t="inlineStr">
        <is>
          <t>Qinkell-US</t>
        </is>
      </c>
      <c r="B56" s="4" t="inlineStr">
        <is>
          <t>Qinkell美国站</t>
        </is>
      </c>
      <c r="C56" s="4">
        <f>B56&amp;D56</f>
        <v/>
      </c>
      <c r="D56" s="4" t="inlineStr">
        <is>
          <t>3004BG QC1</t>
        </is>
      </c>
      <c r="E56" s="4" t="inlineStr">
        <is>
          <t>240F3004BG1</t>
        </is>
      </c>
      <c r="F56" s="4" t="inlineStr">
        <is>
          <t>3004二功能挂墙浴缸龙头拉丝钛金封油</t>
        </is>
      </c>
      <c r="G56" s="4" t="inlineStr">
        <is>
          <t>朱艺璇</t>
        </is>
      </c>
      <c r="H56" s="4" t="inlineStr">
        <is>
          <t>缸边浴缸</t>
        </is>
      </c>
      <c r="I56" s="12" t="inlineStr">
        <is>
          <t>是</t>
        </is>
      </c>
      <c r="J56" s="34" t="n">
        <v>44999</v>
      </c>
      <c r="K56" s="34" t="n">
        <v>45097</v>
      </c>
      <c r="L56" s="0">
        <f>DATEDIF(J56,$L$1,"M")</f>
        <v/>
      </c>
      <c r="M56" s="0">
        <f>IF(L56&lt;18,"新品期",IF(L56&lt;=36,"老品期","衰退期"))</f>
        <v/>
      </c>
    </row>
    <row r="57" ht="15" customFormat="1" customHeight="1" s="36">
      <c r="A57" s="4" t="inlineStr">
        <is>
          <t>Hanallx-US</t>
        </is>
      </c>
      <c r="B57" s="4" t="inlineStr">
        <is>
          <t>Hanallx美国站</t>
        </is>
      </c>
      <c r="C57" s="4">
        <f>B57&amp;D57</f>
        <v/>
      </c>
      <c r="D57" s="4" t="inlineStr">
        <is>
          <t>3004BK HM1</t>
        </is>
      </c>
      <c r="E57" s="4" t="inlineStr">
        <is>
          <t>240F3004BK1</t>
        </is>
      </c>
      <c r="F57" s="4" t="inlineStr">
        <is>
          <t>3004二功能挂墙浴缸龙头电泳黑</t>
        </is>
      </c>
      <c r="G57" s="4" t="inlineStr">
        <is>
          <t>朱艺璇</t>
        </is>
      </c>
      <c r="H57" s="4" t="inlineStr">
        <is>
          <t>缸边浴缸</t>
        </is>
      </c>
      <c r="I57" s="12" t="inlineStr">
        <is>
          <t>否</t>
        </is>
      </c>
      <c r="J57" s="34" t="n">
        <v>44388</v>
      </c>
      <c r="K57" s="34" t="n">
        <v>44428</v>
      </c>
      <c r="L57" s="0">
        <f>DATEDIF(J57,$L$1,"M")</f>
        <v/>
      </c>
      <c r="M57" s="0">
        <f>IF(L57&lt;18,"新品期",IF(L57&lt;=36,"老品期","衰退期"))</f>
        <v/>
      </c>
    </row>
    <row r="58" ht="15" customFormat="1" customHeight="1" s="36">
      <c r="A58" s="4" t="inlineStr">
        <is>
          <t>Hanallx-US</t>
        </is>
      </c>
      <c r="B58" s="4" t="inlineStr">
        <is>
          <t>Hanallx美国站</t>
        </is>
      </c>
      <c r="C58" s="4">
        <f>B58&amp;D58</f>
        <v/>
      </c>
      <c r="D58" s="4" t="inlineStr">
        <is>
          <t>3004BK HM1-Z</t>
        </is>
      </c>
      <c r="E58" s="4" t="inlineStr">
        <is>
          <t>240F3004BK1</t>
        </is>
      </c>
      <c r="F58" s="4" t="inlineStr">
        <is>
          <t>3004二功能挂墙浴缸龙头电泳黑</t>
        </is>
      </c>
      <c r="G58" s="4" t="inlineStr">
        <is>
          <t>朱艺璇</t>
        </is>
      </c>
      <c r="H58" s="4" t="inlineStr">
        <is>
          <t>缸边浴缸</t>
        </is>
      </c>
      <c r="I58" s="12" t="inlineStr">
        <is>
          <t>是</t>
        </is>
      </c>
      <c r="J58" s="34" t="n">
        <v>44388</v>
      </c>
      <c r="K58" s="34" t="n">
        <v>44428</v>
      </c>
      <c r="L58" s="0">
        <f>DATEDIF(J58,$L$1,"M")</f>
        <v/>
      </c>
      <c r="M58" s="0">
        <f>IF(L58&lt;18,"新品期",IF(L58&lt;=36,"老品期","衰退期"))</f>
        <v/>
      </c>
    </row>
    <row r="59" ht="15" customFormat="1" customHeight="1" s="36">
      <c r="A59" s="4" t="inlineStr">
        <is>
          <t>Hanallx-US</t>
        </is>
      </c>
      <c r="B59" s="4" t="inlineStr">
        <is>
          <t>Hanallx美国站</t>
        </is>
      </c>
      <c r="C59" s="4">
        <f>B59&amp;D59</f>
        <v/>
      </c>
      <c r="D59" s="4" t="inlineStr">
        <is>
          <t>3004BK HM1-ZZ</t>
        </is>
      </c>
      <c r="E59" s="4" t="inlineStr">
        <is>
          <t>240F3004BK1</t>
        </is>
      </c>
      <c r="F59" s="4" t="inlineStr">
        <is>
          <t>3004二功能挂墙浴缸龙头电泳黑</t>
        </is>
      </c>
      <c r="G59" s="4" t="inlineStr">
        <is>
          <t>朱艺璇</t>
        </is>
      </c>
      <c r="H59" s="4" t="inlineStr">
        <is>
          <t>缸边浴缸</t>
        </is>
      </c>
      <c r="I59" s="12" t="inlineStr">
        <is>
          <t>是</t>
        </is>
      </c>
      <c r="J59" s="34" t="n">
        <v>44388</v>
      </c>
      <c r="K59" s="34" t="n">
        <v>44428</v>
      </c>
      <c r="L59" s="0">
        <f>DATEDIF(J59,$L$1,"M")</f>
        <v/>
      </c>
      <c r="M59" s="0">
        <f>IF(L59&lt;18,"新品期",IF(L59&lt;=36,"老品期","衰退期"))</f>
        <v/>
      </c>
    </row>
    <row r="60" ht="15" customFormat="1" customHeight="1" s="36">
      <c r="A60" s="4" t="inlineStr">
        <is>
          <t>Hanallx-US</t>
        </is>
      </c>
      <c r="B60" s="4" t="inlineStr">
        <is>
          <t>Hanallx美国站</t>
        </is>
      </c>
      <c r="C60" s="4">
        <f>B60&amp;D60</f>
        <v/>
      </c>
      <c r="D60" s="4" t="inlineStr">
        <is>
          <t>3004BK HM1-ZZZ</t>
        </is>
      </c>
      <c r="E60" s="4" t="inlineStr">
        <is>
          <t>240F3004BK1</t>
        </is>
      </c>
      <c r="F60" s="4" t="inlineStr">
        <is>
          <t>3004二功能挂墙浴缸龙头电泳黑</t>
        </is>
      </c>
      <c r="G60" s="4" t="inlineStr">
        <is>
          <t>朱艺璇</t>
        </is>
      </c>
      <c r="H60" s="4" t="inlineStr">
        <is>
          <t>缸边浴缸</t>
        </is>
      </c>
      <c r="I60" s="12" t="inlineStr">
        <is>
          <t>是</t>
        </is>
      </c>
      <c r="J60" s="34" t="n">
        <v>44388</v>
      </c>
      <c r="K60" s="34" t="n">
        <v>44428</v>
      </c>
      <c r="L60" s="0">
        <f>DATEDIF(J60,$L$1,"M")</f>
        <v/>
      </c>
      <c r="M60" s="0">
        <f>IF(L60&lt;18,"新品期",IF(L60&lt;=36,"老品期","衰退期"))</f>
        <v/>
      </c>
    </row>
    <row r="61" ht="15" customFormat="1" customHeight="1" s="36">
      <c r="A61" s="4" t="inlineStr">
        <is>
          <t>Hanallx-US</t>
        </is>
      </c>
      <c r="B61" s="4" t="inlineStr">
        <is>
          <t>Hanallx美国站</t>
        </is>
      </c>
      <c r="C61" s="4">
        <f>B61&amp;D61</f>
        <v/>
      </c>
      <c r="D61" s="4" t="inlineStr">
        <is>
          <t>3004BK HM1-ZZZZ</t>
        </is>
      </c>
      <c r="E61" s="4" t="inlineStr">
        <is>
          <t>240F3004BK1</t>
        </is>
      </c>
      <c r="F61" s="4" t="inlineStr">
        <is>
          <t>3004二功能挂墙浴缸龙头电泳黑</t>
        </is>
      </c>
      <c r="G61" s="4" t="inlineStr">
        <is>
          <t>朱艺璇</t>
        </is>
      </c>
      <c r="H61" s="4" t="inlineStr">
        <is>
          <t>缸边浴缸</t>
        </is>
      </c>
      <c r="I61" s="12" t="inlineStr">
        <is>
          <t>是</t>
        </is>
      </c>
      <c r="J61" s="34" t="n">
        <v>44388</v>
      </c>
      <c r="K61" s="34" t="n">
        <v>44428</v>
      </c>
      <c r="L61" s="0">
        <f>DATEDIF(J61,$L$1,"M")</f>
        <v/>
      </c>
      <c r="M61" s="0">
        <f>IF(L61&lt;18,"新品期",IF(L61&lt;=36,"老品期","衰退期"))</f>
        <v/>
      </c>
    </row>
    <row r="62" ht="15" customFormat="1" customHeight="1" s="36">
      <c r="A62" s="4" t="inlineStr">
        <is>
          <t>Qinkell-US</t>
        </is>
      </c>
      <c r="B62" s="4" t="inlineStr">
        <is>
          <t>Qinkell美国站</t>
        </is>
      </c>
      <c r="C62" s="4">
        <f>B62&amp;D62</f>
        <v/>
      </c>
      <c r="D62" s="4" t="inlineStr">
        <is>
          <t>3004BK QC1</t>
        </is>
      </c>
      <c r="E62" s="4" t="inlineStr">
        <is>
          <t>240F3004BK1</t>
        </is>
      </c>
      <c r="F62" s="4" t="inlineStr">
        <is>
          <t>3004二功能挂墙浴缸龙头电泳黑</t>
        </is>
      </c>
      <c r="G62" s="4" t="inlineStr">
        <is>
          <t>朱艺璇</t>
        </is>
      </c>
      <c r="H62" s="4" t="inlineStr">
        <is>
          <t>缸边浴缸</t>
        </is>
      </c>
      <c r="I62" s="12" t="inlineStr">
        <is>
          <t>否</t>
        </is>
      </c>
      <c r="J62" s="34" t="n">
        <v>44999</v>
      </c>
      <c r="K62" s="34" t="n">
        <v>45097</v>
      </c>
      <c r="L62" s="0">
        <f>DATEDIF(J62,$L$1,"M")</f>
        <v/>
      </c>
      <c r="M62" s="0">
        <f>IF(L62&lt;18,"新品期",IF(L62&lt;=36,"老品期","衰退期"))</f>
        <v/>
      </c>
    </row>
    <row r="63" ht="15" customFormat="1" customHeight="1" s="36">
      <c r="A63" s="4" t="inlineStr">
        <is>
          <t>Hanallx-US</t>
        </is>
      </c>
      <c r="B63" s="4" t="inlineStr">
        <is>
          <t>Hanallx美国站</t>
        </is>
      </c>
      <c r="C63" s="4">
        <f>B63&amp;D63</f>
        <v/>
      </c>
      <c r="D63" s="4" t="inlineStr">
        <is>
          <t>3004BN HM1</t>
        </is>
      </c>
      <c r="E63" s="4" t="inlineStr">
        <is>
          <t>240F3004BN1</t>
        </is>
      </c>
      <c r="F63" s="4" t="inlineStr">
        <is>
          <t>3004二功能挂墙浴缸龙头拉丝封半哑油</t>
        </is>
      </c>
      <c r="G63" s="4" t="inlineStr">
        <is>
          <t>朱艺璇</t>
        </is>
      </c>
      <c r="H63" s="4" t="inlineStr">
        <is>
          <t>缸边浴缸</t>
        </is>
      </c>
      <c r="I63" s="12" t="inlineStr">
        <is>
          <t>否</t>
        </is>
      </c>
      <c r="J63" s="34" t="n">
        <v>44388</v>
      </c>
      <c r="K63" s="34" t="n">
        <v>44428</v>
      </c>
      <c r="L63" s="0">
        <f>DATEDIF(J63,$L$1,"M")</f>
        <v/>
      </c>
      <c r="M63" s="0">
        <f>IF(L63&lt;18,"新品期",IF(L63&lt;=36,"老品期","衰退期"))</f>
        <v/>
      </c>
    </row>
    <row r="64" ht="15" customFormat="1" customHeight="1" s="36">
      <c r="A64" s="4" t="inlineStr">
        <is>
          <t>Qinkell-US</t>
        </is>
      </c>
      <c r="B64" s="4" t="inlineStr">
        <is>
          <t>Qinkell美国站</t>
        </is>
      </c>
      <c r="C64" s="4">
        <f>B64&amp;D64</f>
        <v/>
      </c>
      <c r="D64" s="4" t="inlineStr">
        <is>
          <t>3004BN QC1</t>
        </is>
      </c>
      <c r="E64" s="4" t="inlineStr">
        <is>
          <t>240F3004BN1</t>
        </is>
      </c>
      <c r="F64" s="4" t="inlineStr">
        <is>
          <t>3004二功能挂墙浴缸龙头拉丝封半哑油</t>
        </is>
      </c>
      <c r="G64" s="4" t="inlineStr">
        <is>
          <t>朱艺璇</t>
        </is>
      </c>
      <c r="H64" s="4" t="inlineStr">
        <is>
          <t>缸边浴缸</t>
        </is>
      </c>
      <c r="I64" s="12" t="inlineStr">
        <is>
          <t>否</t>
        </is>
      </c>
      <c r="J64" s="34" t="n">
        <v>44999</v>
      </c>
      <c r="K64" s="34" t="n">
        <v>45097</v>
      </c>
      <c r="L64" s="0">
        <f>DATEDIF(J64,$L$1,"M")</f>
        <v/>
      </c>
      <c r="M64" s="0">
        <f>IF(L64&lt;18,"新品期",IF(L64&lt;=36,"老品期","衰退期"))</f>
        <v/>
      </c>
    </row>
    <row r="65" ht="15" customFormat="1" customHeight="1" s="36">
      <c r="A65" s="4" t="inlineStr">
        <is>
          <t>Hanallx-US</t>
        </is>
      </c>
      <c r="B65" s="4" t="inlineStr">
        <is>
          <t>Hanallx美国站</t>
        </is>
      </c>
      <c r="C65" s="4">
        <f>B65&amp;D65</f>
        <v/>
      </c>
      <c r="D65" s="4" t="inlineStr">
        <is>
          <t>3004CP HM1</t>
        </is>
      </c>
      <c r="E65" s="4" t="inlineStr">
        <is>
          <t>240F3004CP1</t>
        </is>
      </c>
      <c r="F65" s="4" t="inlineStr">
        <is>
          <t>3004二功能挂墙浴缸龙头铬</t>
        </is>
      </c>
      <c r="G65" s="4" t="inlineStr">
        <is>
          <t>朱艺璇</t>
        </is>
      </c>
      <c r="H65" s="4" t="inlineStr">
        <is>
          <t>缸边浴缸</t>
        </is>
      </c>
      <c r="I65" s="12" t="inlineStr">
        <is>
          <t>否</t>
        </is>
      </c>
      <c r="J65" s="34" t="n">
        <v>44388</v>
      </c>
      <c r="K65" s="34" t="n">
        <v>44428</v>
      </c>
      <c r="L65" s="0">
        <f>DATEDIF(J65,$L$1,"M")</f>
        <v/>
      </c>
      <c r="M65" s="0">
        <f>IF(L65&lt;18,"新品期",IF(L65&lt;=36,"老品期","衰退期"))</f>
        <v/>
      </c>
    </row>
    <row r="66" ht="15" customFormat="1" customHeight="1" s="36">
      <c r="A66" s="4" t="inlineStr">
        <is>
          <t>Hanallx-US</t>
        </is>
      </c>
      <c r="B66" s="4" t="inlineStr">
        <is>
          <t>Hanallx美国站</t>
        </is>
      </c>
      <c r="C66" s="4">
        <f>B66&amp;D66</f>
        <v/>
      </c>
      <c r="D66" s="4" t="inlineStr">
        <is>
          <t>3004CP HM1-Z</t>
        </is>
      </c>
      <c r="E66" s="4" t="inlineStr">
        <is>
          <t>240F3004CP1</t>
        </is>
      </c>
      <c r="F66" s="4" t="inlineStr">
        <is>
          <t>3004二功能挂墙浴缸龙头铬</t>
        </is>
      </c>
      <c r="G66" s="4" t="inlineStr">
        <is>
          <t>朱艺璇</t>
        </is>
      </c>
      <c r="H66" s="4" t="inlineStr">
        <is>
          <t>缸边浴缸</t>
        </is>
      </c>
      <c r="I66" s="22" t="inlineStr">
        <is>
          <t>是</t>
        </is>
      </c>
      <c r="J66" s="34" t="n">
        <v>44388</v>
      </c>
      <c r="K66" s="34" t="n">
        <v>44428</v>
      </c>
      <c r="L66" s="0">
        <f>DATEDIF(J66,$L$1,"M")</f>
        <v/>
      </c>
      <c r="M66" s="0">
        <f>IF(L66&lt;18,"新品期",IF(L66&lt;=36,"老品期","衰退期"))</f>
        <v/>
      </c>
    </row>
    <row r="67" ht="15" customFormat="1" customHeight="1" s="36">
      <c r="A67" s="4" t="inlineStr">
        <is>
          <t>Hanallx-US</t>
        </is>
      </c>
      <c r="B67" s="4" t="inlineStr">
        <is>
          <t>Hanallx美国站</t>
        </is>
      </c>
      <c r="C67" s="4">
        <f>B67&amp;D67</f>
        <v/>
      </c>
      <c r="D67" s="4" t="inlineStr">
        <is>
          <t>3004CP HM1-ZZ</t>
        </is>
      </c>
      <c r="E67" s="4" t="inlineStr">
        <is>
          <t>240F3004CP1</t>
        </is>
      </c>
      <c r="F67" s="4" t="inlineStr">
        <is>
          <t>3004二功能挂墙浴缸龙头铬</t>
        </is>
      </c>
      <c r="G67" s="4" t="inlineStr">
        <is>
          <t>朱艺璇</t>
        </is>
      </c>
      <c r="H67" s="4" t="inlineStr">
        <is>
          <t>缸边浴缸</t>
        </is>
      </c>
      <c r="I67" s="22" t="inlineStr">
        <is>
          <t>是</t>
        </is>
      </c>
      <c r="J67" s="34" t="n">
        <v>44388</v>
      </c>
      <c r="K67" s="34" t="n">
        <v>44428</v>
      </c>
      <c r="L67" s="0">
        <f>DATEDIF(J67,$L$1,"M")</f>
        <v/>
      </c>
      <c r="M67" s="0">
        <f>IF(L67&lt;18,"新品期",IF(L67&lt;=36,"老品期","衰退期"))</f>
        <v/>
      </c>
    </row>
    <row r="68" ht="15" customFormat="1" customHeight="1" s="36">
      <c r="A68" s="4" t="inlineStr">
        <is>
          <t>Qinkell-US</t>
        </is>
      </c>
      <c r="B68" s="4" t="inlineStr">
        <is>
          <t>Qinkell美国站</t>
        </is>
      </c>
      <c r="C68" s="4">
        <f>B68&amp;D68</f>
        <v/>
      </c>
      <c r="D68" s="4" t="inlineStr">
        <is>
          <t>3004CP QC1</t>
        </is>
      </c>
      <c r="E68" s="4" t="inlineStr">
        <is>
          <t>240F3004CP1</t>
        </is>
      </c>
      <c r="F68" s="4" t="inlineStr">
        <is>
          <t>3004二功能挂墙浴缸龙头铬</t>
        </is>
      </c>
      <c r="G68" s="4" t="inlineStr">
        <is>
          <t>朱艺璇</t>
        </is>
      </c>
      <c r="H68" s="4" t="inlineStr">
        <is>
          <t>缸边浴缸</t>
        </is>
      </c>
      <c r="I68" s="12" t="inlineStr">
        <is>
          <t>否</t>
        </is>
      </c>
      <c r="J68" s="34" t="n">
        <v>44999</v>
      </c>
      <c r="K68" s="34" t="n">
        <v>45097</v>
      </c>
      <c r="L68" s="0">
        <f>DATEDIF(J68,$L$1,"M")</f>
        <v/>
      </c>
      <c r="M68" s="0">
        <f>IF(L68&lt;18,"新品期",IF(L68&lt;=36,"老品期","衰退期"))</f>
        <v/>
      </c>
    </row>
    <row r="69" ht="15" customFormat="1" customHeight="1" s="36">
      <c r="A69" s="4" t="inlineStr">
        <is>
          <t>Hanallx-US</t>
        </is>
      </c>
      <c r="B69" s="4" t="inlineStr">
        <is>
          <t>Hanallx美国站</t>
        </is>
      </c>
      <c r="C69" s="4">
        <f>B69&amp;D69</f>
        <v/>
      </c>
      <c r="D69" s="4" t="inlineStr">
        <is>
          <t>3004ORB HM1</t>
        </is>
      </c>
      <c r="E69" s="4" t="inlineStr">
        <is>
          <t>240F3004OB1</t>
        </is>
      </c>
      <c r="F69" s="4" t="inlineStr">
        <is>
          <t>3004二功能挂墙浴缸龙头拉丝古铜色</t>
        </is>
      </c>
      <c r="G69" s="4" t="inlineStr">
        <is>
          <t>朱艺璇</t>
        </is>
      </c>
      <c r="H69" s="4" t="inlineStr">
        <is>
          <t>缸边浴缸</t>
        </is>
      </c>
      <c r="I69" s="12" t="inlineStr">
        <is>
          <t>否</t>
        </is>
      </c>
      <c r="J69" s="34" t="n">
        <v>44388</v>
      </c>
      <c r="K69" s="34" t="n">
        <v>44428</v>
      </c>
      <c r="L69" s="0">
        <f>DATEDIF(J69,$L$1,"M")</f>
        <v/>
      </c>
      <c r="M69" s="0">
        <f>IF(L69&lt;18,"新品期",IF(L69&lt;=36,"老品期","衰退期"))</f>
        <v/>
      </c>
    </row>
    <row r="70" ht="15" customFormat="1" customHeight="1" s="36">
      <c r="A70" s="4" t="inlineStr">
        <is>
          <t>Qinkell-US</t>
        </is>
      </c>
      <c r="B70" s="4" t="inlineStr">
        <is>
          <t>Qinkell美国站</t>
        </is>
      </c>
      <c r="C70" s="4">
        <f>B70&amp;D70</f>
        <v/>
      </c>
      <c r="D70" s="4" t="inlineStr">
        <is>
          <t>3004ORB QC1</t>
        </is>
      </c>
      <c r="E70" s="4" t="inlineStr">
        <is>
          <t>240F3004OB1</t>
        </is>
      </c>
      <c r="F70" s="4" t="inlineStr">
        <is>
          <t>3004二功能挂墙浴缸龙头拉丝古铜色</t>
        </is>
      </c>
      <c r="G70" s="4" t="inlineStr">
        <is>
          <t>朱艺璇</t>
        </is>
      </c>
      <c r="H70" s="4" t="inlineStr">
        <is>
          <t>缸边浴缸</t>
        </is>
      </c>
      <c r="I70" s="12" t="inlineStr">
        <is>
          <t>是</t>
        </is>
      </c>
      <c r="J70" s="34" t="n">
        <v>44999</v>
      </c>
      <c r="K70" s="34" t="n">
        <v>45097</v>
      </c>
      <c r="L70" s="0">
        <f>DATEDIF(J70,$L$1,"M")</f>
        <v/>
      </c>
      <c r="M70" s="0">
        <f>IF(L70&lt;18,"新品期",IF(L70&lt;=36,"老品期","衰退期"))</f>
        <v/>
      </c>
    </row>
    <row r="71" ht="15" customFormat="1" customHeight="1" s="36">
      <c r="A71" s="4" t="inlineStr">
        <is>
          <t>Jabbol-US</t>
        </is>
      </c>
      <c r="B71" s="4" t="inlineStr">
        <is>
          <t>Jabbol美国站</t>
        </is>
      </c>
      <c r="C71" s="4">
        <f>B71&amp;D71</f>
        <v/>
      </c>
      <c r="D71" s="4" t="inlineStr">
        <is>
          <t>3006BG JB1</t>
        </is>
      </c>
      <c r="E71" s="4" t="inlineStr">
        <is>
          <t>231F3006BG1</t>
        </is>
      </c>
      <c r="F71" s="4" t="inlineStr">
        <is>
          <t>3006二功能入墙浴缸龙头拉丝钛金封油</t>
        </is>
      </c>
      <c r="G71" s="4" t="inlineStr">
        <is>
          <t>朱艺璇</t>
        </is>
      </c>
      <c r="H71" s="4" t="inlineStr">
        <is>
          <t>缸边浴缸</t>
        </is>
      </c>
      <c r="I71" s="12" t="inlineStr">
        <is>
          <t>是</t>
        </is>
      </c>
      <c r="J71" s="34" t="n">
        <v>44999</v>
      </c>
      <c r="K71" s="34" t="n">
        <v>44999</v>
      </c>
      <c r="L71" s="0">
        <f>DATEDIF(J71,$L$1,"M")</f>
        <v/>
      </c>
      <c r="M71" s="0">
        <f>IF(L71&lt;18,"新品期",IF(L71&lt;=36,"老品期","衰退期"))</f>
        <v/>
      </c>
    </row>
    <row r="72" ht="15" customFormat="1" customHeight="1" s="36">
      <c r="A72" s="4" t="inlineStr">
        <is>
          <t>Jabbol-US</t>
        </is>
      </c>
      <c r="B72" s="4" t="inlineStr">
        <is>
          <t>Jabbol美国站</t>
        </is>
      </c>
      <c r="C72" s="4">
        <f>B72&amp;D72</f>
        <v/>
      </c>
      <c r="D72" s="4" t="inlineStr">
        <is>
          <t>3006BK JB1</t>
        </is>
      </c>
      <c r="E72" s="4" t="inlineStr">
        <is>
          <t>231F3006BK1</t>
        </is>
      </c>
      <c r="F72" s="4" t="inlineStr">
        <is>
          <t>3006二功能入墙浴缸龙头电泳黑</t>
        </is>
      </c>
      <c r="G72" s="4" t="inlineStr">
        <is>
          <t>朱艺璇</t>
        </is>
      </c>
      <c r="H72" s="4" t="inlineStr">
        <is>
          <t>缸边浴缸</t>
        </is>
      </c>
      <c r="I72" s="12" t="inlineStr">
        <is>
          <t>是</t>
        </is>
      </c>
      <c r="J72" s="34" t="n">
        <v>44999</v>
      </c>
      <c r="K72" s="34" t="n">
        <v>44999</v>
      </c>
      <c r="L72" s="0">
        <f>DATEDIF(J72,$L$1,"M")</f>
        <v/>
      </c>
      <c r="M72" s="0">
        <f>IF(L72&lt;18,"新品期",IF(L72&lt;=36,"老品期","衰退期"))</f>
        <v/>
      </c>
    </row>
    <row r="73" ht="15" customFormat="1" customHeight="1" s="36">
      <c r="A73" s="4" t="inlineStr">
        <is>
          <t>Jabbol-US</t>
        </is>
      </c>
      <c r="B73" s="4" t="inlineStr">
        <is>
          <t>Jabbol美国站</t>
        </is>
      </c>
      <c r="C73" s="4">
        <f>B73&amp;D73</f>
        <v/>
      </c>
      <c r="D73" s="4" t="inlineStr">
        <is>
          <t>3006BN JB1</t>
        </is>
      </c>
      <c r="E73" s="4" t="inlineStr">
        <is>
          <t>231F3006BN1</t>
        </is>
      </c>
      <c r="F73" s="4" t="inlineStr">
        <is>
          <t>3006二功能入墙浴缸龙头拉丝封半哑油</t>
        </is>
      </c>
      <c r="G73" s="4" t="inlineStr">
        <is>
          <t>朱艺璇</t>
        </is>
      </c>
      <c r="H73" s="4" t="inlineStr">
        <is>
          <t>缸边浴缸</t>
        </is>
      </c>
      <c r="I73" s="12" t="inlineStr">
        <is>
          <t>是</t>
        </is>
      </c>
      <c r="J73" s="34" t="n">
        <v>44999</v>
      </c>
      <c r="K73" s="34" t="n">
        <v>44999</v>
      </c>
      <c r="L73" s="0">
        <f>DATEDIF(J73,$L$1,"M")</f>
        <v/>
      </c>
      <c r="M73" s="0">
        <f>IF(L73&lt;18,"新品期",IF(L73&lt;=36,"老品期","衰退期"))</f>
        <v/>
      </c>
    </row>
    <row r="74" ht="15" customFormat="1" customHeight="1" s="36">
      <c r="A74" s="4" t="inlineStr">
        <is>
          <t>Jabbol-US</t>
        </is>
      </c>
      <c r="B74" s="4" t="inlineStr">
        <is>
          <t>Jabbol美国站</t>
        </is>
      </c>
      <c r="C74" s="4">
        <f>B74&amp;D74</f>
        <v/>
      </c>
      <c r="D74" s="4" t="inlineStr">
        <is>
          <t>3006CP JB1</t>
        </is>
      </c>
      <c r="E74" s="4" t="inlineStr">
        <is>
          <t>231F3006CP1</t>
        </is>
      </c>
      <c r="F74" s="4" t="inlineStr">
        <is>
          <t>3006二功能入墙浴缸龙头铬</t>
        </is>
      </c>
      <c r="G74" s="4" t="inlineStr">
        <is>
          <t>朱艺璇</t>
        </is>
      </c>
      <c r="H74" s="4" t="inlineStr">
        <is>
          <t>缸边浴缸</t>
        </is>
      </c>
      <c r="I74" s="12" t="inlineStr">
        <is>
          <t>是</t>
        </is>
      </c>
      <c r="J74" s="34" t="n">
        <v>44999</v>
      </c>
      <c r="K74" s="34" t="n">
        <v>44999</v>
      </c>
      <c r="L74" s="0">
        <f>DATEDIF(J74,$L$1,"M")</f>
        <v/>
      </c>
      <c r="M74" s="0">
        <f>IF(L74&lt;18,"新品期",IF(L74&lt;=36,"老品期","衰退期"))</f>
        <v/>
      </c>
    </row>
    <row r="75" ht="15" customFormat="1" customHeight="1" s="36">
      <c r="A75" s="4" t="inlineStr">
        <is>
          <t>Jabbol-US</t>
        </is>
      </c>
      <c r="B75" s="4" t="inlineStr">
        <is>
          <t>Jabbol美国站</t>
        </is>
      </c>
      <c r="C75" s="4">
        <f>B75&amp;D75</f>
        <v/>
      </c>
      <c r="D75" s="4" t="inlineStr">
        <is>
          <t>3006ORB JB1</t>
        </is>
      </c>
      <c r="E75" s="4" t="inlineStr">
        <is>
          <t>231F3006OB1</t>
        </is>
      </c>
      <c r="F75" s="4" t="inlineStr">
        <is>
          <t>3006二功能入墙浴缸龙头拉丝古铜色</t>
        </is>
      </c>
      <c r="G75" s="4" t="inlineStr">
        <is>
          <t>朱艺璇</t>
        </is>
      </c>
      <c r="H75" s="4" t="inlineStr">
        <is>
          <t>缸边浴缸</t>
        </is>
      </c>
      <c r="I75" s="12" t="inlineStr">
        <is>
          <t>是</t>
        </is>
      </c>
      <c r="J75" s="34" t="n">
        <v>44999</v>
      </c>
      <c r="K75" s="34" t="n">
        <v>44999</v>
      </c>
      <c r="L75" s="0">
        <f>DATEDIF(J75,$L$1,"M")</f>
        <v/>
      </c>
      <c r="M75" s="0">
        <f>IF(L75&lt;18,"新品期",IF(L75&lt;=36,"老品期","衰退期"))</f>
        <v/>
      </c>
    </row>
    <row r="76" ht="15" customFormat="1" customHeight="1" s="36">
      <c r="A76" s="4" t="inlineStr">
        <is>
          <t>Qinkell-US</t>
        </is>
      </c>
      <c r="B76" s="4" t="inlineStr">
        <is>
          <t>Qinkell美国站</t>
        </is>
      </c>
      <c r="C76" s="4">
        <f>B76&amp;D76</f>
        <v/>
      </c>
      <c r="D76" s="4" t="inlineStr">
        <is>
          <t>3007BG QC1</t>
        </is>
      </c>
      <c r="E76" s="4" t="inlineStr">
        <is>
          <t>230F3007BG4</t>
        </is>
      </c>
      <c r="F76" s="4" t="inlineStr">
        <is>
          <t>3007单功能入墙浴缸龙头拉丝钛金</t>
        </is>
      </c>
      <c r="G76" s="4" t="inlineStr">
        <is>
          <t>朱艺璇</t>
        </is>
      </c>
      <c r="H76" s="4" t="inlineStr">
        <is>
          <t>缸边浴缸</t>
        </is>
      </c>
      <c r="I76" s="12" t="inlineStr">
        <is>
          <t>是</t>
        </is>
      </c>
      <c r="J76" s="34" t="n">
        <v>44844</v>
      </c>
      <c r="K76" s="34" t="n">
        <v>44844</v>
      </c>
      <c r="L76" s="0">
        <f>DATEDIF(J76,$L$1,"M")</f>
        <v/>
      </c>
      <c r="M76" s="0">
        <f>IF(L76&lt;18,"新品期",IF(L76&lt;=36,"老品期","衰退期"))</f>
        <v/>
      </c>
    </row>
    <row r="77" ht="15" customFormat="1" customHeight="1" s="36">
      <c r="A77" s="4" t="inlineStr">
        <is>
          <t>Qinkell-CA</t>
        </is>
      </c>
      <c r="B77" s="4" t="inlineStr">
        <is>
          <t>Qinkell加拿大站</t>
        </is>
      </c>
      <c r="C77" s="4">
        <f>B77&amp;D77</f>
        <v/>
      </c>
      <c r="D77" s="4" t="inlineStr">
        <is>
          <t>3007BG QC1</t>
        </is>
      </c>
      <c r="E77" s="4" t="inlineStr">
        <is>
          <t>230F3007BG4</t>
        </is>
      </c>
      <c r="F77" s="4" t="inlineStr">
        <is>
          <t>3007单功能入墙浴缸龙头拉丝钛金</t>
        </is>
      </c>
      <c r="G77" s="4" t="inlineStr">
        <is>
          <t>朱艺璇</t>
        </is>
      </c>
      <c r="H77" s="4" t="inlineStr">
        <is>
          <t>缸边浴缸</t>
        </is>
      </c>
      <c r="I77" s="12" t="inlineStr">
        <is>
          <t>是</t>
        </is>
      </c>
      <c r="J77" s="34" t="n">
        <v>44844</v>
      </c>
      <c r="K77" s="34" t="n">
        <v>44844</v>
      </c>
      <c r="L77" s="0">
        <f>DATEDIF(J77,$L$1,"M")</f>
        <v/>
      </c>
      <c r="M77" s="0">
        <f>IF(L77&lt;18,"新品期",IF(L77&lt;=36,"老品期","衰退期"))</f>
        <v/>
      </c>
    </row>
    <row r="78" ht="15" customFormat="1" customHeight="1" s="36">
      <c r="A78" s="4" t="inlineStr">
        <is>
          <t>Qinkell-US</t>
        </is>
      </c>
      <c r="B78" s="4" t="inlineStr">
        <is>
          <t>Qinkell美国站</t>
        </is>
      </c>
      <c r="C78" s="4">
        <f>B78&amp;D78</f>
        <v/>
      </c>
      <c r="D78" s="4" t="inlineStr">
        <is>
          <t>3007BK QC1</t>
        </is>
      </c>
      <c r="E78" s="4" t="inlineStr">
        <is>
          <t>230F3007BK1</t>
        </is>
      </c>
      <c r="F78" s="4" t="inlineStr">
        <is>
          <t>3007单功能入墙浴缸龙头电泳黑</t>
        </is>
      </c>
      <c r="G78" s="4" t="inlineStr">
        <is>
          <t>朱艺璇</t>
        </is>
      </c>
      <c r="H78" s="4" t="inlineStr">
        <is>
          <t>缸边浴缸</t>
        </is>
      </c>
      <c r="I78" s="12" t="inlineStr">
        <is>
          <t>是</t>
        </is>
      </c>
      <c r="J78" s="34" t="n">
        <v>44844</v>
      </c>
      <c r="K78" s="34" t="n">
        <v>44844</v>
      </c>
      <c r="L78" s="0">
        <f>DATEDIF(J78,$L$1,"M")</f>
        <v/>
      </c>
      <c r="M78" s="0">
        <f>IF(L78&lt;18,"新品期",IF(L78&lt;=36,"老品期","衰退期"))</f>
        <v/>
      </c>
    </row>
    <row r="79" ht="15" customFormat="1" customHeight="1" s="36">
      <c r="A79" s="4" t="inlineStr">
        <is>
          <t>Qinkell-CA</t>
        </is>
      </c>
      <c r="B79" s="4" t="inlineStr">
        <is>
          <t>Qinkell加拿大站</t>
        </is>
      </c>
      <c r="C79" s="4">
        <f>B79&amp;D79</f>
        <v/>
      </c>
      <c r="D79" s="4" t="inlineStr">
        <is>
          <t>3007BK QC1</t>
        </is>
      </c>
      <c r="E79" s="4" t="inlineStr">
        <is>
          <t>230F3007BK1</t>
        </is>
      </c>
      <c r="F79" s="4" t="inlineStr">
        <is>
          <t>3007单功能入墙浴缸龙头电泳黑</t>
        </is>
      </c>
      <c r="G79" s="4" t="inlineStr">
        <is>
          <t>朱艺璇</t>
        </is>
      </c>
      <c r="H79" s="4" t="inlineStr">
        <is>
          <t>缸边浴缸</t>
        </is>
      </c>
      <c r="I79" s="12" t="inlineStr">
        <is>
          <t>是</t>
        </is>
      </c>
      <c r="J79" s="34" t="n">
        <v>44844</v>
      </c>
      <c r="K79" s="34" t="n">
        <v>44844</v>
      </c>
      <c r="L79" s="0">
        <f>DATEDIF(J79,$L$1,"M")</f>
        <v/>
      </c>
      <c r="M79" s="0">
        <f>IF(L79&lt;18,"新品期",IF(L79&lt;=36,"老品期","衰退期"))</f>
        <v/>
      </c>
    </row>
    <row r="80" ht="15" customFormat="1" customHeight="1" s="36">
      <c r="A80" s="4" t="inlineStr">
        <is>
          <t>Qinkell-US</t>
        </is>
      </c>
      <c r="B80" s="4" t="inlineStr">
        <is>
          <t>Qinkell美国站</t>
        </is>
      </c>
      <c r="C80" s="4">
        <f>B80&amp;D80</f>
        <v/>
      </c>
      <c r="D80" s="4" t="inlineStr">
        <is>
          <t>3007BN QC1</t>
        </is>
      </c>
      <c r="E80" s="4" t="inlineStr">
        <is>
          <t>230F3007BN3</t>
        </is>
      </c>
      <c r="F80" s="4" t="inlineStr">
        <is>
          <t>3007单功能入墙浴缸龙头拉丝PVD</t>
        </is>
      </c>
      <c r="G80" s="4" t="inlineStr">
        <is>
          <t>朱艺璇</t>
        </is>
      </c>
      <c r="H80" s="4" t="inlineStr">
        <is>
          <t>缸边浴缸</t>
        </is>
      </c>
      <c r="I80" s="12" t="inlineStr">
        <is>
          <t>是</t>
        </is>
      </c>
      <c r="J80" s="34" t="n">
        <v>44844</v>
      </c>
      <c r="K80" s="34" t="n">
        <v>44844</v>
      </c>
      <c r="L80" s="0">
        <f>DATEDIF(J80,$L$1,"M")</f>
        <v/>
      </c>
      <c r="M80" s="0">
        <f>IF(L80&lt;18,"新品期",IF(L80&lt;=36,"老品期","衰退期"))</f>
        <v/>
      </c>
    </row>
    <row r="81" ht="15" customFormat="1" customHeight="1" s="36">
      <c r="A81" s="4" t="inlineStr">
        <is>
          <t>Qinkell-CA</t>
        </is>
      </c>
      <c r="B81" s="4" t="inlineStr">
        <is>
          <t>Qinkell加拿大站</t>
        </is>
      </c>
      <c r="C81" s="4">
        <f>B81&amp;D81</f>
        <v/>
      </c>
      <c r="D81" s="4" t="inlineStr">
        <is>
          <t>3007BN QC1</t>
        </is>
      </c>
      <c r="E81" s="4" t="inlineStr">
        <is>
          <t>230F3007BN3</t>
        </is>
      </c>
      <c r="F81" s="4" t="inlineStr">
        <is>
          <t>3007单功能入墙浴缸龙头拉丝PVD</t>
        </is>
      </c>
      <c r="G81" s="4" t="inlineStr">
        <is>
          <t>朱艺璇</t>
        </is>
      </c>
      <c r="H81" s="4" t="inlineStr">
        <is>
          <t>缸边浴缸</t>
        </is>
      </c>
      <c r="I81" s="12" t="inlineStr">
        <is>
          <t>是</t>
        </is>
      </c>
      <c r="J81" s="34" t="n">
        <v>44844</v>
      </c>
      <c r="K81" s="34" t="n">
        <v>44844</v>
      </c>
      <c r="L81" s="0">
        <f>DATEDIF(J81,$L$1,"M")</f>
        <v/>
      </c>
      <c r="M81" s="0">
        <f>IF(L81&lt;18,"新品期",IF(L81&lt;=36,"老品期","衰退期"))</f>
        <v/>
      </c>
    </row>
    <row r="82" ht="15" customFormat="1" customHeight="1" s="36">
      <c r="A82" s="4" t="inlineStr">
        <is>
          <t>Qinkell-US</t>
        </is>
      </c>
      <c r="B82" s="4" t="inlineStr">
        <is>
          <t>Qinkell美国站</t>
        </is>
      </c>
      <c r="C82" s="4">
        <f>B82&amp;D82</f>
        <v/>
      </c>
      <c r="D82" s="4" t="inlineStr">
        <is>
          <t>3007CP QC1</t>
        </is>
      </c>
      <c r="E82" s="4" t="inlineStr">
        <is>
          <t>230F3007CP1</t>
        </is>
      </c>
      <c r="F82" s="4" t="inlineStr">
        <is>
          <t>3007单功能入墙浴缸龙头铬</t>
        </is>
      </c>
      <c r="G82" s="4" t="inlineStr">
        <is>
          <t>朱艺璇</t>
        </is>
      </c>
      <c r="H82" s="4" t="inlineStr">
        <is>
          <t>缸边浴缸</t>
        </is>
      </c>
      <c r="I82" s="12" t="inlineStr">
        <is>
          <t>是</t>
        </is>
      </c>
      <c r="J82" s="34" t="n">
        <v>44844</v>
      </c>
      <c r="K82" s="34" t="n">
        <v>44844</v>
      </c>
      <c r="L82" s="0">
        <f>DATEDIF(J82,$L$1,"M")</f>
        <v/>
      </c>
      <c r="M82" s="0">
        <f>IF(L82&lt;18,"新品期",IF(L82&lt;=36,"老品期","衰退期"))</f>
        <v/>
      </c>
    </row>
    <row r="83" ht="15" customFormat="1" customHeight="1" s="36">
      <c r="A83" s="4" t="inlineStr">
        <is>
          <t>Qinkell-US</t>
        </is>
      </c>
      <c r="B83" s="4" t="inlineStr">
        <is>
          <t>Qinkell美国站</t>
        </is>
      </c>
      <c r="C83" s="4">
        <f>B83&amp;D83</f>
        <v/>
      </c>
      <c r="D83" s="4" t="inlineStr">
        <is>
          <t>3007ORB QC1</t>
        </is>
      </c>
      <c r="E83" s="4" t="inlineStr">
        <is>
          <t>230F3007OB1</t>
        </is>
      </c>
      <c r="F83" s="4" t="inlineStr">
        <is>
          <t>3007单功能入墙浴缸龙头拉丝古铜色</t>
        </is>
      </c>
      <c r="G83" s="4" t="inlineStr">
        <is>
          <t>朱艺璇</t>
        </is>
      </c>
      <c r="H83" s="4" t="inlineStr">
        <is>
          <t>缸边浴缸</t>
        </is>
      </c>
      <c r="I83" s="12" t="inlineStr">
        <is>
          <t>是</t>
        </is>
      </c>
      <c r="J83" s="34" t="n">
        <v>44844</v>
      </c>
      <c r="K83" s="34" t="n">
        <v>44844</v>
      </c>
      <c r="L83" s="0">
        <f>DATEDIF(J83,$L$1,"M")</f>
        <v/>
      </c>
      <c r="M83" s="0">
        <f>IF(L83&lt;18,"新品期",IF(L83&lt;=36,"老品期","衰退期"))</f>
        <v/>
      </c>
    </row>
    <row r="84" ht="15" customFormat="1" customHeight="1" s="36">
      <c r="A84" s="4" t="inlineStr">
        <is>
          <t>Qinkell-US</t>
        </is>
      </c>
      <c r="B84" s="4" t="inlineStr">
        <is>
          <t>Qinkell美国站</t>
        </is>
      </c>
      <c r="C84" s="4">
        <f>B84&amp;D84</f>
        <v/>
      </c>
      <c r="D84" s="4" t="inlineStr">
        <is>
          <t>3008BG QC1</t>
        </is>
      </c>
      <c r="E84" s="4" t="inlineStr">
        <is>
          <t>230F3008BG4</t>
        </is>
      </c>
      <c r="F84" s="4" t="inlineStr">
        <is>
          <t>3008单功能入墙浴缸龙头拉丝钛金</t>
        </is>
      </c>
      <c r="G84" s="4" t="inlineStr">
        <is>
          <t>朱艺璇</t>
        </is>
      </c>
      <c r="H84" s="4" t="inlineStr">
        <is>
          <t>缸边浴缸</t>
        </is>
      </c>
      <c r="I84" s="12" t="inlineStr">
        <is>
          <t>是</t>
        </is>
      </c>
      <c r="J84" s="34" t="n">
        <v>44844</v>
      </c>
      <c r="K84" s="34" t="n">
        <v>44844</v>
      </c>
      <c r="L84" s="0">
        <f>DATEDIF(J84,$L$1,"M")</f>
        <v/>
      </c>
      <c r="M84" s="0">
        <f>IF(L84&lt;18,"新品期",IF(L84&lt;=36,"老品期","衰退期"))</f>
        <v/>
      </c>
    </row>
    <row r="85" ht="15" customFormat="1" customHeight="1" s="36">
      <c r="A85" s="4" t="inlineStr">
        <is>
          <t>Qinkell-US</t>
        </is>
      </c>
      <c r="B85" s="4" t="inlineStr">
        <is>
          <t>Qinkell美国站</t>
        </is>
      </c>
      <c r="C85" s="4">
        <f>B85&amp;D85</f>
        <v/>
      </c>
      <c r="D85" s="4" t="inlineStr">
        <is>
          <t>3008BK QC1</t>
        </is>
      </c>
      <c r="E85" s="4" t="inlineStr">
        <is>
          <t>230F3008BK1</t>
        </is>
      </c>
      <c r="F85" s="4" t="inlineStr">
        <is>
          <t>3008单功能入墙浴缸龙头电泳黑</t>
        </is>
      </c>
      <c r="G85" s="4" t="inlineStr">
        <is>
          <t>朱艺璇</t>
        </is>
      </c>
      <c r="H85" s="4" t="inlineStr">
        <is>
          <t>缸边浴缸</t>
        </is>
      </c>
      <c r="I85" s="12" t="inlineStr">
        <is>
          <t>是</t>
        </is>
      </c>
      <c r="J85" s="34" t="n">
        <v>44844</v>
      </c>
      <c r="K85" s="34" t="n">
        <v>44844</v>
      </c>
      <c r="L85" s="0">
        <f>DATEDIF(J85,$L$1,"M")</f>
        <v/>
      </c>
      <c r="M85" s="0">
        <f>IF(L85&lt;18,"新品期",IF(L85&lt;=36,"老品期","衰退期"))</f>
        <v/>
      </c>
    </row>
    <row r="86" ht="15" customFormat="1" customHeight="1" s="36">
      <c r="A86" s="4" t="inlineStr">
        <is>
          <t>Qinkell-US</t>
        </is>
      </c>
      <c r="B86" s="4" t="inlineStr">
        <is>
          <t>Qinkell美国站</t>
        </is>
      </c>
      <c r="C86" s="4">
        <f>B86&amp;D86</f>
        <v/>
      </c>
      <c r="D86" s="4" t="inlineStr">
        <is>
          <t>3008BN QC1</t>
        </is>
      </c>
      <c r="E86" s="4" t="inlineStr">
        <is>
          <t>230F3008BN3</t>
        </is>
      </c>
      <c r="F86" s="4" t="inlineStr">
        <is>
          <t>3008单功能入墙浴缸龙头拉丝PVD</t>
        </is>
      </c>
      <c r="G86" s="4" t="inlineStr">
        <is>
          <t>朱艺璇</t>
        </is>
      </c>
      <c r="H86" s="4" t="inlineStr">
        <is>
          <t>缸边浴缸</t>
        </is>
      </c>
      <c r="I86" s="12" t="inlineStr">
        <is>
          <t>是</t>
        </is>
      </c>
      <c r="J86" s="34" t="n">
        <v>44844</v>
      </c>
      <c r="K86" s="34" t="n">
        <v>44844</v>
      </c>
      <c r="L86" s="0">
        <f>DATEDIF(J86,$L$1,"M")</f>
        <v/>
      </c>
      <c r="M86" s="0">
        <f>IF(L86&lt;18,"新品期",IF(L86&lt;=36,"老品期","衰退期"))</f>
        <v/>
      </c>
    </row>
    <row r="87" ht="15" customFormat="1" customHeight="1" s="36">
      <c r="A87" s="4" t="inlineStr">
        <is>
          <t>Qinkell-US</t>
        </is>
      </c>
      <c r="B87" s="4" t="inlineStr">
        <is>
          <t>Qinkell美国站</t>
        </is>
      </c>
      <c r="C87" s="4">
        <f>B87&amp;D87</f>
        <v/>
      </c>
      <c r="D87" s="4" t="inlineStr">
        <is>
          <t>3008CP QC1</t>
        </is>
      </c>
      <c r="E87" s="4" t="inlineStr">
        <is>
          <t>230F3008CP1</t>
        </is>
      </c>
      <c r="F87" s="4" t="inlineStr">
        <is>
          <t>3008单功能入墙浴缸龙头铬</t>
        </is>
      </c>
      <c r="G87" s="4" t="inlineStr">
        <is>
          <t>朱艺璇</t>
        </is>
      </c>
      <c r="H87" s="4" t="inlineStr">
        <is>
          <t>缸边浴缸</t>
        </is>
      </c>
      <c r="I87" s="12" t="inlineStr">
        <is>
          <t>是</t>
        </is>
      </c>
      <c r="J87" s="34" t="n">
        <v>44844</v>
      </c>
      <c r="K87" s="34" t="n">
        <v>44844</v>
      </c>
      <c r="L87" s="0">
        <f>DATEDIF(J87,$L$1,"M")</f>
        <v/>
      </c>
      <c r="M87" s="0">
        <f>IF(L87&lt;18,"新品期",IF(L87&lt;=36,"老品期","衰退期"))</f>
        <v/>
      </c>
    </row>
    <row r="88" ht="15" customFormat="1" customHeight="1" s="36">
      <c r="A88" s="4" t="inlineStr">
        <is>
          <t>Qinkell-US</t>
        </is>
      </c>
      <c r="B88" s="4" t="inlineStr">
        <is>
          <t>Qinkell美国站</t>
        </is>
      </c>
      <c r="C88" s="4">
        <f>B88&amp;D88</f>
        <v/>
      </c>
      <c r="D88" s="4" t="inlineStr">
        <is>
          <t>3008ORB QC1</t>
        </is>
      </c>
      <c r="E88" s="4" t="inlineStr">
        <is>
          <t>230F3008OB1</t>
        </is>
      </c>
      <c r="F88" s="4" t="inlineStr">
        <is>
          <t>3008单功能入墙浴缸龙头拉丝古铜色</t>
        </is>
      </c>
      <c r="G88" s="4" t="inlineStr">
        <is>
          <t>朱艺璇</t>
        </is>
      </c>
      <c r="H88" s="4" t="inlineStr">
        <is>
          <t>缸边浴缸</t>
        </is>
      </c>
      <c r="I88" s="12" t="inlineStr">
        <is>
          <t>是</t>
        </is>
      </c>
      <c r="J88" s="34" t="n">
        <v>44844</v>
      </c>
      <c r="K88" s="34" t="n">
        <v>44844</v>
      </c>
      <c r="L88" s="0">
        <f>DATEDIF(J88,$L$1,"M")</f>
        <v/>
      </c>
      <c r="M88" s="0">
        <f>IF(L88&lt;18,"新品期",IF(L88&lt;=36,"老品期","衰退期"))</f>
        <v/>
      </c>
    </row>
    <row r="89" ht="15" customFormat="1" customHeight="1" s="36">
      <c r="A89" s="4" t="inlineStr">
        <is>
          <t>Qinkell-US</t>
        </is>
      </c>
      <c r="B89" s="4" t="inlineStr">
        <is>
          <t>Qinkell美国站</t>
        </is>
      </c>
      <c r="C89" s="4">
        <f>B89&amp;D89</f>
        <v/>
      </c>
      <c r="D89" s="4" t="inlineStr">
        <is>
          <t>3011BG QC1</t>
        </is>
      </c>
      <c r="E89" s="4" t="inlineStr">
        <is>
          <t>230F3011BG1</t>
        </is>
      </c>
      <c r="F89" s="4" t="inlineStr">
        <is>
          <t>3011单功能入墙浴缸龙头拉丝钛金封油</t>
        </is>
      </c>
      <c r="G89" s="4" t="inlineStr">
        <is>
          <t>朱艺璇</t>
        </is>
      </c>
      <c r="H89" s="4" t="inlineStr">
        <is>
          <t>缸边浴缸</t>
        </is>
      </c>
      <c r="I89" s="12" t="inlineStr">
        <is>
          <t>否</t>
        </is>
      </c>
      <c r="J89" s="34" t="n">
        <v>44552</v>
      </c>
      <c r="K89" s="34" t="n">
        <v>44599</v>
      </c>
      <c r="L89" s="0">
        <f>DATEDIF(J89,$L$1,"M")</f>
        <v/>
      </c>
      <c r="M89" s="0">
        <f>IF(L89&lt;18,"新品期",IF(L89&lt;=36,"老品期","衰退期"))</f>
        <v/>
      </c>
    </row>
    <row r="90" ht="15" customFormat="1" customHeight="1" s="36">
      <c r="A90" s="4" t="inlineStr">
        <is>
          <t>Qinkell-US</t>
        </is>
      </c>
      <c r="B90" s="4" t="inlineStr">
        <is>
          <t>Qinkell美国站</t>
        </is>
      </c>
      <c r="C90" s="4">
        <f>B90&amp;D90</f>
        <v/>
      </c>
      <c r="D90" s="4" t="inlineStr">
        <is>
          <t>3011BK-QC1</t>
        </is>
      </c>
      <c r="E90" s="4" t="inlineStr">
        <is>
          <t>230F3011BK1</t>
        </is>
      </c>
      <c r="F90" s="4" t="inlineStr">
        <is>
          <t>3011单功能入墙浴缸龙头电泳黑</t>
        </is>
      </c>
      <c r="G90" s="4" t="inlineStr">
        <is>
          <t>朱艺璇</t>
        </is>
      </c>
      <c r="H90" s="4" t="inlineStr">
        <is>
          <t>缸边浴缸</t>
        </is>
      </c>
      <c r="I90" s="12" t="inlineStr">
        <is>
          <t>否</t>
        </is>
      </c>
      <c r="J90" s="34" t="n">
        <v>44552</v>
      </c>
      <c r="K90" s="34" t="n">
        <v>44599</v>
      </c>
      <c r="L90" s="0">
        <f>DATEDIF(J90,$L$1,"M")</f>
        <v/>
      </c>
      <c r="M90" s="0">
        <f>IF(L90&lt;18,"新品期",IF(L90&lt;=36,"老品期","衰退期"))</f>
        <v/>
      </c>
    </row>
    <row r="91" ht="15" customFormat="1" customHeight="1" s="36">
      <c r="A91" s="4" t="inlineStr">
        <is>
          <t>Qinkell-CA</t>
        </is>
      </c>
      <c r="B91" s="4" t="inlineStr">
        <is>
          <t>Qinkell加拿大站</t>
        </is>
      </c>
      <c r="C91" s="4">
        <f>B91&amp;D91</f>
        <v/>
      </c>
      <c r="D91" s="4" t="inlineStr">
        <is>
          <t>3011BK-QC1</t>
        </is>
      </c>
      <c r="E91" s="4" t="inlineStr">
        <is>
          <t>230F3011BK1</t>
        </is>
      </c>
      <c r="F91" s="4" t="inlineStr">
        <is>
          <t>3011单功能入墙浴缸龙头电泳黑</t>
        </is>
      </c>
      <c r="G91" s="4" t="inlineStr">
        <is>
          <t>朱艺璇</t>
        </is>
      </c>
      <c r="H91" s="4" t="inlineStr">
        <is>
          <t>缸边浴缸</t>
        </is>
      </c>
      <c r="I91" s="12" t="inlineStr">
        <is>
          <t>否</t>
        </is>
      </c>
      <c r="J91" s="34" t="n">
        <v>44552</v>
      </c>
      <c r="K91" s="34" t="n">
        <v>44599</v>
      </c>
      <c r="L91" s="0">
        <f>DATEDIF(J91,$L$1,"M")</f>
        <v/>
      </c>
      <c r="M91" s="0">
        <f>IF(L91&lt;18,"新品期",IF(L91&lt;=36,"老品期","衰退期"))</f>
        <v/>
      </c>
    </row>
    <row r="92" ht="15" customFormat="1" customHeight="1" s="36">
      <c r="A92" s="4" t="inlineStr">
        <is>
          <t>Qinkell-US</t>
        </is>
      </c>
      <c r="B92" s="4" t="inlineStr">
        <is>
          <t>Qinkell美国站</t>
        </is>
      </c>
      <c r="C92" s="4">
        <f>B92&amp;D92</f>
        <v/>
      </c>
      <c r="D92" s="4" t="inlineStr">
        <is>
          <t>3011BN QC1</t>
        </is>
      </c>
      <c r="E92" s="4" t="inlineStr">
        <is>
          <t>230F3011BN1</t>
        </is>
      </c>
      <c r="F92" s="4" t="inlineStr">
        <is>
          <t>3011单功能入墙浴缸龙头拉丝封半哑油</t>
        </is>
      </c>
      <c r="G92" s="4" t="inlineStr">
        <is>
          <t>朱艺璇</t>
        </is>
      </c>
      <c r="H92" s="4" t="inlineStr">
        <is>
          <t>缸边浴缸</t>
        </is>
      </c>
      <c r="I92" s="12" t="inlineStr">
        <is>
          <t>否</t>
        </is>
      </c>
      <c r="J92" s="34" t="n">
        <v>44552</v>
      </c>
      <c r="K92" s="34" t="n">
        <v>44599</v>
      </c>
      <c r="L92" s="0">
        <f>DATEDIF(J92,$L$1,"M")</f>
        <v/>
      </c>
      <c r="M92" s="0">
        <f>IF(L92&lt;18,"新品期",IF(L92&lt;=36,"老品期","衰退期"))</f>
        <v/>
      </c>
    </row>
    <row r="93" ht="15" customFormat="1" customHeight="1" s="36">
      <c r="A93" s="4" t="inlineStr">
        <is>
          <t>Qinkell-CA</t>
        </is>
      </c>
      <c r="B93" s="4" t="inlineStr">
        <is>
          <t>Qinkell加拿大站</t>
        </is>
      </c>
      <c r="C93" s="4">
        <f>B93&amp;D93</f>
        <v/>
      </c>
      <c r="D93" s="4" t="inlineStr">
        <is>
          <t>3011BN QC1</t>
        </is>
      </c>
      <c r="E93" s="4" t="inlineStr">
        <is>
          <t>230F3011BN1</t>
        </is>
      </c>
      <c r="F93" s="4" t="inlineStr">
        <is>
          <t>3011单功能入墙浴缸龙头拉丝封半哑油</t>
        </is>
      </c>
      <c r="G93" s="4" t="inlineStr">
        <is>
          <t>朱艺璇</t>
        </is>
      </c>
      <c r="H93" s="4" t="inlineStr">
        <is>
          <t>缸边浴缸</t>
        </is>
      </c>
      <c r="I93" s="12" t="inlineStr">
        <is>
          <t>否</t>
        </is>
      </c>
      <c r="J93" s="34" t="n">
        <v>44552</v>
      </c>
      <c r="K93" s="34" t="n">
        <v>44599</v>
      </c>
      <c r="L93" s="0">
        <f>DATEDIF(J93,$L$1,"M")</f>
        <v/>
      </c>
      <c r="M93" s="0">
        <f>IF(L93&lt;18,"新品期",IF(L93&lt;=36,"老品期","衰退期"))</f>
        <v/>
      </c>
    </row>
    <row r="94" ht="15" customFormat="1" customHeight="1" s="36">
      <c r="A94" s="4" t="inlineStr">
        <is>
          <t>Qinkell-US</t>
        </is>
      </c>
      <c r="B94" s="4" t="inlineStr">
        <is>
          <t>Qinkell美国站</t>
        </is>
      </c>
      <c r="C94" s="4">
        <f>B94&amp;D94</f>
        <v/>
      </c>
      <c r="D94" s="4" t="inlineStr">
        <is>
          <t>3011CP QC1</t>
        </is>
      </c>
      <c r="E94" s="4" t="inlineStr">
        <is>
          <t>230F3011CP1</t>
        </is>
      </c>
      <c r="F94" s="4" t="inlineStr">
        <is>
          <t>3011单功能入墙浴缸龙头铬</t>
        </is>
      </c>
      <c r="G94" s="4" t="inlineStr">
        <is>
          <t>朱艺璇</t>
        </is>
      </c>
      <c r="H94" s="4" t="inlineStr">
        <is>
          <t>缸边浴缸</t>
        </is>
      </c>
      <c r="I94" s="12" t="inlineStr">
        <is>
          <t>否</t>
        </is>
      </c>
      <c r="J94" s="34" t="n">
        <v>44552</v>
      </c>
      <c r="K94" s="34" t="n">
        <v>44599</v>
      </c>
      <c r="L94" s="0">
        <f>DATEDIF(J94,$L$1,"M")</f>
        <v/>
      </c>
      <c r="M94" s="0">
        <f>IF(L94&lt;18,"新品期",IF(L94&lt;=36,"老品期","衰退期"))</f>
        <v/>
      </c>
    </row>
    <row r="95" ht="15" customFormat="1" customHeight="1" s="36">
      <c r="A95" s="4" t="inlineStr">
        <is>
          <t>Qinkell-CA</t>
        </is>
      </c>
      <c r="B95" s="4" t="inlineStr">
        <is>
          <t>Qinkell加拿大站</t>
        </is>
      </c>
      <c r="C95" s="4">
        <f>B95&amp;D95</f>
        <v/>
      </c>
      <c r="D95" s="4" t="inlineStr">
        <is>
          <t>3011CP QC1</t>
        </is>
      </c>
      <c r="E95" s="4" t="inlineStr">
        <is>
          <t>230F3011CP1</t>
        </is>
      </c>
      <c r="F95" s="4" t="inlineStr">
        <is>
          <t>3011单功能入墙浴缸龙头铬</t>
        </is>
      </c>
      <c r="G95" s="4" t="inlineStr">
        <is>
          <t>朱艺璇</t>
        </is>
      </c>
      <c r="H95" s="4" t="inlineStr">
        <is>
          <t>缸边浴缸</t>
        </is>
      </c>
      <c r="I95" s="12" t="inlineStr">
        <is>
          <t>否</t>
        </is>
      </c>
      <c r="J95" s="34" t="n">
        <v>44552</v>
      </c>
      <c r="K95" s="34" t="n">
        <v>44599</v>
      </c>
      <c r="L95" s="0">
        <f>DATEDIF(J95,$L$1,"M")</f>
        <v/>
      </c>
      <c r="M95" s="0">
        <f>IF(L95&lt;18,"新品期",IF(L95&lt;=36,"老品期","衰退期"))</f>
        <v/>
      </c>
    </row>
    <row r="96" ht="15" customFormat="1" customHeight="1" s="36">
      <c r="A96" s="4" t="inlineStr">
        <is>
          <t>Qinkell-US</t>
        </is>
      </c>
      <c r="B96" s="4" t="inlineStr">
        <is>
          <t>Qinkell美国站</t>
        </is>
      </c>
      <c r="C96" s="4">
        <f>B96&amp;D96</f>
        <v/>
      </c>
      <c r="D96" s="4" t="inlineStr">
        <is>
          <t>3011ORB QC1</t>
        </is>
      </c>
      <c r="E96" s="4" t="inlineStr">
        <is>
          <t>230F3011OB1</t>
        </is>
      </c>
      <c r="F96" s="4" t="inlineStr">
        <is>
          <t>3011单功能入墙浴缸龙头拉丝古铜色</t>
        </is>
      </c>
      <c r="G96" s="4" t="inlineStr">
        <is>
          <t>朱艺璇</t>
        </is>
      </c>
      <c r="H96" s="4" t="inlineStr">
        <is>
          <t>缸边浴缸</t>
        </is>
      </c>
      <c r="I96" s="12" t="inlineStr">
        <is>
          <t>否</t>
        </is>
      </c>
      <c r="J96" s="34" t="n">
        <v>44552</v>
      </c>
      <c r="K96" s="34" t="n">
        <v>44599</v>
      </c>
      <c r="L96" s="0">
        <f>DATEDIF(J96,$L$1,"M")</f>
        <v/>
      </c>
      <c r="M96" s="0">
        <f>IF(L96&lt;18,"新品期",IF(L96&lt;=36,"老品期","衰退期"))</f>
        <v/>
      </c>
    </row>
    <row r="97" ht="15" customFormat="1" customHeight="1" s="36">
      <c r="A97" s="4" t="inlineStr">
        <is>
          <t>Qinkell-US</t>
        </is>
      </c>
      <c r="B97" s="4" t="inlineStr">
        <is>
          <t>Qinkell美国站</t>
        </is>
      </c>
      <c r="C97" s="4">
        <f>B97&amp;D97</f>
        <v/>
      </c>
      <c r="D97" s="4" t="inlineStr">
        <is>
          <t>3012BG QC1</t>
        </is>
      </c>
      <c r="E97" s="4" t="inlineStr">
        <is>
          <t>230F3012BG1</t>
        </is>
      </c>
      <c r="F97" s="4" t="inlineStr">
        <is>
          <t>3012单功能入墙浴缸龙头拉丝钛金封油</t>
        </is>
      </c>
      <c r="G97" s="4" t="inlineStr">
        <is>
          <t>朱艺璇</t>
        </is>
      </c>
      <c r="H97" s="4" t="inlineStr">
        <is>
          <t>缸边浴缸</t>
        </is>
      </c>
      <c r="I97" s="12" t="inlineStr">
        <is>
          <t>否</t>
        </is>
      </c>
      <c r="J97" s="34" t="n">
        <v>44552</v>
      </c>
      <c r="K97" s="34" t="n">
        <v>44600</v>
      </c>
      <c r="L97" s="0">
        <f>DATEDIF(J97,$L$1,"M")</f>
        <v/>
      </c>
      <c r="M97" s="0">
        <f>IF(L97&lt;18,"新品期",IF(L97&lt;=36,"老品期","衰退期"))</f>
        <v/>
      </c>
    </row>
    <row r="98" ht="15" customFormat="1" customHeight="1" s="36">
      <c r="A98" s="4" t="inlineStr">
        <is>
          <t>Qinkell-CA</t>
        </is>
      </c>
      <c r="B98" s="4" t="inlineStr">
        <is>
          <t>Qinkell加拿大站</t>
        </is>
      </c>
      <c r="C98" s="4">
        <f>B98&amp;D98</f>
        <v/>
      </c>
      <c r="D98" s="4" t="inlineStr">
        <is>
          <t>3012BG QC1</t>
        </is>
      </c>
      <c r="E98" s="4" t="inlineStr">
        <is>
          <t>230F3012BG1</t>
        </is>
      </c>
      <c r="F98" s="4" t="inlineStr">
        <is>
          <t>3012单功能入墙浴缸龙头拉丝钛金封油</t>
        </is>
      </c>
      <c r="G98" s="4" t="inlineStr">
        <is>
          <t>朱艺璇</t>
        </is>
      </c>
      <c r="H98" s="4" t="inlineStr">
        <is>
          <t>缸边浴缸</t>
        </is>
      </c>
      <c r="I98" s="12" t="inlineStr">
        <is>
          <t>否</t>
        </is>
      </c>
      <c r="J98" s="34" t="n">
        <v>44552</v>
      </c>
      <c r="K98" s="34" t="n">
        <v>44600</v>
      </c>
      <c r="L98" s="0">
        <f>DATEDIF(J98,$L$1,"M")</f>
        <v/>
      </c>
      <c r="M98" s="0">
        <f>IF(L98&lt;18,"新品期",IF(L98&lt;=36,"老品期","衰退期"))</f>
        <v/>
      </c>
    </row>
    <row r="99" ht="15" customFormat="1" customHeight="1" s="36">
      <c r="A99" s="4" t="inlineStr">
        <is>
          <t>Qinkell-US</t>
        </is>
      </c>
      <c r="B99" s="4" t="inlineStr">
        <is>
          <t>Qinkell美国站</t>
        </is>
      </c>
      <c r="C99" s="4">
        <f>B99&amp;D99</f>
        <v/>
      </c>
      <c r="D99" s="4" t="inlineStr">
        <is>
          <t>3012BK QC1</t>
        </is>
      </c>
      <c r="E99" s="4" t="inlineStr">
        <is>
          <t>230F3012BK1</t>
        </is>
      </c>
      <c r="F99" s="4" t="inlineStr">
        <is>
          <t>3012单功能入墙浴缸龙头电泳黑</t>
        </is>
      </c>
      <c r="G99" s="4" t="inlineStr">
        <is>
          <t>朱艺璇</t>
        </is>
      </c>
      <c r="H99" s="4" t="inlineStr">
        <is>
          <t>缸边浴缸</t>
        </is>
      </c>
      <c r="I99" s="12" t="inlineStr">
        <is>
          <t>否</t>
        </is>
      </c>
      <c r="J99" s="34" t="n">
        <v>44552</v>
      </c>
      <c r="K99" s="34" t="n">
        <v>44600</v>
      </c>
      <c r="L99" s="0">
        <f>DATEDIF(J99,$L$1,"M")</f>
        <v/>
      </c>
      <c r="M99" s="0">
        <f>IF(L99&lt;18,"新品期",IF(L99&lt;=36,"老品期","衰退期"))</f>
        <v/>
      </c>
    </row>
    <row r="100" ht="15" customFormat="1" customHeight="1" s="36">
      <c r="A100" s="4" t="inlineStr">
        <is>
          <t>Qinkell-US</t>
        </is>
      </c>
      <c r="B100" s="4" t="inlineStr">
        <is>
          <t>Qinkell美国站</t>
        </is>
      </c>
      <c r="C100" s="4">
        <f>B100&amp;D100</f>
        <v/>
      </c>
      <c r="D100" s="4" t="inlineStr">
        <is>
          <t>3012BN QC1</t>
        </is>
      </c>
      <c r="E100" s="4" t="inlineStr">
        <is>
          <t>230F3012BN1</t>
        </is>
      </c>
      <c r="F100" s="4" t="inlineStr">
        <is>
          <t>3012单功能入墙浴缸龙头拉丝封半哑油</t>
        </is>
      </c>
      <c r="G100" s="4" t="inlineStr">
        <is>
          <t>朱艺璇</t>
        </is>
      </c>
      <c r="H100" s="4" t="inlineStr">
        <is>
          <t>缸边浴缸</t>
        </is>
      </c>
      <c r="I100" s="12" t="inlineStr">
        <is>
          <t>否</t>
        </is>
      </c>
      <c r="J100" s="34" t="n">
        <v>44552</v>
      </c>
      <c r="K100" s="34" t="n">
        <v>44600</v>
      </c>
      <c r="L100" s="0">
        <f>DATEDIF(J100,$L$1,"M")</f>
        <v/>
      </c>
      <c r="M100" s="0">
        <f>IF(L100&lt;18,"新品期",IF(L100&lt;=36,"老品期","衰退期"))</f>
        <v/>
      </c>
    </row>
    <row r="101" ht="15" customFormat="1" customHeight="1" s="36">
      <c r="A101" s="4" t="inlineStr">
        <is>
          <t>Qinkell-US</t>
        </is>
      </c>
      <c r="B101" s="4" t="inlineStr">
        <is>
          <t>Qinkell美国站</t>
        </is>
      </c>
      <c r="C101" s="4">
        <f>B101&amp;D101</f>
        <v/>
      </c>
      <c r="D101" s="4" t="inlineStr">
        <is>
          <t>3012BN-QC1</t>
        </is>
      </c>
      <c r="E101" s="4" t="inlineStr">
        <is>
          <t>230F3012BN1</t>
        </is>
      </c>
      <c r="F101" s="4" t="inlineStr">
        <is>
          <t>3012单功能入墙浴缸龙头拉丝封半哑油</t>
        </is>
      </c>
      <c r="G101" s="4" t="inlineStr">
        <is>
          <t>朱艺璇</t>
        </is>
      </c>
      <c r="H101" s="4" t="inlineStr">
        <is>
          <t>缸边浴缸</t>
        </is>
      </c>
      <c r="I101" s="12" t="inlineStr">
        <is>
          <t>否</t>
        </is>
      </c>
      <c r="J101" s="34" t="n">
        <v>44552</v>
      </c>
      <c r="K101" s="34" t="n">
        <v>44600</v>
      </c>
      <c r="L101" s="0">
        <f>DATEDIF(J101,$L$1,"M")</f>
        <v/>
      </c>
      <c r="M101" s="0">
        <f>IF(L101&lt;18,"新品期",IF(L101&lt;=36,"老品期","衰退期"))</f>
        <v/>
      </c>
    </row>
    <row r="102" ht="15" customFormat="1" customHeight="1" s="36">
      <c r="A102" s="4" t="inlineStr">
        <is>
          <t>Qinkell-US</t>
        </is>
      </c>
      <c r="B102" s="4" t="inlineStr">
        <is>
          <t>Qinkell美国站</t>
        </is>
      </c>
      <c r="C102" s="4">
        <f>B102&amp;D102</f>
        <v/>
      </c>
      <c r="D102" s="4" t="inlineStr">
        <is>
          <t>3012CP QC1</t>
        </is>
      </c>
      <c r="E102" s="4" t="inlineStr">
        <is>
          <t>230F3012CP1</t>
        </is>
      </c>
      <c r="F102" s="4" t="inlineStr">
        <is>
          <t>3012单功能入墙浴缸龙头铬</t>
        </is>
      </c>
      <c r="G102" s="4" t="inlineStr">
        <is>
          <t>朱艺璇</t>
        </is>
      </c>
      <c r="H102" s="4" t="inlineStr">
        <is>
          <t>缸边浴缸</t>
        </is>
      </c>
      <c r="I102" s="12" t="inlineStr">
        <is>
          <t>否</t>
        </is>
      </c>
      <c r="J102" s="34" t="n">
        <v>44552</v>
      </c>
      <c r="K102" s="34" t="n">
        <v>44600</v>
      </c>
      <c r="L102" s="0">
        <f>DATEDIF(J102,$L$1,"M")</f>
        <v/>
      </c>
      <c r="M102" s="0">
        <f>IF(L102&lt;18,"新品期",IF(L102&lt;=36,"老品期","衰退期"))</f>
        <v/>
      </c>
    </row>
    <row r="103" ht="15" customFormat="1" customHeight="1" s="36">
      <c r="A103" s="4" t="inlineStr">
        <is>
          <t>Qinkell-CA</t>
        </is>
      </c>
      <c r="B103" s="4" t="inlineStr">
        <is>
          <t>Qinkell加拿大站</t>
        </is>
      </c>
      <c r="C103" s="4">
        <f>B103&amp;D103</f>
        <v/>
      </c>
      <c r="D103" s="4" t="inlineStr">
        <is>
          <t>3012CP QC1</t>
        </is>
      </c>
      <c r="E103" s="4" t="inlineStr">
        <is>
          <t>230F3012CP1</t>
        </is>
      </c>
      <c r="F103" s="4" t="inlineStr">
        <is>
          <t>3012单功能入墙浴缸龙头铬</t>
        </is>
      </c>
      <c r="G103" s="4" t="inlineStr">
        <is>
          <t>朱艺璇</t>
        </is>
      </c>
      <c r="H103" s="4" t="inlineStr">
        <is>
          <t>缸边浴缸</t>
        </is>
      </c>
      <c r="I103" s="12" t="inlineStr">
        <is>
          <t>否</t>
        </is>
      </c>
      <c r="J103" s="34" t="n">
        <v>44552</v>
      </c>
      <c r="K103" s="34" t="n">
        <v>44600</v>
      </c>
      <c r="L103" s="0">
        <f>DATEDIF(J103,$L$1,"M")</f>
        <v/>
      </c>
      <c r="M103" s="0">
        <f>IF(L103&lt;18,"新品期",IF(L103&lt;=36,"老品期","衰退期"))</f>
        <v/>
      </c>
    </row>
    <row r="104" ht="15" customFormat="1" customHeight="1" s="36">
      <c r="A104" s="4" t="inlineStr">
        <is>
          <t>Qinkell-US</t>
        </is>
      </c>
      <c r="B104" s="4" t="inlineStr">
        <is>
          <t>Qinkell美国站</t>
        </is>
      </c>
      <c r="C104" s="4">
        <f>B104&amp;D104</f>
        <v/>
      </c>
      <c r="D104" s="4" t="inlineStr">
        <is>
          <t>3012ORB QC1</t>
        </is>
      </c>
      <c r="E104" s="4" t="inlineStr">
        <is>
          <t>230F3012OB1</t>
        </is>
      </c>
      <c r="F104" s="4" t="inlineStr">
        <is>
          <t>3012单功能入墙浴缸龙头拉丝古铜色</t>
        </is>
      </c>
      <c r="G104" s="4" t="inlineStr">
        <is>
          <t>朱艺璇</t>
        </is>
      </c>
      <c r="H104" s="4" t="inlineStr">
        <is>
          <t>缸边浴缸</t>
        </is>
      </c>
      <c r="I104" s="12" t="inlineStr">
        <is>
          <t>否</t>
        </is>
      </c>
      <c r="J104" s="34" t="n">
        <v>44552</v>
      </c>
      <c r="K104" s="34" t="n">
        <v>44600</v>
      </c>
      <c r="L104" s="0">
        <f>DATEDIF(J104,$L$1,"M")</f>
        <v/>
      </c>
      <c r="M104" s="0">
        <f>IF(L104&lt;18,"新品期",IF(L104&lt;=36,"老品期","衰退期"))</f>
        <v/>
      </c>
    </row>
    <row r="105" ht="15" customFormat="1" customHeight="1" s="36">
      <c r="A105" s="4" t="inlineStr">
        <is>
          <t>Qinkell-CA</t>
        </is>
      </c>
      <c r="B105" s="4" t="inlineStr">
        <is>
          <t>Qinkell加拿大站</t>
        </is>
      </c>
      <c r="C105" s="4">
        <f>B105&amp;D105</f>
        <v/>
      </c>
      <c r="D105" s="4" t="inlineStr">
        <is>
          <t>3012ORB QC1</t>
        </is>
      </c>
      <c r="E105" s="4" t="inlineStr">
        <is>
          <t>230F3012OB1</t>
        </is>
      </c>
      <c r="F105" s="4" t="inlineStr">
        <is>
          <t>3012单功能入墙浴缸龙头拉丝古铜色</t>
        </is>
      </c>
      <c r="G105" s="4" t="inlineStr">
        <is>
          <t>朱艺璇</t>
        </is>
      </c>
      <c r="H105" s="4" t="inlineStr">
        <is>
          <t>缸边浴缸</t>
        </is>
      </c>
      <c r="I105" s="12" t="inlineStr">
        <is>
          <t>否</t>
        </is>
      </c>
      <c r="J105" s="34" t="n">
        <v>44552</v>
      </c>
      <c r="K105" s="34" t="n">
        <v>44600</v>
      </c>
      <c r="L105" s="0">
        <f>DATEDIF(J105,$L$1,"M")</f>
        <v/>
      </c>
      <c r="M105" s="0">
        <f>IF(L105&lt;18,"新品期",IF(L105&lt;=36,"老品期","衰退期"))</f>
        <v/>
      </c>
    </row>
    <row r="106" ht="15" customFormat="1" customHeight="1" s="36">
      <c r="A106" s="4" t="inlineStr">
        <is>
          <t>Hanallx-US</t>
        </is>
      </c>
      <c r="B106" s="4" t="inlineStr">
        <is>
          <t>Hanallx美国站</t>
        </is>
      </c>
      <c r="C106" s="4">
        <f>B106&amp;D106</f>
        <v/>
      </c>
      <c r="D106" s="4" t="inlineStr">
        <is>
          <t>5001BG HM1</t>
        </is>
      </c>
      <c r="E106" s="4" t="inlineStr">
        <is>
          <t>223F5001BG4</t>
        </is>
      </c>
      <c r="F106" s="4" t="inlineStr">
        <is>
          <t>5001五件套缸边浴缸龙头拉丝钛金</t>
        </is>
      </c>
      <c r="G106" s="4" t="inlineStr">
        <is>
          <t>朱艺璇</t>
        </is>
      </c>
      <c r="H106" s="4" t="inlineStr">
        <is>
          <t>缸边浴缸</t>
        </is>
      </c>
      <c r="I106" s="12" t="inlineStr">
        <is>
          <t>是</t>
        </is>
      </c>
      <c r="J106" s="34" t="n">
        <v>44208</v>
      </c>
      <c r="K106" s="34" t="n">
        <v>44283</v>
      </c>
      <c r="L106" s="0">
        <f>DATEDIF(J106,$L$1,"M")</f>
        <v/>
      </c>
      <c r="M106" s="0">
        <f>IF(L106&lt;18,"新品期",IF(L106&lt;=36,"老品期","衰退期"))</f>
        <v/>
      </c>
    </row>
    <row r="107" ht="15" customFormat="1" customHeight="1" s="36">
      <c r="A107" s="4" t="inlineStr">
        <is>
          <t>Hanallx-US</t>
        </is>
      </c>
      <c r="B107" s="4" t="inlineStr">
        <is>
          <t>Hanallx美国站</t>
        </is>
      </c>
      <c r="C107" s="4">
        <f>B107&amp;D107</f>
        <v/>
      </c>
      <c r="D107" s="4" t="inlineStr">
        <is>
          <t>5001BK HM1</t>
        </is>
      </c>
      <c r="E107" s="4" t="inlineStr">
        <is>
          <t>223F5001BK1</t>
        </is>
      </c>
      <c r="F107" s="4" t="inlineStr">
        <is>
          <t>5001五件套缸边浴缸龙头电泳黑</t>
        </is>
      </c>
      <c r="G107" s="4" t="inlineStr">
        <is>
          <t>朱艺璇</t>
        </is>
      </c>
      <c r="H107" s="4" t="inlineStr">
        <is>
          <t>缸边浴缸</t>
        </is>
      </c>
      <c r="I107" s="12" t="inlineStr">
        <is>
          <t>是</t>
        </is>
      </c>
      <c r="J107" s="34" t="n">
        <v>44208</v>
      </c>
      <c r="K107" s="34" t="n">
        <v>44283</v>
      </c>
      <c r="L107" s="0">
        <f>DATEDIF(J107,$L$1,"M")</f>
        <v/>
      </c>
      <c r="M107" s="0">
        <f>IF(L107&lt;18,"新品期",IF(L107&lt;=36,"老品期","衰退期"))</f>
        <v/>
      </c>
    </row>
    <row r="108" ht="15" customFormat="1" customHeight="1" s="36">
      <c r="A108" s="4" t="inlineStr">
        <is>
          <t>Hanallx-US</t>
        </is>
      </c>
      <c r="B108" s="4" t="inlineStr">
        <is>
          <t>Hanallx美国站</t>
        </is>
      </c>
      <c r="C108" s="4">
        <f>B108&amp;D108</f>
        <v/>
      </c>
      <c r="D108" s="4" t="inlineStr">
        <is>
          <t>5001BN HM1</t>
        </is>
      </c>
      <c r="E108" s="4" t="inlineStr">
        <is>
          <t>223F5001BN3</t>
        </is>
      </c>
      <c r="F108" s="4" t="inlineStr">
        <is>
          <t>5001五件套缸边浴缸龙头拉丝PVD</t>
        </is>
      </c>
      <c r="G108" s="4" t="inlineStr">
        <is>
          <t>朱艺璇</t>
        </is>
      </c>
      <c r="H108" s="4" t="inlineStr">
        <is>
          <t>缸边浴缸</t>
        </is>
      </c>
      <c r="I108" s="12" t="inlineStr">
        <is>
          <t>是</t>
        </is>
      </c>
      <c r="J108" s="34" t="n">
        <v>44208</v>
      </c>
      <c r="K108" s="34" t="n">
        <v>44283</v>
      </c>
      <c r="L108" s="0">
        <f>DATEDIF(J108,$L$1,"M")</f>
        <v/>
      </c>
      <c r="M108" s="0">
        <f>IF(L108&lt;18,"新品期",IF(L108&lt;=36,"老品期","衰退期"))</f>
        <v/>
      </c>
    </row>
    <row r="109" ht="15" customFormat="1" customHeight="1" s="36">
      <c r="A109" s="4" t="inlineStr">
        <is>
          <t>Hanallx-US</t>
        </is>
      </c>
      <c r="B109" s="4" t="inlineStr">
        <is>
          <t>Hanallx美国站</t>
        </is>
      </c>
      <c r="C109" s="4">
        <f>B109&amp;D109</f>
        <v/>
      </c>
      <c r="D109" s="4" t="inlineStr">
        <is>
          <t>5001CP HM1</t>
        </is>
      </c>
      <c r="E109" s="4" t="inlineStr">
        <is>
          <t>223F5001CP1</t>
        </is>
      </c>
      <c r="F109" s="4" t="inlineStr">
        <is>
          <t>5001五件套缸边浴缸龙头铬</t>
        </is>
      </c>
      <c r="G109" s="4" t="inlineStr">
        <is>
          <t>朱艺璇</t>
        </is>
      </c>
      <c r="H109" s="4" t="inlineStr">
        <is>
          <t>缸边浴缸</t>
        </is>
      </c>
      <c r="I109" s="12" t="inlineStr">
        <is>
          <t>是</t>
        </is>
      </c>
      <c r="J109" s="34" t="n">
        <v>44208</v>
      </c>
      <c r="K109" s="34" t="n">
        <v>44283</v>
      </c>
      <c r="L109" s="0">
        <f>DATEDIF(J109,$L$1,"M")</f>
        <v/>
      </c>
      <c r="M109" s="0">
        <f>IF(L109&lt;18,"新品期",IF(L109&lt;=36,"老品期","衰退期"))</f>
        <v/>
      </c>
    </row>
    <row r="110" ht="15" customFormat="1" customHeight="1" s="36">
      <c r="A110" s="4" t="inlineStr">
        <is>
          <t>Hanallx-US</t>
        </is>
      </c>
      <c r="B110" s="4" t="inlineStr">
        <is>
          <t>Hanallx美国站</t>
        </is>
      </c>
      <c r="C110" s="4">
        <f>B110&amp;D110</f>
        <v/>
      </c>
      <c r="D110" s="4" t="inlineStr">
        <is>
          <t>5001ORB HM1</t>
        </is>
      </c>
      <c r="E110" s="4" t="inlineStr">
        <is>
          <t>223F5001OB1</t>
        </is>
      </c>
      <c r="F110" s="4" t="inlineStr">
        <is>
          <t>5001五件套缸边浴缸龙头拉丝古铜色</t>
        </is>
      </c>
      <c r="G110" s="4" t="inlineStr">
        <is>
          <t>朱艺璇</t>
        </is>
      </c>
      <c r="H110" s="4" t="inlineStr">
        <is>
          <t>缸边浴缸</t>
        </is>
      </c>
      <c r="I110" s="12" t="inlineStr">
        <is>
          <t>是</t>
        </is>
      </c>
      <c r="J110" s="34" t="n">
        <v>44208</v>
      </c>
      <c r="K110" s="34" t="n">
        <v>44283</v>
      </c>
      <c r="L110" s="0">
        <f>DATEDIF(J110,$L$1,"M")</f>
        <v/>
      </c>
      <c r="M110" s="0">
        <f>IF(L110&lt;18,"新品期",IF(L110&lt;=36,"老品期","衰退期"))</f>
        <v/>
      </c>
    </row>
    <row r="111" ht="15" customFormat="1" customHeight="1" s="36">
      <c r="A111" s="4" t="inlineStr">
        <is>
          <t>Qinkell-US</t>
        </is>
      </c>
      <c r="B111" s="4" t="inlineStr">
        <is>
          <t>Qinkell美国站</t>
        </is>
      </c>
      <c r="C111" s="4">
        <f>B111&amp;D111</f>
        <v/>
      </c>
      <c r="D111" s="4" t="inlineStr">
        <is>
          <t>5002BG QC1</t>
        </is>
      </c>
      <c r="E111" s="4" t="inlineStr">
        <is>
          <t>231F5002BG4</t>
        </is>
      </c>
      <c r="F111" s="4" t="inlineStr">
        <is>
          <t>5002二功能入墙浴缸龙头拉丝钛金</t>
        </is>
      </c>
      <c r="G111" s="4" t="inlineStr">
        <is>
          <t>朱艺璇</t>
        </is>
      </c>
      <c r="H111" s="4" t="inlineStr">
        <is>
          <t>缸边浴缸</t>
        </is>
      </c>
      <c r="I111" s="12" t="inlineStr">
        <is>
          <t>是</t>
        </is>
      </c>
      <c r="J111" s="34" t="n">
        <v>44409</v>
      </c>
      <c r="K111" s="34" t="n">
        <v>44409</v>
      </c>
      <c r="L111" s="0">
        <f>DATEDIF(J111,$L$1,"M")</f>
        <v/>
      </c>
      <c r="M111" s="0">
        <f>IF(L111&lt;18,"新品期",IF(L111&lt;=36,"老品期","衰退期"))</f>
        <v/>
      </c>
    </row>
    <row r="112" ht="15" customFormat="1" customHeight="1" s="36">
      <c r="A112" s="4" t="inlineStr">
        <is>
          <t>Qinkell-US</t>
        </is>
      </c>
      <c r="B112" s="4" t="inlineStr">
        <is>
          <t>Qinkell美国站</t>
        </is>
      </c>
      <c r="C112" s="4">
        <f>B112&amp;D112</f>
        <v/>
      </c>
      <c r="D112" s="4" t="inlineStr">
        <is>
          <t>5002BK QC1</t>
        </is>
      </c>
      <c r="E112" s="4" t="inlineStr">
        <is>
          <t>231F5002BK1</t>
        </is>
      </c>
      <c r="F112" s="4" t="inlineStr">
        <is>
          <t>5002二功能入墙浴缸龙头电泳黑</t>
        </is>
      </c>
      <c r="G112" s="4" t="inlineStr">
        <is>
          <t>朱艺璇</t>
        </is>
      </c>
      <c r="H112" s="4" t="inlineStr">
        <is>
          <t>缸边浴缸</t>
        </is>
      </c>
      <c r="I112" s="12" t="inlineStr">
        <is>
          <t>是</t>
        </is>
      </c>
      <c r="J112" s="34" t="n">
        <v>44409</v>
      </c>
      <c r="K112" s="34" t="n">
        <v>44409</v>
      </c>
      <c r="L112" s="0">
        <f>DATEDIF(J112,$L$1,"M")</f>
        <v/>
      </c>
      <c r="M112" s="0">
        <f>IF(L112&lt;18,"新品期",IF(L112&lt;=36,"老品期","衰退期"))</f>
        <v/>
      </c>
    </row>
    <row r="113" ht="15" customFormat="1" customHeight="1" s="36">
      <c r="A113" s="4" t="inlineStr">
        <is>
          <t>Qinkell-CA</t>
        </is>
      </c>
      <c r="B113" s="4" t="inlineStr">
        <is>
          <t>Qinkell加拿大站</t>
        </is>
      </c>
      <c r="C113" s="4">
        <f>B113&amp;D113</f>
        <v/>
      </c>
      <c r="D113" s="4" t="inlineStr">
        <is>
          <t>5002BK QC1</t>
        </is>
      </c>
      <c r="E113" s="4" t="inlineStr">
        <is>
          <t>231F5002BK1</t>
        </is>
      </c>
      <c r="F113" s="4" t="inlineStr">
        <is>
          <t>5002二功能入墙浴缸龙头电泳黑</t>
        </is>
      </c>
      <c r="G113" s="4" t="inlineStr">
        <is>
          <t>朱艺璇</t>
        </is>
      </c>
      <c r="H113" s="4" t="inlineStr">
        <is>
          <t>缸边浴缸</t>
        </is>
      </c>
      <c r="I113" s="12" t="inlineStr">
        <is>
          <t>是</t>
        </is>
      </c>
      <c r="J113" s="34" t="n">
        <v>44409</v>
      </c>
      <c r="K113" s="34" t="n">
        <v>44409</v>
      </c>
      <c r="L113" s="0">
        <f>DATEDIF(J113,$L$1,"M")</f>
        <v/>
      </c>
      <c r="M113" s="0">
        <f>IF(L113&lt;18,"新品期",IF(L113&lt;=36,"老品期","衰退期"))</f>
        <v/>
      </c>
    </row>
    <row r="114" ht="15" customFormat="1" customHeight="1" s="36">
      <c r="A114" s="4" t="inlineStr">
        <is>
          <t>Qinkell-US</t>
        </is>
      </c>
      <c r="B114" s="4" t="inlineStr">
        <is>
          <t>Qinkell美国站</t>
        </is>
      </c>
      <c r="C114" s="4">
        <f>B114&amp;D114</f>
        <v/>
      </c>
      <c r="D114" s="4" t="inlineStr">
        <is>
          <t>5002BN QC1</t>
        </is>
      </c>
      <c r="E114" s="4" t="inlineStr">
        <is>
          <t>231F5002BN3</t>
        </is>
      </c>
      <c r="F114" s="4" t="inlineStr">
        <is>
          <t>5002二功能入墙浴缸龙头拉丝PVD</t>
        </is>
      </c>
      <c r="G114" s="4" t="inlineStr">
        <is>
          <t>朱艺璇</t>
        </is>
      </c>
      <c r="H114" s="4" t="inlineStr">
        <is>
          <t>缸边浴缸</t>
        </is>
      </c>
      <c r="I114" s="12" t="inlineStr">
        <is>
          <t>是</t>
        </is>
      </c>
      <c r="J114" s="34" t="n">
        <v>44409</v>
      </c>
      <c r="K114" s="34" t="n">
        <v>44409</v>
      </c>
      <c r="L114" s="0">
        <f>DATEDIF(J114,$L$1,"M")</f>
        <v/>
      </c>
      <c r="M114" s="0">
        <f>IF(L114&lt;18,"新品期",IF(L114&lt;=36,"老品期","衰退期"))</f>
        <v/>
      </c>
    </row>
    <row r="115" ht="15" customFormat="1" customHeight="1" s="36">
      <c r="A115" s="4" t="inlineStr">
        <is>
          <t>Qinkell-US</t>
        </is>
      </c>
      <c r="B115" s="4" t="inlineStr">
        <is>
          <t>Qinkell美国站</t>
        </is>
      </c>
      <c r="C115" s="4">
        <f>B115&amp;D115</f>
        <v/>
      </c>
      <c r="D115" s="4" t="inlineStr">
        <is>
          <t>5002CP QC1</t>
        </is>
      </c>
      <c r="E115" s="4" t="inlineStr">
        <is>
          <t>231F5002CP1</t>
        </is>
      </c>
      <c r="F115" s="4" t="inlineStr">
        <is>
          <t>5002二功能入墙浴缸龙头铬</t>
        </is>
      </c>
      <c r="G115" s="4" t="inlineStr">
        <is>
          <t>朱艺璇</t>
        </is>
      </c>
      <c r="H115" s="4" t="inlineStr">
        <is>
          <t>缸边浴缸</t>
        </is>
      </c>
      <c r="I115" s="12" t="inlineStr">
        <is>
          <t>是</t>
        </is>
      </c>
      <c r="J115" s="34" t="n">
        <v>44409</v>
      </c>
      <c r="K115" s="34" t="n">
        <v>44409</v>
      </c>
      <c r="L115" s="0">
        <f>DATEDIF(J115,$L$1,"M")</f>
        <v/>
      </c>
      <c r="M115" s="0">
        <f>IF(L115&lt;18,"新品期",IF(L115&lt;=36,"老品期","衰退期"))</f>
        <v/>
      </c>
    </row>
    <row r="116" ht="15" customFormat="1" customHeight="1" s="36">
      <c r="A116" s="4" t="inlineStr">
        <is>
          <t>Qinkell-US</t>
        </is>
      </c>
      <c r="B116" s="4" t="inlineStr">
        <is>
          <t>Qinkell美国站</t>
        </is>
      </c>
      <c r="C116" s="4">
        <f>B116&amp;D116</f>
        <v/>
      </c>
      <c r="D116" s="4" t="inlineStr">
        <is>
          <t>5002ORB QC1</t>
        </is>
      </c>
      <c r="E116" s="4" t="inlineStr">
        <is>
          <t>231F5002OB1</t>
        </is>
      </c>
      <c r="F116" s="4" t="inlineStr">
        <is>
          <t>5002二功能入墙浴缸龙头拉丝古铜色</t>
        </is>
      </c>
      <c r="G116" s="4" t="inlineStr">
        <is>
          <t>朱艺璇</t>
        </is>
      </c>
      <c r="H116" s="4" t="inlineStr">
        <is>
          <t>缸边浴缸</t>
        </is>
      </c>
      <c r="I116" s="12" t="inlineStr">
        <is>
          <t>是</t>
        </is>
      </c>
      <c r="J116" s="34" t="n">
        <v>44409</v>
      </c>
      <c r="K116" s="34" t="n">
        <v>44409</v>
      </c>
      <c r="L116" s="0">
        <f>DATEDIF(J116,$L$1,"M")</f>
        <v/>
      </c>
      <c r="M116" s="0">
        <f>IF(L116&lt;18,"新品期",IF(L116&lt;=36,"老品期","衰退期"))</f>
        <v/>
      </c>
    </row>
    <row r="117" ht="15" customFormat="1" customHeight="1" s="36">
      <c r="A117" s="4" t="inlineStr">
        <is>
          <t>Jabbol-US</t>
        </is>
      </c>
      <c r="B117" s="4" t="inlineStr">
        <is>
          <t>Jabbol美国站</t>
        </is>
      </c>
      <c r="C117" s="4">
        <f>B117&amp;D117</f>
        <v/>
      </c>
      <c r="D117" s="4" t="inlineStr">
        <is>
          <t>8801 BK-ZZ</t>
        </is>
      </c>
      <c r="E117" s="4" t="inlineStr">
        <is>
          <t>110F0088BK1</t>
        </is>
      </c>
      <c r="F117" s="4" t="inlineStr">
        <is>
          <t>88系列矮身单孔正开面盆龙头电泳黑</t>
        </is>
      </c>
      <c r="G117" s="4" t="inlineStr">
        <is>
          <t>曾志发</t>
        </is>
      </c>
      <c r="H117" s="4" t="inlineStr">
        <is>
          <t>面盆</t>
        </is>
      </c>
      <c r="I117" s="12" t="inlineStr">
        <is>
          <t>是</t>
        </is>
      </c>
      <c r="J117" s="34" t="n">
        <v>45599</v>
      </c>
      <c r="K117" s="34" t="n">
        <v>45599</v>
      </c>
      <c r="L117" s="0">
        <f>DATEDIF(J117,$L$1,"M")</f>
        <v/>
      </c>
      <c r="M117" s="0">
        <f>IF(L117&lt;18,"新品期",IF(L117&lt;=36,"老品期","衰退期"))</f>
        <v/>
      </c>
      <c r="N117" s="36" t="inlineStr">
        <is>
          <t>种子链接，2025年9月1号以前梁丽梅负责</t>
        </is>
      </c>
    </row>
    <row r="118" ht="15" customFormat="1" customHeight="1" s="36">
      <c r="A118" s="4" t="inlineStr">
        <is>
          <t>Jabbol-US</t>
        </is>
      </c>
      <c r="B118" s="4" t="inlineStr">
        <is>
          <t>Jabbol美国站</t>
        </is>
      </c>
      <c r="C118" s="4">
        <f>B118&amp;D118</f>
        <v/>
      </c>
      <c r="D118" s="4" t="inlineStr">
        <is>
          <t>8801 ORB-ZZ</t>
        </is>
      </c>
      <c r="E118" s="4" t="inlineStr">
        <is>
          <t>110F0088OB1</t>
        </is>
      </c>
      <c r="F118" s="4" t="inlineStr">
        <is>
          <t>88系列矮身单孔正开面盆龙头拉丝红古铜</t>
        </is>
      </c>
      <c r="G118" s="4" t="inlineStr">
        <is>
          <t>曾志发</t>
        </is>
      </c>
      <c r="H118" s="4" t="inlineStr">
        <is>
          <t>面盆</t>
        </is>
      </c>
      <c r="I118" s="12" t="inlineStr">
        <is>
          <t>是</t>
        </is>
      </c>
      <c r="J118" s="34" t="n">
        <v>45599</v>
      </c>
      <c r="K118" s="34" t="n">
        <v>45599</v>
      </c>
      <c r="L118" s="0">
        <f>DATEDIF(J118,$L$1,"M")</f>
        <v/>
      </c>
      <c r="M118" s="0">
        <f>IF(L118&lt;18,"新品期",IF(L118&lt;=36,"老品期","衰退期"))</f>
        <v/>
      </c>
      <c r="N118" s="36" t="inlineStr">
        <is>
          <t>种子链接，2025年9月1号以前梁丽梅负责</t>
        </is>
      </c>
    </row>
    <row r="119" ht="15" customFormat="1" customHeight="1" s="36">
      <c r="A119" s="4" t="inlineStr">
        <is>
          <t>Jabbol-US</t>
        </is>
      </c>
      <c r="B119" s="4" t="inlineStr">
        <is>
          <t>Jabbol美国站</t>
        </is>
      </c>
      <c r="C119" s="4">
        <f>B119&amp;D119</f>
        <v/>
      </c>
      <c r="D119" s="4" t="inlineStr">
        <is>
          <t>8801BGJB-1</t>
        </is>
      </c>
      <c r="E119" s="4" t="inlineStr">
        <is>
          <t>110F0088BG1</t>
        </is>
      </c>
      <c r="F119" s="4" t="inlineStr">
        <is>
          <t>88系列矮身单孔正开面盆龙头拉丝钛金封油</t>
        </is>
      </c>
      <c r="G119" s="4" t="inlineStr">
        <is>
          <t>曾志发</t>
        </is>
      </c>
      <c r="H119" s="4" t="inlineStr">
        <is>
          <t>面盆</t>
        </is>
      </c>
      <c r="I119" s="12" t="inlineStr">
        <is>
          <t>否</t>
        </is>
      </c>
      <c r="J119" s="34" t="n">
        <v>45562</v>
      </c>
      <c r="K119" s="34" t="n">
        <v>45562</v>
      </c>
      <c r="L119" s="0">
        <f>DATEDIF(J119,$L$1,"M")</f>
        <v/>
      </c>
      <c r="M119" s="0">
        <f>IF(L119&lt;18,"新品期",IF(L119&lt;=36,"老品期","衰退期"))</f>
        <v/>
      </c>
      <c r="N119" s="36" t="inlineStr">
        <is>
          <t>2025年9月1号以前梁丽梅负责</t>
        </is>
      </c>
    </row>
    <row r="120" ht="15" customFormat="1" customHeight="1" s="36">
      <c r="A120" s="4" t="inlineStr">
        <is>
          <t>Jabbol-US</t>
        </is>
      </c>
      <c r="B120" s="4" t="inlineStr">
        <is>
          <t>Jabbol美国站</t>
        </is>
      </c>
      <c r="C120" s="4">
        <f>B120&amp;D120</f>
        <v/>
      </c>
      <c r="D120" s="4" t="inlineStr">
        <is>
          <t>8801BKJB-1</t>
        </is>
      </c>
      <c r="E120" s="4" t="inlineStr">
        <is>
          <t>110F0088BK1</t>
        </is>
      </c>
      <c r="F120" s="4" t="inlineStr">
        <is>
          <t>88系列矮身单孔正开面盆龙头电泳黑</t>
        </is>
      </c>
      <c r="G120" s="4" t="inlineStr">
        <is>
          <t>曾志发</t>
        </is>
      </c>
      <c r="H120" s="4" t="inlineStr">
        <is>
          <t>面盆</t>
        </is>
      </c>
      <c r="I120" s="12" t="inlineStr">
        <is>
          <t>否</t>
        </is>
      </c>
      <c r="J120" s="34" t="n">
        <v>45562</v>
      </c>
      <c r="K120" s="34" t="n">
        <v>45562</v>
      </c>
      <c r="L120" s="0">
        <f>DATEDIF(J120,$L$1,"M")</f>
        <v/>
      </c>
      <c r="M120" s="0">
        <f>IF(L120&lt;18,"新品期",IF(L120&lt;=36,"老品期","衰退期"))</f>
        <v/>
      </c>
      <c r="N120" s="36" t="inlineStr">
        <is>
          <t>2025年9月1号以前梁丽梅负责</t>
        </is>
      </c>
    </row>
    <row r="121" ht="15" customFormat="1" customHeight="1" s="36">
      <c r="A121" s="4" t="inlineStr">
        <is>
          <t>Jabbol-US</t>
        </is>
      </c>
      <c r="B121" s="4" t="inlineStr">
        <is>
          <t>Jabbol美国站</t>
        </is>
      </c>
      <c r="C121" s="4">
        <f>B121&amp;D121</f>
        <v/>
      </c>
      <c r="D121" s="4" t="inlineStr">
        <is>
          <t>8801BNJB-1</t>
        </is>
      </c>
      <c r="E121" s="4" t="inlineStr">
        <is>
          <t>110F0088BN1</t>
        </is>
      </c>
      <c r="F121" s="4" t="inlineStr">
        <is>
          <t>88系列矮身单孔正开面盆龙头拉丝封油</t>
        </is>
      </c>
      <c r="G121" s="4" t="inlineStr">
        <is>
          <t>曾志发</t>
        </is>
      </c>
      <c r="H121" s="4" t="inlineStr">
        <is>
          <t>面盆</t>
        </is>
      </c>
      <c r="I121" s="12" t="inlineStr">
        <is>
          <t>否</t>
        </is>
      </c>
      <c r="J121" s="34" t="n">
        <v>45562</v>
      </c>
      <c r="K121" s="34" t="n">
        <v>45562</v>
      </c>
      <c r="L121" s="0">
        <f>DATEDIF(J121,$L$1,"M")</f>
        <v/>
      </c>
      <c r="M121" s="0">
        <f>IF(L121&lt;18,"新品期",IF(L121&lt;=36,"老品期","衰退期"))</f>
        <v/>
      </c>
      <c r="N121" s="36" t="inlineStr">
        <is>
          <t>2025年9月1号以前梁丽梅负责</t>
        </is>
      </c>
    </row>
    <row r="122" ht="15" customFormat="1" customHeight="1" s="36">
      <c r="A122" s="4" t="inlineStr">
        <is>
          <t>Jabbol-US</t>
        </is>
      </c>
      <c r="B122" s="4" t="inlineStr">
        <is>
          <t>Jabbol美国站</t>
        </is>
      </c>
      <c r="C122" s="4">
        <f>B122&amp;D122</f>
        <v/>
      </c>
      <c r="D122" s="4" t="inlineStr">
        <is>
          <t>8801CPJB-1</t>
        </is>
      </c>
      <c r="E122" s="4" t="inlineStr">
        <is>
          <t>110F0088CP1</t>
        </is>
      </c>
      <c r="F122" s="4" t="inlineStr">
        <is>
          <t>88系列矮身单孔正开面盆龙头铬色</t>
        </is>
      </c>
      <c r="G122" s="4" t="inlineStr">
        <is>
          <t>曾志发</t>
        </is>
      </c>
      <c r="H122" s="4" t="inlineStr">
        <is>
          <t>面盆</t>
        </is>
      </c>
      <c r="I122" s="12" t="inlineStr">
        <is>
          <t>否</t>
        </is>
      </c>
      <c r="J122" s="34" t="n">
        <v>45562</v>
      </c>
      <c r="K122" s="34" t="n">
        <v>45562</v>
      </c>
      <c r="L122" s="0">
        <f>DATEDIF(J122,$L$1,"M")</f>
        <v/>
      </c>
      <c r="M122" s="0">
        <f>IF(L122&lt;18,"新品期",IF(L122&lt;=36,"老品期","衰退期"))</f>
        <v/>
      </c>
      <c r="N122" s="36" t="inlineStr">
        <is>
          <t>2025年9月1号以前梁丽梅负责</t>
        </is>
      </c>
    </row>
    <row r="123" ht="15" customFormat="1" customHeight="1" s="36">
      <c r="A123" s="4" t="inlineStr">
        <is>
          <t>Jabbol-US</t>
        </is>
      </c>
      <c r="B123" s="4" t="inlineStr">
        <is>
          <t>Jabbol美国站</t>
        </is>
      </c>
      <c r="C123" s="4">
        <f>B123&amp;D123</f>
        <v/>
      </c>
      <c r="D123" s="4" t="inlineStr">
        <is>
          <t>8801ORBJB-1</t>
        </is>
      </c>
      <c r="E123" s="4" t="inlineStr">
        <is>
          <t>110F0088OB1</t>
        </is>
      </c>
      <c r="F123" s="4" t="inlineStr">
        <is>
          <t>88系列矮身单孔正开面盆龙头拉丝红古铜</t>
        </is>
      </c>
      <c r="G123" s="4" t="inlineStr">
        <is>
          <t>曾志发</t>
        </is>
      </c>
      <c r="H123" s="4" t="inlineStr">
        <is>
          <t>面盆</t>
        </is>
      </c>
      <c r="I123" s="12" t="inlineStr">
        <is>
          <t>否</t>
        </is>
      </c>
      <c r="J123" s="34" t="n">
        <v>45562</v>
      </c>
      <c r="K123" s="34" t="n">
        <v>45562</v>
      </c>
      <c r="L123" s="0">
        <f>DATEDIF(J123,$L$1,"M")</f>
        <v/>
      </c>
      <c r="M123" s="0">
        <f>IF(L123&lt;18,"新品期",IF(L123&lt;=36,"老品期","衰退期"))</f>
        <v/>
      </c>
      <c r="N123" s="36" t="inlineStr">
        <is>
          <t>2025年9月1号以前梁丽梅负责</t>
        </is>
      </c>
    </row>
    <row r="124" ht="15" customFormat="1" customHeight="1" s="36">
      <c r="A124" s="4" t="inlineStr">
        <is>
          <t>Jabbol-US</t>
        </is>
      </c>
      <c r="B124" s="4" t="inlineStr">
        <is>
          <t>Jabbol美国站</t>
        </is>
      </c>
      <c r="C124" s="4">
        <f>B124&amp;D124</f>
        <v/>
      </c>
      <c r="D124" s="4" t="inlineStr">
        <is>
          <t>8804BGJB-1</t>
        </is>
      </c>
      <c r="E124" s="4" t="inlineStr">
        <is>
          <t>140F0088BG1</t>
        </is>
      </c>
      <c r="F124" s="4" t="inlineStr">
        <is>
          <t>88系列分体面盆龙头拉丝钛金封油</t>
        </is>
      </c>
      <c r="G124" s="4" t="inlineStr">
        <is>
          <t>曾志发</t>
        </is>
      </c>
      <c r="H124" s="4" t="inlineStr">
        <is>
          <t>面盆</t>
        </is>
      </c>
      <c r="I124" s="12" t="inlineStr">
        <is>
          <t>否</t>
        </is>
      </c>
      <c r="J124" s="34" t="n">
        <v>45610</v>
      </c>
      <c r="K124" s="34" t="n">
        <v>45610</v>
      </c>
      <c r="L124" s="0">
        <f>DATEDIF(J124,$L$1,"M")</f>
        <v/>
      </c>
      <c r="M124" s="0">
        <f>IF(L124&lt;18,"新品期",IF(L124&lt;=36,"老品期","衰退期"))</f>
        <v/>
      </c>
      <c r="N124" s="36" t="inlineStr">
        <is>
          <t>2025年9月1号以前梁丽梅负责</t>
        </is>
      </c>
    </row>
    <row r="125" ht="15" customFormat="1" customHeight="1" s="36">
      <c r="A125" s="4" t="inlineStr">
        <is>
          <t>Jabbol-US</t>
        </is>
      </c>
      <c r="B125" s="4" t="inlineStr">
        <is>
          <t>Jabbol美国站</t>
        </is>
      </c>
      <c r="C125" s="4">
        <f>B125&amp;D125</f>
        <v/>
      </c>
      <c r="D125" s="4" t="inlineStr">
        <is>
          <t>8804BKJB-1</t>
        </is>
      </c>
      <c r="E125" s="4" t="inlineStr">
        <is>
          <t>140F0088BK1</t>
        </is>
      </c>
      <c r="F125" s="4" t="inlineStr">
        <is>
          <t>88系列分体面盆龙头电泳黑</t>
        </is>
      </c>
      <c r="G125" s="4" t="inlineStr">
        <is>
          <t>曾志发</t>
        </is>
      </c>
      <c r="H125" s="4" t="inlineStr">
        <is>
          <t>面盆</t>
        </is>
      </c>
      <c r="I125" s="12" t="inlineStr">
        <is>
          <t>否</t>
        </is>
      </c>
      <c r="J125" s="34" t="n">
        <v>45610</v>
      </c>
      <c r="K125" s="34" t="n">
        <v>45610</v>
      </c>
      <c r="L125" s="0">
        <f>DATEDIF(J125,$L$1,"M")</f>
        <v/>
      </c>
      <c r="M125" s="0">
        <f>IF(L125&lt;18,"新品期",IF(L125&lt;=36,"老品期","衰退期"))</f>
        <v/>
      </c>
      <c r="N125" s="36" t="inlineStr">
        <is>
          <t>2025年9月1号以前梁丽梅负责</t>
        </is>
      </c>
    </row>
    <row r="126" ht="15" customFormat="1" customHeight="1" s="36">
      <c r="A126" s="4" t="inlineStr">
        <is>
          <t>Jabbol-US</t>
        </is>
      </c>
      <c r="B126" s="4" t="inlineStr">
        <is>
          <t>Jabbol美国站</t>
        </is>
      </c>
      <c r="C126" s="4">
        <f>B126&amp;D126</f>
        <v/>
      </c>
      <c r="D126" s="4" t="inlineStr">
        <is>
          <t>8804BNJB-1</t>
        </is>
      </c>
      <c r="E126" s="4" t="inlineStr">
        <is>
          <t>140F0088BN1</t>
        </is>
      </c>
      <c r="F126" s="4" t="inlineStr">
        <is>
          <t>88系列分体面盆龙头拉丝封油</t>
        </is>
      </c>
      <c r="G126" s="4" t="inlineStr">
        <is>
          <t>曾志发</t>
        </is>
      </c>
      <c r="H126" s="4" t="inlineStr">
        <is>
          <t>面盆</t>
        </is>
      </c>
      <c r="I126" s="12" t="inlineStr">
        <is>
          <t>否</t>
        </is>
      </c>
      <c r="J126" s="34" t="n">
        <v>45610</v>
      </c>
      <c r="K126" s="34" t="n">
        <v>45610</v>
      </c>
      <c r="L126" s="0">
        <f>DATEDIF(J126,$L$1,"M")</f>
        <v/>
      </c>
      <c r="M126" s="0">
        <f>IF(L126&lt;18,"新品期",IF(L126&lt;=36,"老品期","衰退期"))</f>
        <v/>
      </c>
      <c r="N126" s="36" t="inlineStr">
        <is>
          <t>2025年9月1号以前梁丽梅负责</t>
        </is>
      </c>
    </row>
    <row r="127" ht="15" customFormat="1" customHeight="1" s="36">
      <c r="A127" s="4" t="inlineStr">
        <is>
          <t>Jabbol-US</t>
        </is>
      </c>
      <c r="B127" s="4" t="inlineStr">
        <is>
          <t>Jabbol美国站</t>
        </is>
      </c>
      <c r="C127" s="4">
        <f>B127&amp;D127</f>
        <v/>
      </c>
      <c r="D127" s="4" t="inlineStr">
        <is>
          <t>8804CPJB-1</t>
        </is>
      </c>
      <c r="E127" s="4" t="inlineStr">
        <is>
          <t>140F0088CP1</t>
        </is>
      </c>
      <c r="F127" s="4" t="inlineStr">
        <is>
          <t>88系列分体面盆龙头铬色</t>
        </is>
      </c>
      <c r="G127" s="4" t="inlineStr">
        <is>
          <t>曾志发</t>
        </is>
      </c>
      <c r="H127" s="4" t="inlineStr">
        <is>
          <t>面盆</t>
        </is>
      </c>
      <c r="I127" s="12" t="inlineStr">
        <is>
          <t>否</t>
        </is>
      </c>
      <c r="J127" s="34" t="n">
        <v>45610</v>
      </c>
      <c r="K127" s="34" t="n">
        <v>45610</v>
      </c>
      <c r="L127" s="0">
        <f>DATEDIF(J127,$L$1,"M")</f>
        <v/>
      </c>
      <c r="M127" s="0">
        <f>IF(L127&lt;18,"新品期",IF(L127&lt;=36,"老品期","衰退期"))</f>
        <v/>
      </c>
      <c r="N127" s="36" t="inlineStr">
        <is>
          <t>2025年9月1号以前梁丽梅负责</t>
        </is>
      </c>
    </row>
    <row r="128" ht="15" customFormat="1" customHeight="1" s="36">
      <c r="A128" s="4" t="inlineStr">
        <is>
          <t>Jabbol-US</t>
        </is>
      </c>
      <c r="B128" s="4" t="inlineStr">
        <is>
          <t>Jabbol美国站</t>
        </is>
      </c>
      <c r="C128" s="4">
        <f>B128&amp;D128</f>
        <v/>
      </c>
      <c r="D128" s="4" t="inlineStr">
        <is>
          <t>8804ORBJB-1</t>
        </is>
      </c>
      <c r="E128" s="4" t="inlineStr">
        <is>
          <t>140F0088OB1</t>
        </is>
      </c>
      <c r="F128" s="4" t="inlineStr">
        <is>
          <t>88系列分体面盆龙头拉丝红古铜</t>
        </is>
      </c>
      <c r="G128" s="4" t="inlineStr">
        <is>
          <t>曾志发</t>
        </is>
      </c>
      <c r="H128" s="4" t="inlineStr">
        <is>
          <t>面盆</t>
        </is>
      </c>
      <c r="I128" s="12" t="inlineStr">
        <is>
          <t>否</t>
        </is>
      </c>
      <c r="J128" s="34" t="n">
        <v>45610</v>
      </c>
      <c r="K128" s="34" t="n">
        <v>45610</v>
      </c>
      <c r="L128" s="0">
        <f>DATEDIF(J128,$L$1,"M")</f>
        <v/>
      </c>
      <c r="M128" s="0">
        <f>IF(L128&lt;18,"新品期",IF(L128&lt;=36,"老品期","衰退期"))</f>
        <v/>
      </c>
      <c r="N128" s="36" t="inlineStr">
        <is>
          <t>2025年9月1号以前梁丽梅负责</t>
        </is>
      </c>
    </row>
    <row r="129" ht="15" customFormat="1" customHeight="1" s="36">
      <c r="A129" s="4" t="inlineStr">
        <is>
          <t>Jabbol-US</t>
        </is>
      </c>
      <c r="B129" s="4" t="inlineStr">
        <is>
          <t>Jabbol美国站</t>
        </is>
      </c>
      <c r="C129" s="4">
        <f>B129&amp;D129</f>
        <v/>
      </c>
      <c r="D129" s="4" t="inlineStr">
        <is>
          <t>8807BGJB-2</t>
        </is>
      </c>
      <c r="E129" s="4" t="inlineStr">
        <is>
          <t>221F0088BG1</t>
        </is>
      </c>
      <c r="F129" s="4" t="inlineStr">
        <is>
          <t>88系列三件套缸边浴缸龙头拉丝钛金封油</t>
        </is>
      </c>
      <c r="G129" s="4" t="inlineStr">
        <is>
          <t>朱艺璇</t>
        </is>
      </c>
      <c r="H129" s="4" t="inlineStr">
        <is>
          <t>缸边浴缸</t>
        </is>
      </c>
      <c r="I129" s="12" t="inlineStr">
        <is>
          <t>否</t>
        </is>
      </c>
      <c r="J129" s="34" t="n">
        <v>45488</v>
      </c>
      <c r="K129" s="34" t="n">
        <v>45659</v>
      </c>
      <c r="L129" s="0">
        <f>DATEDIF(J129,$L$1,"M")</f>
        <v/>
      </c>
      <c r="M129" s="0">
        <f>IF(L129&lt;18,"新品期",IF(L129&lt;=36,"老品期","衰退期"))</f>
        <v/>
      </c>
    </row>
    <row r="130" ht="15" customFormat="1" customHeight="1" s="36">
      <c r="A130" s="4" t="inlineStr">
        <is>
          <t>Jabbol-US</t>
        </is>
      </c>
      <c r="B130" s="4" t="inlineStr">
        <is>
          <t>Jabbol美国站</t>
        </is>
      </c>
      <c r="C130" s="4">
        <f>B130&amp;D130</f>
        <v/>
      </c>
      <c r="D130" s="4" t="inlineStr">
        <is>
          <t>8807BGJB-ZZ</t>
        </is>
      </c>
      <c r="E130" s="4" t="inlineStr">
        <is>
          <t>221F0088BG1</t>
        </is>
      </c>
      <c r="F130" s="4" t="inlineStr">
        <is>
          <t>88系列三件套缸边浴缸龙头拉丝钛金封油</t>
        </is>
      </c>
      <c r="G130" s="4" t="inlineStr">
        <is>
          <t>朱艺璇</t>
        </is>
      </c>
      <c r="H130" s="4" t="inlineStr">
        <is>
          <t>缸边浴缸</t>
        </is>
      </c>
      <c r="I130" s="12" t="inlineStr">
        <is>
          <t>是</t>
        </is>
      </c>
      <c r="J130" s="34" t="n">
        <v>45488</v>
      </c>
      <c r="K130" s="34" t="n">
        <v>45659</v>
      </c>
      <c r="L130" s="0">
        <f>DATEDIF(J130,$L$1,"M")</f>
        <v/>
      </c>
      <c r="M130" s="0">
        <f>IF(L130&lt;18,"新品期",IF(L130&lt;=36,"老品期","衰退期"))</f>
        <v/>
      </c>
    </row>
    <row r="131" ht="15" customFormat="1" customHeight="1" s="36">
      <c r="A131" s="4" t="inlineStr">
        <is>
          <t>Jabbol-US</t>
        </is>
      </c>
      <c r="B131" s="4" t="inlineStr">
        <is>
          <t>Jabbol美国站</t>
        </is>
      </c>
      <c r="C131" s="4">
        <f>B131&amp;D131</f>
        <v/>
      </c>
      <c r="D131" s="4" t="inlineStr">
        <is>
          <t>8807BK JB-ZZ01</t>
        </is>
      </c>
      <c r="E131" s="4" t="inlineStr">
        <is>
          <t>221F0088BK1</t>
        </is>
      </c>
      <c r="F131" s="4" t="inlineStr">
        <is>
          <t>88系列三件套缸边浴缸龙头电泳黑</t>
        </is>
      </c>
      <c r="G131" s="4" t="inlineStr">
        <is>
          <t>朱艺璇</t>
        </is>
      </c>
      <c r="H131" s="4" t="inlineStr">
        <is>
          <t>缸边浴缸</t>
        </is>
      </c>
      <c r="I131" s="12" t="inlineStr">
        <is>
          <t>是</t>
        </is>
      </c>
      <c r="J131" s="34" t="n">
        <v>45488</v>
      </c>
      <c r="K131" s="34" t="n">
        <v>45659</v>
      </c>
      <c r="L131" s="0">
        <f>DATEDIF(J131,$L$1,"M")</f>
        <v/>
      </c>
      <c r="M131" s="0">
        <f>IF(L131&lt;18,"新品期",IF(L131&lt;=36,"老品期","衰退期"))</f>
        <v/>
      </c>
    </row>
    <row r="132" ht="15" customFormat="1" customHeight="1" s="36">
      <c r="A132" s="4" t="inlineStr">
        <is>
          <t>Jabbol-US</t>
        </is>
      </c>
      <c r="B132" s="4" t="inlineStr">
        <is>
          <t>Jabbol美国站</t>
        </is>
      </c>
      <c r="C132" s="4">
        <f>B132&amp;D132</f>
        <v/>
      </c>
      <c r="D132" s="4" t="inlineStr">
        <is>
          <t>8807BKJB-2</t>
        </is>
      </c>
      <c r="E132" s="4" t="inlineStr">
        <is>
          <t>221F0088BK1</t>
        </is>
      </c>
      <c r="F132" s="4" t="inlineStr">
        <is>
          <t>88系列三件套缸边浴缸龙头电泳黑</t>
        </is>
      </c>
      <c r="G132" s="4" t="inlineStr">
        <is>
          <t>朱艺璇</t>
        </is>
      </c>
      <c r="H132" s="4" t="inlineStr">
        <is>
          <t>缸边浴缸</t>
        </is>
      </c>
      <c r="I132" s="12" t="inlineStr">
        <is>
          <t>否</t>
        </is>
      </c>
      <c r="J132" s="34" t="n">
        <v>45488</v>
      </c>
      <c r="K132" s="34" t="n">
        <v>45659</v>
      </c>
      <c r="L132" s="0">
        <f>DATEDIF(J132,$L$1,"M")</f>
        <v/>
      </c>
      <c r="M132" s="0">
        <f>IF(L132&lt;18,"新品期",IF(L132&lt;=36,"老品期","衰退期"))</f>
        <v/>
      </c>
    </row>
    <row r="133" ht="15" customFormat="1" customHeight="1" s="36">
      <c r="A133" s="4" t="inlineStr">
        <is>
          <t>Jabbol-US</t>
        </is>
      </c>
      <c r="B133" s="4" t="inlineStr">
        <is>
          <t>Jabbol美国站</t>
        </is>
      </c>
      <c r="C133" s="4">
        <f>B133&amp;D133</f>
        <v/>
      </c>
      <c r="D133" s="4" t="inlineStr">
        <is>
          <t>8807BKJB-ZZ</t>
        </is>
      </c>
      <c r="E133" s="4" t="inlineStr">
        <is>
          <t>221F0088BK1</t>
        </is>
      </c>
      <c r="F133" s="4" t="inlineStr">
        <is>
          <t>88系列三件套缸边浴缸龙头电泳黑</t>
        </is>
      </c>
      <c r="G133" s="4" t="inlineStr">
        <is>
          <t>朱艺璇</t>
        </is>
      </c>
      <c r="H133" s="4" t="inlineStr">
        <is>
          <t>缸边浴缸</t>
        </is>
      </c>
      <c r="I133" s="12" t="inlineStr">
        <is>
          <t>是</t>
        </is>
      </c>
      <c r="J133" s="34" t="n">
        <v>45488</v>
      </c>
      <c r="K133" s="34" t="n">
        <v>45659</v>
      </c>
      <c r="L133" s="0">
        <f>DATEDIF(J133,$L$1,"M")</f>
        <v/>
      </c>
      <c r="M133" s="0">
        <f>IF(L133&lt;18,"新品期",IF(L133&lt;=36,"老品期","衰退期"))</f>
        <v/>
      </c>
    </row>
    <row r="134" ht="15" customFormat="1" customHeight="1" s="36">
      <c r="A134" s="4" t="inlineStr">
        <is>
          <t>Jabbol-US</t>
        </is>
      </c>
      <c r="B134" s="4" t="inlineStr">
        <is>
          <t>Jabbol美国站</t>
        </is>
      </c>
      <c r="C134" s="4">
        <f>B134&amp;D134</f>
        <v/>
      </c>
      <c r="D134" s="4" t="inlineStr">
        <is>
          <t>8807BN JB-ZZ01</t>
        </is>
      </c>
      <c r="E134" s="4" t="inlineStr">
        <is>
          <t>221F0088BN1</t>
        </is>
      </c>
      <c r="F134" s="4" t="inlineStr">
        <is>
          <t>88系列三件套缸边浴缸龙头拉丝封油</t>
        </is>
      </c>
      <c r="G134" s="4" t="inlineStr">
        <is>
          <t>朱艺璇</t>
        </is>
      </c>
      <c r="H134" s="4" t="inlineStr">
        <is>
          <t>缸边浴缸</t>
        </is>
      </c>
      <c r="I134" s="12" t="inlineStr">
        <is>
          <t>是</t>
        </is>
      </c>
      <c r="J134" s="34" t="n">
        <v>45488</v>
      </c>
      <c r="K134" s="34" t="n">
        <v>45659</v>
      </c>
      <c r="L134" s="0">
        <f>DATEDIF(J134,$L$1,"M")</f>
        <v/>
      </c>
      <c r="M134" s="0">
        <f>IF(L134&lt;18,"新品期",IF(L134&lt;=36,"老品期","衰退期"))</f>
        <v/>
      </c>
    </row>
    <row r="135" ht="15" customFormat="1" customHeight="1" s="36">
      <c r="A135" s="4" t="inlineStr">
        <is>
          <t>Jabbol-US</t>
        </is>
      </c>
      <c r="B135" s="4" t="inlineStr">
        <is>
          <t>Jabbol美国站</t>
        </is>
      </c>
      <c r="C135" s="4">
        <f>B135&amp;D135</f>
        <v/>
      </c>
      <c r="D135" s="4" t="inlineStr">
        <is>
          <t>8807BNJB-2</t>
        </is>
      </c>
      <c r="E135" s="4" t="inlineStr">
        <is>
          <t>221F0088BN1</t>
        </is>
      </c>
      <c r="F135" s="4" t="inlineStr">
        <is>
          <t>88系列三件套缸边浴缸龙头拉丝封油</t>
        </is>
      </c>
      <c r="G135" s="4" t="inlineStr">
        <is>
          <t>朱艺璇</t>
        </is>
      </c>
      <c r="H135" s="4" t="inlineStr">
        <is>
          <t>缸边浴缸</t>
        </is>
      </c>
      <c r="I135" s="12" t="inlineStr">
        <is>
          <t>否</t>
        </is>
      </c>
      <c r="J135" s="34" t="n">
        <v>45488</v>
      </c>
      <c r="K135" s="34" t="n">
        <v>45659</v>
      </c>
      <c r="L135" s="0">
        <f>DATEDIF(J135,$L$1,"M")</f>
        <v/>
      </c>
      <c r="M135" s="0">
        <f>IF(L135&lt;18,"新品期",IF(L135&lt;=36,"老品期","衰退期"))</f>
        <v/>
      </c>
    </row>
    <row r="136" ht="15" customFormat="1" customHeight="1" s="36">
      <c r="A136" s="4" t="inlineStr">
        <is>
          <t>Jabbol-US</t>
        </is>
      </c>
      <c r="B136" s="4" t="inlineStr">
        <is>
          <t>Jabbol美国站</t>
        </is>
      </c>
      <c r="C136" s="4">
        <f>B136&amp;D136</f>
        <v/>
      </c>
      <c r="D136" s="4" t="inlineStr">
        <is>
          <t>8807BNJB-ZZ</t>
        </is>
      </c>
      <c r="E136" s="4" t="inlineStr">
        <is>
          <t>221F0088BN1</t>
        </is>
      </c>
      <c r="F136" s="4" t="inlineStr">
        <is>
          <t>88系列三件套缸边浴缸龙头拉丝封油</t>
        </is>
      </c>
      <c r="G136" s="4" t="inlineStr">
        <is>
          <t>朱艺璇</t>
        </is>
      </c>
      <c r="H136" s="4" t="inlineStr">
        <is>
          <t>缸边浴缸</t>
        </is>
      </c>
      <c r="I136" s="12" t="inlineStr">
        <is>
          <t>是</t>
        </is>
      </c>
      <c r="J136" s="34" t="n">
        <v>45488</v>
      </c>
      <c r="K136" s="34" t="n">
        <v>45659</v>
      </c>
      <c r="L136" s="0">
        <f>DATEDIF(J136,$L$1,"M")</f>
        <v/>
      </c>
      <c r="M136" s="0">
        <f>IF(L136&lt;18,"新品期",IF(L136&lt;=36,"老品期","衰退期"))</f>
        <v/>
      </c>
    </row>
    <row r="137" ht="15" customFormat="1" customHeight="1" s="36">
      <c r="A137" s="4" t="inlineStr">
        <is>
          <t>Jabbol-US</t>
        </is>
      </c>
      <c r="B137" s="4" t="inlineStr">
        <is>
          <t>Jabbol美国站</t>
        </is>
      </c>
      <c r="C137" s="4">
        <f>B137&amp;D137</f>
        <v/>
      </c>
      <c r="D137" s="4" t="inlineStr">
        <is>
          <t>8807CP JB-ZZ01</t>
        </is>
      </c>
      <c r="E137" s="4" t="inlineStr">
        <is>
          <t>221F0088CP1</t>
        </is>
      </c>
      <c r="F137" s="4" t="inlineStr">
        <is>
          <t>88系列三件套缸边浴缸龙头铬色</t>
        </is>
      </c>
      <c r="G137" s="4" t="inlineStr">
        <is>
          <t>朱艺璇</t>
        </is>
      </c>
      <c r="H137" s="4" t="inlineStr">
        <is>
          <t>缸边浴缸</t>
        </is>
      </c>
      <c r="I137" s="12" t="inlineStr">
        <is>
          <t>是</t>
        </is>
      </c>
      <c r="J137" s="34" t="n">
        <v>45488</v>
      </c>
      <c r="K137" s="34" t="n">
        <v>45659</v>
      </c>
      <c r="L137" s="0">
        <f>DATEDIF(J137,$L$1,"M")</f>
        <v/>
      </c>
      <c r="M137" s="0">
        <f>IF(L137&lt;18,"新品期",IF(L137&lt;=36,"老品期","衰退期"))</f>
        <v/>
      </c>
    </row>
    <row r="138" ht="15" customFormat="1" customHeight="1" s="36">
      <c r="A138" s="4" t="inlineStr">
        <is>
          <t>Jabbol-US</t>
        </is>
      </c>
      <c r="B138" s="4" t="inlineStr">
        <is>
          <t>Jabbol美国站</t>
        </is>
      </c>
      <c r="C138" s="4">
        <f>B138&amp;D138</f>
        <v/>
      </c>
      <c r="D138" s="4" t="inlineStr">
        <is>
          <t>8807CPJB-2</t>
        </is>
      </c>
      <c r="E138" s="4" t="inlineStr">
        <is>
          <t>221F0088CP1</t>
        </is>
      </c>
      <c r="F138" s="4" t="inlineStr">
        <is>
          <t>88系列三件套缸边浴缸龙头铬色</t>
        </is>
      </c>
      <c r="G138" s="4" t="inlineStr">
        <is>
          <t>朱艺璇</t>
        </is>
      </c>
      <c r="H138" s="4" t="inlineStr">
        <is>
          <t>缸边浴缸</t>
        </is>
      </c>
      <c r="I138" s="12" t="inlineStr">
        <is>
          <t>否</t>
        </is>
      </c>
      <c r="J138" s="34" t="n">
        <v>45488</v>
      </c>
      <c r="K138" s="34" t="n">
        <v>45659</v>
      </c>
      <c r="L138" s="0">
        <f>DATEDIF(J138,$L$1,"M")</f>
        <v/>
      </c>
      <c r="M138" s="0">
        <f>IF(L138&lt;18,"新品期",IF(L138&lt;=36,"老品期","衰退期"))</f>
        <v/>
      </c>
    </row>
    <row r="139" ht="15" customFormat="1" customHeight="1" s="36">
      <c r="A139" s="4" t="inlineStr">
        <is>
          <t>Jabbol-US</t>
        </is>
      </c>
      <c r="B139" s="4" t="inlineStr">
        <is>
          <t>Jabbol美国站</t>
        </is>
      </c>
      <c r="C139" s="4">
        <f>B139&amp;D139</f>
        <v/>
      </c>
      <c r="D139" s="4" t="inlineStr">
        <is>
          <t>8807ORBJB-2</t>
        </is>
      </c>
      <c r="E139" s="4" t="inlineStr">
        <is>
          <t>221F0088OB1</t>
        </is>
      </c>
      <c r="F139" s="4" t="inlineStr">
        <is>
          <t>88系列三件套缸边浴缸龙头拉丝红古铜</t>
        </is>
      </c>
      <c r="G139" s="4" t="inlineStr">
        <is>
          <t>朱艺璇</t>
        </is>
      </c>
      <c r="H139" s="4" t="inlineStr">
        <is>
          <t>缸边浴缸</t>
        </is>
      </c>
      <c r="I139" s="12" t="inlineStr">
        <is>
          <t>否</t>
        </is>
      </c>
      <c r="J139" s="34" t="n">
        <v>45488</v>
      </c>
      <c r="K139" s="34" t="n">
        <v>45659</v>
      </c>
      <c r="L139" s="0">
        <f>DATEDIF(J139,$L$1,"M")</f>
        <v/>
      </c>
      <c r="M139" s="0">
        <f>IF(L139&lt;18,"新品期",IF(L139&lt;=36,"老品期","衰退期"))</f>
        <v/>
      </c>
    </row>
    <row r="140" ht="15" customFormat="1" customHeight="1" s="36">
      <c r="A140" s="4" t="inlineStr">
        <is>
          <t>Jabbol-US</t>
        </is>
      </c>
      <c r="B140" s="4" t="inlineStr">
        <is>
          <t>Jabbol美国站</t>
        </is>
      </c>
      <c r="C140" s="4">
        <f>B140&amp;D140</f>
        <v/>
      </c>
      <c r="D140" s="4" t="inlineStr">
        <is>
          <t>8807ORBJB-ZZ</t>
        </is>
      </c>
      <c r="E140" s="4" t="inlineStr">
        <is>
          <t>221F0088OB1</t>
        </is>
      </c>
      <c r="F140" s="4" t="inlineStr">
        <is>
          <t>88系列三件套缸边浴缸龙头拉丝红古铜</t>
        </is>
      </c>
      <c r="G140" s="4" t="inlineStr">
        <is>
          <t>朱艺璇</t>
        </is>
      </c>
      <c r="H140" s="4" t="inlineStr">
        <is>
          <t>缸边浴缸</t>
        </is>
      </c>
      <c r="I140" s="12" t="inlineStr">
        <is>
          <t>是</t>
        </is>
      </c>
      <c r="J140" s="34" t="n">
        <v>45488</v>
      </c>
      <c r="K140" s="34" t="n">
        <v>45659</v>
      </c>
      <c r="L140" s="0">
        <f>DATEDIF(J140,$L$1,"M")</f>
        <v/>
      </c>
      <c r="M140" s="0">
        <f>IF(L140&lt;18,"新品期",IF(L140&lt;=36,"老品期","衰退期"))</f>
        <v/>
      </c>
    </row>
    <row r="141" ht="15" customFormat="1" customHeight="1" s="36">
      <c r="A141" s="4" t="inlineStr">
        <is>
          <t>Jabbol-US</t>
        </is>
      </c>
      <c r="B141" s="4" t="inlineStr">
        <is>
          <t>Jabbol美国站</t>
        </is>
      </c>
      <c r="C141" s="4">
        <f>B141&amp;D141</f>
        <v/>
      </c>
      <c r="D141" s="4" t="inlineStr">
        <is>
          <t>8808BG JB-1</t>
        </is>
      </c>
      <c r="E141" s="4" t="inlineStr">
        <is>
          <t>222F0088BG1</t>
        </is>
      </c>
      <c r="F141" s="4" t="inlineStr">
        <is>
          <t>88系列四件套缸边浴缸龙头拉丝钛金封油</t>
        </is>
      </c>
      <c r="G141" s="4" t="inlineStr">
        <is>
          <t>朱艺璇</t>
        </is>
      </c>
      <c r="H141" s="4" t="inlineStr">
        <is>
          <t>缸边浴缸</t>
        </is>
      </c>
      <c r="I141" s="12" t="inlineStr">
        <is>
          <t>否</t>
        </is>
      </c>
      <c r="J141" s="34" t="n">
        <v>45488</v>
      </c>
      <c r="K141" s="34" t="n">
        <v>45685</v>
      </c>
      <c r="L141" s="0">
        <f>DATEDIF(J141,$L$1,"M")</f>
        <v/>
      </c>
      <c r="M141" s="0">
        <f>IF(L141&lt;18,"新品期",IF(L141&lt;=36,"老品期","衰退期"))</f>
        <v/>
      </c>
    </row>
    <row r="142" ht="15" customFormat="1" customHeight="1" s="36">
      <c r="A142" s="4" t="inlineStr">
        <is>
          <t>Jabbol-US</t>
        </is>
      </c>
      <c r="B142" s="4" t="inlineStr">
        <is>
          <t>Jabbol美国站</t>
        </is>
      </c>
      <c r="C142" s="4">
        <f>B142&amp;D142</f>
        <v/>
      </c>
      <c r="D142" s="4" t="inlineStr">
        <is>
          <t>8808BK JB-1</t>
        </is>
      </c>
      <c r="E142" s="4" t="inlineStr">
        <is>
          <t>222F0088BK1</t>
        </is>
      </c>
      <c r="F142" s="4" t="inlineStr">
        <is>
          <t>88系列四件套缸边浴缸龙头电泳黑</t>
        </is>
      </c>
      <c r="G142" s="4" t="inlineStr">
        <is>
          <t>朱艺璇</t>
        </is>
      </c>
      <c r="H142" s="4" t="inlineStr">
        <is>
          <t>缸边浴缸</t>
        </is>
      </c>
      <c r="I142" s="12" t="inlineStr">
        <is>
          <t>否</t>
        </is>
      </c>
      <c r="J142" s="34" t="n">
        <v>45488</v>
      </c>
      <c r="K142" s="34" t="n">
        <v>45685</v>
      </c>
      <c r="L142" s="0">
        <f>DATEDIF(J142,$L$1,"M")</f>
        <v/>
      </c>
      <c r="M142" s="0">
        <f>IF(L142&lt;18,"新品期",IF(L142&lt;=36,"老品期","衰退期"))</f>
        <v/>
      </c>
    </row>
    <row r="143" ht="15" customFormat="1" customHeight="1" s="36">
      <c r="A143" s="4" t="inlineStr">
        <is>
          <t>Jabbol-US</t>
        </is>
      </c>
      <c r="B143" s="4" t="inlineStr">
        <is>
          <t>Jabbol美国站</t>
        </is>
      </c>
      <c r="C143" s="4">
        <f>B143&amp;D143</f>
        <v/>
      </c>
      <c r="D143" s="4" t="inlineStr">
        <is>
          <t>8808BN JB-1</t>
        </is>
      </c>
      <c r="E143" s="4" t="inlineStr">
        <is>
          <t>222F0088BN1</t>
        </is>
      </c>
      <c r="F143" s="4" t="inlineStr">
        <is>
          <t>88系列四件套缸边浴缸龙头拉丝封油</t>
        </is>
      </c>
      <c r="G143" s="4" t="inlineStr">
        <is>
          <t>朱艺璇</t>
        </is>
      </c>
      <c r="H143" s="4" t="inlineStr">
        <is>
          <t>缸边浴缸</t>
        </is>
      </c>
      <c r="I143" s="12" t="inlineStr">
        <is>
          <t>否</t>
        </is>
      </c>
      <c r="J143" s="34" t="n">
        <v>45488</v>
      </c>
      <c r="K143" s="34" t="n">
        <v>45685</v>
      </c>
      <c r="L143" s="0">
        <f>DATEDIF(J143,$L$1,"M")</f>
        <v/>
      </c>
      <c r="M143" s="0">
        <f>IF(L143&lt;18,"新品期",IF(L143&lt;=36,"老品期","衰退期"))</f>
        <v/>
      </c>
    </row>
    <row r="144" ht="15" customFormat="1" customHeight="1" s="36">
      <c r="A144" s="4" t="inlineStr">
        <is>
          <t>Jabbol-US</t>
        </is>
      </c>
      <c r="B144" s="4" t="inlineStr">
        <is>
          <t>Jabbol美国站</t>
        </is>
      </c>
      <c r="C144" s="4">
        <f>B144&amp;D144</f>
        <v/>
      </c>
      <c r="D144" s="4" t="inlineStr">
        <is>
          <t>8808CP JB-1</t>
        </is>
      </c>
      <c r="E144" s="4" t="inlineStr">
        <is>
          <t>222F0088CP1</t>
        </is>
      </c>
      <c r="F144" s="4" t="inlineStr">
        <is>
          <t>88系列四件套缸边浴缸龙头铬色</t>
        </is>
      </c>
      <c r="G144" s="4" t="inlineStr">
        <is>
          <t>朱艺璇</t>
        </is>
      </c>
      <c r="H144" s="4" t="inlineStr">
        <is>
          <t>缸边浴缸</t>
        </is>
      </c>
      <c r="I144" s="12" t="inlineStr">
        <is>
          <t>否</t>
        </is>
      </c>
      <c r="J144" s="34" t="n">
        <v>45488</v>
      </c>
      <c r="K144" s="34" t="n">
        <v>45685</v>
      </c>
      <c r="L144" s="0">
        <f>DATEDIF(J144,$L$1,"M")</f>
        <v/>
      </c>
      <c r="M144" s="0">
        <f>IF(L144&lt;18,"新品期",IF(L144&lt;=36,"老品期","衰退期"))</f>
        <v/>
      </c>
    </row>
    <row r="145" ht="15" customFormat="1" customHeight="1" s="36">
      <c r="A145" s="4" t="inlineStr">
        <is>
          <t>Jabbol-US</t>
        </is>
      </c>
      <c r="B145" s="4" t="inlineStr">
        <is>
          <t>Jabbol美国站</t>
        </is>
      </c>
      <c r="C145" s="4">
        <f>B145&amp;D145</f>
        <v/>
      </c>
      <c r="D145" s="4" t="inlineStr">
        <is>
          <t>8808ORB JB-1</t>
        </is>
      </c>
      <c r="E145" s="4" t="inlineStr">
        <is>
          <t>222F0088OB1</t>
        </is>
      </c>
      <c r="F145" s="4" t="inlineStr">
        <is>
          <t>88系列四件套缸边浴缸龙头拉丝红古铜</t>
        </is>
      </c>
      <c r="G145" s="4" t="inlineStr">
        <is>
          <t>朱艺璇</t>
        </is>
      </c>
      <c r="H145" s="4" t="inlineStr">
        <is>
          <t>缸边浴缸</t>
        </is>
      </c>
      <c r="I145" s="12" t="inlineStr">
        <is>
          <t>否</t>
        </is>
      </c>
      <c r="J145" s="34" t="n">
        <v>45488</v>
      </c>
      <c r="K145" s="34" t="n">
        <v>45685</v>
      </c>
      <c r="L145" s="0">
        <f>DATEDIF(J145,$L$1,"M")</f>
        <v/>
      </c>
      <c r="M145" s="0">
        <f>IF(L145&lt;18,"新品期",IF(L145&lt;=36,"老品期","衰退期"))</f>
        <v/>
      </c>
    </row>
    <row r="146" ht="15" customFormat="1" customHeight="1" s="36">
      <c r="A146" s="4" t="inlineStr">
        <is>
          <t>Jabbol-US</t>
        </is>
      </c>
      <c r="B146" s="4" t="inlineStr">
        <is>
          <t>Jabbol美国站</t>
        </is>
      </c>
      <c r="C146" s="4">
        <f>B146&amp;D146</f>
        <v/>
      </c>
      <c r="D146" s="4" t="inlineStr">
        <is>
          <t>8809BG JB-1</t>
        </is>
      </c>
      <c r="E146" s="4" t="inlineStr">
        <is>
          <t>223F0088BG1</t>
        </is>
      </c>
      <c r="F146" s="4" t="inlineStr">
        <is>
          <t>88系列五件套缸边浴缸龙头拉丝钛金封油</t>
        </is>
      </c>
      <c r="G146" s="4" t="inlineStr">
        <is>
          <t>朱艺璇</t>
        </is>
      </c>
      <c r="H146" s="4" t="inlineStr">
        <is>
          <t>缸边浴缸</t>
        </is>
      </c>
      <c r="I146" s="12" t="inlineStr">
        <is>
          <t>是</t>
        </is>
      </c>
      <c r="J146" s="34" t="n">
        <v>45488</v>
      </c>
      <c r="K146" s="34" t="n">
        <v>45705</v>
      </c>
      <c r="L146" s="0">
        <f>DATEDIF(J146,$L$1,"M")</f>
        <v/>
      </c>
      <c r="M146" s="0">
        <f>IF(L146&lt;18,"新品期",IF(L146&lt;=36,"老品期","衰退期"))</f>
        <v/>
      </c>
    </row>
    <row r="147" ht="15" customFormat="1" customHeight="1" s="36">
      <c r="A147" s="4" t="inlineStr">
        <is>
          <t>Jabbol-US</t>
        </is>
      </c>
      <c r="B147" s="4" t="inlineStr">
        <is>
          <t>Jabbol美国站</t>
        </is>
      </c>
      <c r="C147" s="4">
        <f>B147&amp;D147</f>
        <v/>
      </c>
      <c r="D147" s="4" t="inlineStr">
        <is>
          <t>8809BK JB-1</t>
        </is>
      </c>
      <c r="E147" s="4" t="inlineStr">
        <is>
          <t>223F0088BK1</t>
        </is>
      </c>
      <c r="F147" s="4" t="inlineStr">
        <is>
          <t>88系列五件套缸边浴缸龙头电泳黑</t>
        </is>
      </c>
      <c r="G147" s="4" t="inlineStr">
        <is>
          <t>朱艺璇</t>
        </is>
      </c>
      <c r="H147" s="4" t="inlineStr">
        <is>
          <t>缸边浴缸</t>
        </is>
      </c>
      <c r="I147" s="12" t="inlineStr">
        <is>
          <t>是</t>
        </is>
      </c>
      <c r="J147" s="34" t="n">
        <v>45488</v>
      </c>
      <c r="K147" s="34" t="n">
        <v>45705</v>
      </c>
      <c r="L147" s="0">
        <f>DATEDIF(J147,$L$1,"M")</f>
        <v/>
      </c>
      <c r="M147" s="0">
        <f>IF(L147&lt;18,"新品期",IF(L147&lt;=36,"老品期","衰退期"))</f>
        <v/>
      </c>
    </row>
    <row r="148" ht="15" customFormat="1" customHeight="1" s="36">
      <c r="A148" s="4" t="inlineStr">
        <is>
          <t>Jabbol-US</t>
        </is>
      </c>
      <c r="B148" s="4" t="inlineStr">
        <is>
          <t>Jabbol美国站</t>
        </is>
      </c>
      <c r="C148" s="4">
        <f>B148&amp;D148</f>
        <v/>
      </c>
      <c r="D148" s="4" t="inlineStr">
        <is>
          <t>8809BN JB-1</t>
        </is>
      </c>
      <c r="E148" s="4" t="inlineStr">
        <is>
          <t>223F0088BN1</t>
        </is>
      </c>
      <c r="F148" s="4" t="inlineStr">
        <is>
          <t>88系列五件套缸边浴缸龙头拉丝封油</t>
        </is>
      </c>
      <c r="G148" s="4" t="inlineStr">
        <is>
          <t>朱艺璇</t>
        </is>
      </c>
      <c r="H148" s="4" t="inlineStr">
        <is>
          <t>缸边浴缸</t>
        </is>
      </c>
      <c r="I148" s="12" t="inlineStr">
        <is>
          <t>是</t>
        </is>
      </c>
      <c r="J148" s="34" t="n">
        <v>45488</v>
      </c>
      <c r="K148" s="34" t="n">
        <v>45705</v>
      </c>
      <c r="L148" s="0">
        <f>DATEDIF(J148,$L$1,"M")</f>
        <v/>
      </c>
      <c r="M148" s="0">
        <f>IF(L148&lt;18,"新品期",IF(L148&lt;=36,"老品期","衰退期"))</f>
        <v/>
      </c>
    </row>
    <row r="149" ht="15" customFormat="1" customHeight="1" s="36">
      <c r="A149" s="4" t="inlineStr">
        <is>
          <t>Jabbol-US</t>
        </is>
      </c>
      <c r="B149" s="4" t="inlineStr">
        <is>
          <t>Jabbol美国站</t>
        </is>
      </c>
      <c r="C149" s="4">
        <f>B149&amp;D149</f>
        <v/>
      </c>
      <c r="D149" s="4" t="inlineStr">
        <is>
          <t>8809CP JB-1</t>
        </is>
      </c>
      <c r="E149" s="4" t="inlineStr">
        <is>
          <t>223F0088CP1</t>
        </is>
      </c>
      <c r="F149" s="4" t="inlineStr">
        <is>
          <t>88系列五件套缸边浴缸龙头铬色</t>
        </is>
      </c>
      <c r="G149" s="4" t="inlineStr">
        <is>
          <t>朱艺璇</t>
        </is>
      </c>
      <c r="H149" s="4" t="inlineStr">
        <is>
          <t>缸边浴缸</t>
        </is>
      </c>
      <c r="I149" s="12" t="inlineStr">
        <is>
          <t>是</t>
        </is>
      </c>
      <c r="J149" s="34" t="n">
        <v>45488</v>
      </c>
      <c r="K149" s="34" t="n">
        <v>45705</v>
      </c>
      <c r="L149" s="0">
        <f>DATEDIF(J149,$L$1,"M")</f>
        <v/>
      </c>
      <c r="M149" s="0">
        <f>IF(L149&lt;18,"新品期",IF(L149&lt;=36,"老品期","衰退期"))</f>
        <v/>
      </c>
    </row>
    <row r="150" ht="15" customFormat="1" customHeight="1" s="36">
      <c r="A150" s="4" t="inlineStr">
        <is>
          <t>Jabbol-US</t>
        </is>
      </c>
      <c r="B150" s="4" t="inlineStr">
        <is>
          <t>Jabbol美国站</t>
        </is>
      </c>
      <c r="C150" s="4">
        <f>B150&amp;D150</f>
        <v/>
      </c>
      <c r="D150" s="4" t="inlineStr">
        <is>
          <t>8809ORB JB-1</t>
        </is>
      </c>
      <c r="E150" s="4" t="inlineStr">
        <is>
          <t>223F0088OB1</t>
        </is>
      </c>
      <c r="F150" s="4" t="inlineStr">
        <is>
          <t>88系列五件套缸边浴缸龙头拉丝红古铜</t>
        </is>
      </c>
      <c r="G150" s="4" t="inlineStr">
        <is>
          <t>朱艺璇</t>
        </is>
      </c>
      <c r="H150" s="4" t="inlineStr">
        <is>
          <t>缸边浴缸</t>
        </is>
      </c>
      <c r="I150" s="12" t="inlineStr">
        <is>
          <t>是</t>
        </is>
      </c>
      <c r="J150" s="34" t="n">
        <v>45488</v>
      </c>
      <c r="K150" s="34" t="n">
        <v>45705</v>
      </c>
      <c r="L150" s="0">
        <f>DATEDIF(J150,$L$1,"M")</f>
        <v/>
      </c>
      <c r="M150" s="0">
        <f>IF(L150&lt;18,"新品期",IF(L150&lt;=36,"老品期","衰退期"))</f>
        <v/>
      </c>
    </row>
    <row r="151" ht="15" customFormat="1" customHeight="1" s="36">
      <c r="A151" s="4" t="inlineStr">
        <is>
          <t>Jabbol-US</t>
        </is>
      </c>
      <c r="B151" s="4" t="inlineStr">
        <is>
          <t>Jabbol美国站</t>
        </is>
      </c>
      <c r="C151" s="4">
        <f>B151&amp;D151</f>
        <v/>
      </c>
      <c r="D151" s="4" t="inlineStr">
        <is>
          <t>8811 BG01</t>
        </is>
      </c>
      <c r="E151" s="4" t="inlineStr">
        <is>
          <t>211F0088BG1</t>
        </is>
      </c>
      <c r="F151" s="4" t="inlineStr">
        <is>
          <t>8811落地浴缸龙头拉丝钛金封油</t>
        </is>
      </c>
      <c r="G151" s="36" t="inlineStr">
        <is>
          <t>刘皓</t>
        </is>
      </c>
      <c r="H151" s="4" t="inlineStr">
        <is>
          <t>落地浴缸</t>
        </is>
      </c>
      <c r="I151" s="12" t="inlineStr">
        <is>
          <t>否</t>
        </is>
      </c>
      <c r="J151" s="34" t="n">
        <v>45553</v>
      </c>
      <c r="K151" s="34" t="n">
        <v>45748</v>
      </c>
      <c r="L151" s="0">
        <f>DATEDIF(J151,$L$1,"M")</f>
        <v/>
      </c>
      <c r="M151" s="0">
        <f>IF(L151&lt;18,"新品期",IF(L151&lt;=36,"老品期","衰退期"))</f>
        <v/>
      </c>
      <c r="N151" s="36" t="inlineStr">
        <is>
          <t>2026年4月17日之前王幸负责</t>
        </is>
      </c>
    </row>
    <row r="152" ht="15" customFormat="1" customHeight="1" s="36">
      <c r="A152" s="4" t="inlineStr">
        <is>
          <t>Jabbol-CA</t>
        </is>
      </c>
      <c r="B152" s="4" t="inlineStr">
        <is>
          <t>Jabbol加拿大站</t>
        </is>
      </c>
      <c r="C152" s="4">
        <f>B152&amp;D152</f>
        <v/>
      </c>
      <c r="D152" s="4" t="inlineStr">
        <is>
          <t>8811 BG01</t>
        </is>
      </c>
      <c r="E152" s="4" t="inlineStr">
        <is>
          <t>211F0088BG1</t>
        </is>
      </c>
      <c r="F152" s="4" t="inlineStr">
        <is>
          <t>8811落地浴缸龙头拉丝钛金封油</t>
        </is>
      </c>
      <c r="G152" s="36" t="inlineStr">
        <is>
          <t>刘皓</t>
        </is>
      </c>
      <c r="H152" s="4" t="inlineStr">
        <is>
          <t>落地浴缸</t>
        </is>
      </c>
      <c r="I152" s="12" t="inlineStr">
        <is>
          <t>否</t>
        </is>
      </c>
      <c r="J152" s="34" t="n">
        <v>45553</v>
      </c>
      <c r="K152" s="34" t="n">
        <v>45748</v>
      </c>
      <c r="L152" s="0">
        <f>DATEDIF(J152,$L$1,"M")</f>
        <v/>
      </c>
      <c r="M152" s="0">
        <f>IF(L152&lt;18,"新品期",IF(L152&lt;=36,"老品期","衰退期"))</f>
        <v/>
      </c>
      <c r="N152" s="36" t="inlineStr">
        <is>
          <t>2026年4月17日之前王幸负责</t>
        </is>
      </c>
    </row>
    <row r="153" ht="15" customFormat="1" customHeight="1" s="36">
      <c r="A153" s="4" t="inlineStr">
        <is>
          <t>Jabbol-US</t>
        </is>
      </c>
      <c r="B153" s="4" t="inlineStr">
        <is>
          <t>Jabbol美国站</t>
        </is>
      </c>
      <c r="C153" s="4">
        <f>B153&amp;D153</f>
        <v/>
      </c>
      <c r="D153" s="4" t="inlineStr">
        <is>
          <t>8811 BK01</t>
        </is>
      </c>
      <c r="E153" s="4" t="inlineStr">
        <is>
          <t>211F0088BK2</t>
        </is>
      </c>
      <c r="F153" s="4" t="inlineStr">
        <is>
          <t>8811落地浴缸龙头哑黑</t>
        </is>
      </c>
      <c r="G153" s="36" t="inlineStr">
        <is>
          <t>刘皓</t>
        </is>
      </c>
      <c r="H153" s="4" t="inlineStr">
        <is>
          <t>落地浴缸</t>
        </is>
      </c>
      <c r="I153" s="12" t="inlineStr">
        <is>
          <t>否</t>
        </is>
      </c>
      <c r="J153" s="34" t="n">
        <v>45553</v>
      </c>
      <c r="K153" s="34" t="n">
        <v>45748</v>
      </c>
      <c r="L153" s="0">
        <f>DATEDIF(J153,$L$1,"M")</f>
        <v/>
      </c>
      <c r="M153" s="0">
        <f>IF(L153&lt;18,"新品期",IF(L153&lt;=36,"老品期","衰退期"))</f>
        <v/>
      </c>
      <c r="N153" s="36" t="inlineStr">
        <is>
          <t>2026年4月17日之前王幸负责</t>
        </is>
      </c>
    </row>
    <row r="154" ht="15" customFormat="1" customHeight="1" s="36">
      <c r="A154" s="4" t="inlineStr">
        <is>
          <t>Jabbol-CA</t>
        </is>
      </c>
      <c r="B154" s="4" t="inlineStr">
        <is>
          <t>Jabbol加拿大站</t>
        </is>
      </c>
      <c r="C154" s="4">
        <f>B154&amp;D154</f>
        <v/>
      </c>
      <c r="D154" s="4" t="inlineStr">
        <is>
          <t>8811 BK01</t>
        </is>
      </c>
      <c r="E154" s="4" t="inlineStr">
        <is>
          <t>211F0088BK2</t>
        </is>
      </c>
      <c r="F154" s="4" t="inlineStr">
        <is>
          <t>8811落地浴缸龙头哑黑</t>
        </is>
      </c>
      <c r="G154" s="36" t="inlineStr">
        <is>
          <t>刘皓</t>
        </is>
      </c>
      <c r="H154" s="4" t="inlineStr">
        <is>
          <t>落地浴缸</t>
        </is>
      </c>
      <c r="I154" s="12" t="inlineStr">
        <is>
          <t>否</t>
        </is>
      </c>
      <c r="J154" s="34" t="n">
        <v>45553</v>
      </c>
      <c r="K154" s="34" t="n">
        <v>45748</v>
      </c>
      <c r="L154" s="0">
        <f>DATEDIF(J154,$L$1,"M")</f>
        <v/>
      </c>
      <c r="M154" s="0">
        <f>IF(L154&lt;18,"新品期",IF(L154&lt;=36,"老品期","衰退期"))</f>
        <v/>
      </c>
      <c r="N154" s="36" t="inlineStr">
        <is>
          <t>2026年4月17日之前王幸负责</t>
        </is>
      </c>
    </row>
    <row r="155" ht="15" customFormat="1" customHeight="1" s="36">
      <c r="A155" s="4" t="inlineStr">
        <is>
          <t>Jabbol-US</t>
        </is>
      </c>
      <c r="B155" s="4" t="inlineStr">
        <is>
          <t>Jabbol美国站</t>
        </is>
      </c>
      <c r="C155" s="4">
        <f>B155&amp;D155</f>
        <v/>
      </c>
      <c r="D155" s="4" t="inlineStr">
        <is>
          <t>8811 BN01</t>
        </is>
      </c>
      <c r="E155" s="4" t="inlineStr">
        <is>
          <t>211F0088BN1</t>
        </is>
      </c>
      <c r="F155" s="4" t="inlineStr">
        <is>
          <t>8811落地浴缸龙头拉丝封油</t>
        </is>
      </c>
      <c r="G155" s="36" t="inlineStr">
        <is>
          <t>刘皓</t>
        </is>
      </c>
      <c r="H155" s="4" t="inlineStr">
        <is>
          <t>落地浴缸</t>
        </is>
      </c>
      <c r="I155" s="12" t="inlineStr">
        <is>
          <t>否</t>
        </is>
      </c>
      <c r="J155" s="34" t="n">
        <v>45553</v>
      </c>
      <c r="K155" s="34" t="n">
        <v>45748</v>
      </c>
      <c r="L155" s="0">
        <f>DATEDIF(J155,$L$1,"M")</f>
        <v/>
      </c>
      <c r="M155" s="0">
        <f>IF(L155&lt;18,"新品期",IF(L155&lt;=36,"老品期","衰退期"))</f>
        <v/>
      </c>
      <c r="N155" s="36" t="inlineStr">
        <is>
          <t>2026年4月17日之前王幸负责</t>
        </is>
      </c>
    </row>
    <row r="156" ht="15" customFormat="1" customHeight="1" s="36">
      <c r="A156" s="4" t="inlineStr">
        <is>
          <t>Jabbol-CA</t>
        </is>
      </c>
      <c r="B156" s="4" t="inlineStr">
        <is>
          <t>Jabbol加拿大站</t>
        </is>
      </c>
      <c r="C156" s="4">
        <f>B156&amp;D156</f>
        <v/>
      </c>
      <c r="D156" s="4" t="inlineStr">
        <is>
          <t>8811 BN01</t>
        </is>
      </c>
      <c r="E156" s="4" t="inlineStr">
        <is>
          <t>211F0088BN1</t>
        </is>
      </c>
      <c r="F156" s="4" t="inlineStr">
        <is>
          <t>8811落地浴缸龙头拉丝封油</t>
        </is>
      </c>
      <c r="G156" s="36" t="inlineStr">
        <is>
          <t>刘皓</t>
        </is>
      </c>
      <c r="H156" s="4" t="inlineStr">
        <is>
          <t>落地浴缸</t>
        </is>
      </c>
      <c r="I156" s="12" t="inlineStr">
        <is>
          <t>否</t>
        </is>
      </c>
      <c r="J156" s="34" t="n">
        <v>45553</v>
      </c>
      <c r="K156" s="34" t="n">
        <v>45748</v>
      </c>
      <c r="L156" s="0">
        <f>DATEDIF(J156,$L$1,"M")</f>
        <v/>
      </c>
      <c r="M156" s="0">
        <f>IF(L156&lt;18,"新品期",IF(L156&lt;=36,"老品期","衰退期"))</f>
        <v/>
      </c>
      <c r="N156" s="36" t="inlineStr">
        <is>
          <t>2026年4月17日之前王幸负责</t>
        </is>
      </c>
    </row>
    <row r="157" ht="15" customFormat="1" customHeight="1" s="36">
      <c r="A157" s="4" t="inlineStr">
        <is>
          <t>Jabbol-US</t>
        </is>
      </c>
      <c r="B157" s="4" t="inlineStr">
        <is>
          <t>Jabbol美国站</t>
        </is>
      </c>
      <c r="C157" s="4">
        <f>B157&amp;D157</f>
        <v/>
      </c>
      <c r="D157" s="4" t="inlineStr">
        <is>
          <t>8811 CP01</t>
        </is>
      </c>
      <c r="E157" s="4" t="inlineStr">
        <is>
          <t>211F0088CP1</t>
        </is>
      </c>
      <c r="F157" s="4" t="inlineStr">
        <is>
          <t>8811落地浴缸龙头铬色</t>
        </is>
      </c>
      <c r="G157" s="36" t="inlineStr">
        <is>
          <t>刘皓</t>
        </is>
      </c>
      <c r="H157" s="4" t="inlineStr">
        <is>
          <t>落地浴缸</t>
        </is>
      </c>
      <c r="I157" s="12" t="inlineStr">
        <is>
          <t>否</t>
        </is>
      </c>
      <c r="J157" s="34" t="n">
        <v>45553</v>
      </c>
      <c r="K157" s="34" t="n">
        <v>45748</v>
      </c>
      <c r="L157" s="0">
        <f>DATEDIF(J157,$L$1,"M")</f>
        <v/>
      </c>
      <c r="M157" s="0">
        <f>IF(L157&lt;18,"新品期",IF(L157&lt;=36,"老品期","衰退期"))</f>
        <v/>
      </c>
      <c r="N157" s="36" t="inlineStr">
        <is>
          <t>2026年4月17日之前王幸负责</t>
        </is>
      </c>
    </row>
    <row r="158" ht="15" customFormat="1" customHeight="1" s="36">
      <c r="A158" s="4" t="inlineStr">
        <is>
          <t>Jabbol-CA</t>
        </is>
      </c>
      <c r="B158" s="4" t="inlineStr">
        <is>
          <t>Jabbol加拿大站</t>
        </is>
      </c>
      <c r="C158" s="4">
        <f>B158&amp;D158</f>
        <v/>
      </c>
      <c r="D158" s="4" t="inlineStr">
        <is>
          <t>8811 CP01</t>
        </is>
      </c>
      <c r="E158" s="4" t="inlineStr">
        <is>
          <t>211F0088CP1</t>
        </is>
      </c>
      <c r="F158" s="4" t="inlineStr">
        <is>
          <t>8811落地浴缸龙头铬色</t>
        </is>
      </c>
      <c r="G158" s="36" t="inlineStr">
        <is>
          <t>刘皓</t>
        </is>
      </c>
      <c r="H158" s="4" t="inlineStr">
        <is>
          <t>落地浴缸</t>
        </is>
      </c>
      <c r="I158" s="12" t="inlineStr">
        <is>
          <t>否</t>
        </is>
      </c>
      <c r="J158" s="34" t="n">
        <v>45553</v>
      </c>
      <c r="K158" s="34" t="n">
        <v>45748</v>
      </c>
      <c r="L158" s="0">
        <f>DATEDIF(J158,$L$1,"M")</f>
        <v/>
      </c>
      <c r="M158" s="0">
        <f>IF(L158&lt;18,"新品期",IF(L158&lt;=36,"老品期","衰退期"))</f>
        <v/>
      </c>
      <c r="N158" s="36" t="inlineStr">
        <is>
          <t>2026年4月17日之前王幸负责</t>
        </is>
      </c>
    </row>
    <row r="159" ht="15" customFormat="1" customHeight="1" s="36">
      <c r="A159" s="4" t="inlineStr">
        <is>
          <t>Jabbol-US</t>
        </is>
      </c>
      <c r="B159" s="4" t="inlineStr">
        <is>
          <t>Jabbol美国站</t>
        </is>
      </c>
      <c r="C159" s="4">
        <f>B159&amp;D159</f>
        <v/>
      </c>
      <c r="D159" s="4" t="inlineStr">
        <is>
          <t>8811 ORB01</t>
        </is>
      </c>
      <c r="E159" s="4" t="inlineStr">
        <is>
          <t>211F0088OB1</t>
        </is>
      </c>
      <c r="F159" s="4" t="inlineStr">
        <is>
          <t>8811落地浴缸龙头拉丝古铜色</t>
        </is>
      </c>
      <c r="G159" s="36" t="inlineStr">
        <is>
          <t>刘皓</t>
        </is>
      </c>
      <c r="H159" s="4" t="inlineStr">
        <is>
          <t>落地浴缸</t>
        </is>
      </c>
      <c r="I159" s="12" t="inlineStr">
        <is>
          <t>否</t>
        </is>
      </c>
      <c r="J159" s="34" t="n">
        <v>45553</v>
      </c>
      <c r="K159" s="34" t="n">
        <v>45748</v>
      </c>
      <c r="L159" s="0">
        <f>DATEDIF(J159,$L$1,"M")</f>
        <v/>
      </c>
      <c r="M159" s="0">
        <f>IF(L159&lt;18,"新品期",IF(L159&lt;=36,"老品期","衰退期"))</f>
        <v/>
      </c>
      <c r="N159" s="36" t="inlineStr">
        <is>
          <t>2026年4月17日之前王幸负责</t>
        </is>
      </c>
    </row>
    <row r="160" ht="15" customFormat="1" customHeight="1" s="36">
      <c r="A160" s="4" t="inlineStr">
        <is>
          <t>Jabbol-CA</t>
        </is>
      </c>
      <c r="B160" s="4" t="inlineStr">
        <is>
          <t>Jabbol加拿大站</t>
        </is>
      </c>
      <c r="C160" s="4">
        <f>B160&amp;D160</f>
        <v/>
      </c>
      <c r="D160" s="4" t="inlineStr">
        <is>
          <t>8811 ORB01</t>
        </is>
      </c>
      <c r="E160" s="4" t="inlineStr">
        <is>
          <t>211F0088OB1</t>
        </is>
      </c>
      <c r="F160" s="4" t="inlineStr">
        <is>
          <t>8811落地浴缸龙头拉丝古铜色</t>
        </is>
      </c>
      <c r="G160" s="36" t="inlineStr">
        <is>
          <t>刘皓</t>
        </is>
      </c>
      <c r="H160" s="4" t="inlineStr">
        <is>
          <t>落地浴缸</t>
        </is>
      </c>
      <c r="I160" s="12" t="inlineStr">
        <is>
          <t>否</t>
        </is>
      </c>
      <c r="J160" s="34" t="n">
        <v>45553</v>
      </c>
      <c r="K160" s="34" t="n">
        <v>45748</v>
      </c>
      <c r="L160" s="0">
        <f>DATEDIF(J160,$L$1,"M")</f>
        <v/>
      </c>
      <c r="M160" s="0">
        <f>IF(L160&lt;18,"新品期",IF(L160&lt;=36,"老品期","衰退期"))</f>
        <v/>
      </c>
      <c r="N160" s="36" t="inlineStr">
        <is>
          <t>2026年4月17日之前王幸负责</t>
        </is>
      </c>
    </row>
    <row r="161" ht="15" customFormat="1" customHeight="1" s="36">
      <c r="A161" s="4" t="inlineStr">
        <is>
          <t>Jabbol-US</t>
        </is>
      </c>
      <c r="B161" s="4" t="inlineStr">
        <is>
          <t>Jabbol美国站</t>
        </is>
      </c>
      <c r="C161" s="4">
        <f>B161&amp;D161</f>
        <v/>
      </c>
      <c r="D161" s="4" t="inlineStr">
        <is>
          <t>8811BG JB-ZZ</t>
        </is>
      </c>
      <c r="E161" s="4" t="inlineStr">
        <is>
          <t>211F0088BG1</t>
        </is>
      </c>
      <c r="F161" s="4" t="inlineStr">
        <is>
          <t>8811落地浴缸龙头拉丝钛金封油</t>
        </is>
      </c>
      <c r="G161" s="36" t="inlineStr">
        <is>
          <t>刘皓</t>
        </is>
      </c>
      <c r="H161" s="4" t="inlineStr">
        <is>
          <t>落地浴缸</t>
        </is>
      </c>
      <c r="I161" s="12" t="inlineStr">
        <is>
          <t>否</t>
        </is>
      </c>
      <c r="J161" s="34" t="n">
        <v>45553</v>
      </c>
      <c r="K161" s="34" t="n">
        <v>45748</v>
      </c>
      <c r="L161" s="0">
        <f>DATEDIF(J161,$L$1,"M")</f>
        <v/>
      </c>
      <c r="M161" s="0">
        <f>IF(L161&lt;18,"新品期",IF(L161&lt;=36,"老品期","衰退期"))</f>
        <v/>
      </c>
      <c r="N161" s="36" t="inlineStr">
        <is>
          <t>2026年4月17日之前王幸负责</t>
        </is>
      </c>
    </row>
    <row r="162" ht="15" customFormat="1" customHeight="1" s="36">
      <c r="A162" s="4" t="inlineStr">
        <is>
          <t>Jabbol-US</t>
        </is>
      </c>
      <c r="B162" s="4" t="inlineStr">
        <is>
          <t>Jabbol美国站</t>
        </is>
      </c>
      <c r="C162" s="4">
        <f>B162&amp;D162</f>
        <v/>
      </c>
      <c r="D162" s="4" t="inlineStr">
        <is>
          <t>8811BK JB-ZZ</t>
        </is>
      </c>
      <c r="E162" s="4" t="inlineStr">
        <is>
          <t>211F0088BK2</t>
        </is>
      </c>
      <c r="F162" s="4" t="inlineStr">
        <is>
          <t>8811落地浴缸龙头哑黑</t>
        </is>
      </c>
      <c r="G162" s="36" t="inlineStr">
        <is>
          <t>刘皓</t>
        </is>
      </c>
      <c r="H162" s="4" t="inlineStr">
        <is>
          <t>落地浴缸</t>
        </is>
      </c>
      <c r="I162" s="12" t="inlineStr">
        <is>
          <t>否</t>
        </is>
      </c>
      <c r="J162" s="34" t="n">
        <v>45553</v>
      </c>
      <c r="K162" s="34" t="n">
        <v>45748</v>
      </c>
      <c r="L162" s="0">
        <f>DATEDIF(J162,$L$1,"M")</f>
        <v/>
      </c>
      <c r="M162" s="0">
        <f>IF(L162&lt;18,"新品期",IF(L162&lt;=36,"老品期","衰退期"))</f>
        <v/>
      </c>
      <c r="N162" s="36" t="inlineStr">
        <is>
          <t>2026年4月17日之前王幸负责</t>
        </is>
      </c>
    </row>
    <row r="163" ht="15" customFormat="1" customHeight="1" s="36">
      <c r="A163" s="4" t="inlineStr">
        <is>
          <t>Jabbol-CA</t>
        </is>
      </c>
      <c r="B163" s="4" t="inlineStr">
        <is>
          <t>Jabbol加拿大站</t>
        </is>
      </c>
      <c r="C163" s="4">
        <f>B163&amp;D163</f>
        <v/>
      </c>
      <c r="D163" s="4" t="inlineStr">
        <is>
          <t>8811BK JB-ZZ</t>
        </is>
      </c>
      <c r="E163" s="4" t="inlineStr">
        <is>
          <t>211F0088BK2</t>
        </is>
      </c>
      <c r="F163" s="4" t="inlineStr">
        <is>
          <t>8811落地浴缸龙头哑黑</t>
        </is>
      </c>
      <c r="G163" s="36" t="inlineStr">
        <is>
          <t>刘皓</t>
        </is>
      </c>
      <c r="H163" s="4" t="inlineStr">
        <is>
          <t>落地浴缸</t>
        </is>
      </c>
      <c r="I163" s="12" t="inlineStr">
        <is>
          <t>否</t>
        </is>
      </c>
      <c r="J163" s="34" t="n">
        <v>45553</v>
      </c>
      <c r="K163" s="34" t="n">
        <v>45748</v>
      </c>
      <c r="L163" s="0">
        <f>DATEDIF(J163,$L$1,"M")</f>
        <v/>
      </c>
      <c r="M163" s="0">
        <f>IF(L163&lt;18,"新品期",IF(L163&lt;=36,"老品期","衰退期"))</f>
        <v/>
      </c>
      <c r="N163" s="36" t="inlineStr">
        <is>
          <t>2026年4月17日之前王幸负责</t>
        </is>
      </c>
    </row>
    <row r="164" ht="15" customFormat="1" customHeight="1" s="36">
      <c r="A164" s="4" t="inlineStr">
        <is>
          <t>Jabbol-US</t>
        </is>
      </c>
      <c r="B164" s="4" t="inlineStr">
        <is>
          <t>Jabbol美国站</t>
        </is>
      </c>
      <c r="C164" s="4">
        <f>B164&amp;D164</f>
        <v/>
      </c>
      <c r="D164" s="4" t="inlineStr">
        <is>
          <t>8811BN JBZZ01</t>
        </is>
      </c>
      <c r="E164" s="4" t="inlineStr">
        <is>
          <t>211F0088BN1</t>
        </is>
      </c>
      <c r="F164" s="4" t="inlineStr">
        <is>
          <t>8811落地浴缸龙头拉丝封油</t>
        </is>
      </c>
      <c r="G164" s="36" t="inlineStr">
        <is>
          <t>刘皓</t>
        </is>
      </c>
      <c r="H164" s="4" t="inlineStr">
        <is>
          <t>落地浴缸</t>
        </is>
      </c>
      <c r="I164" s="12" t="inlineStr">
        <is>
          <t>否</t>
        </is>
      </c>
      <c r="J164" s="34" t="n">
        <v>45553</v>
      </c>
      <c r="K164" s="34" t="n">
        <v>45748</v>
      </c>
      <c r="L164" s="0">
        <f>DATEDIF(J164,$L$1,"M")</f>
        <v/>
      </c>
      <c r="M164" s="0">
        <f>IF(L164&lt;18,"新品期",IF(L164&lt;=36,"老品期","衰退期"))</f>
        <v/>
      </c>
      <c r="N164" s="36" t="inlineStr">
        <is>
          <t>2026年4月17日之前王幸负责</t>
        </is>
      </c>
    </row>
    <row r="165" ht="15" customFormat="1" customHeight="1" s="36">
      <c r="A165" s="4" t="inlineStr">
        <is>
          <t>Jabbol-CA</t>
        </is>
      </c>
      <c r="B165" s="4" t="inlineStr">
        <is>
          <t>Jabbol加拿大站</t>
        </is>
      </c>
      <c r="C165" s="4">
        <f>B165&amp;D165</f>
        <v/>
      </c>
      <c r="D165" s="4" t="inlineStr">
        <is>
          <t>8811BN JBZZ01</t>
        </is>
      </c>
      <c r="E165" s="4" t="inlineStr">
        <is>
          <t>211F0088BN1</t>
        </is>
      </c>
      <c r="F165" s="4" t="inlineStr">
        <is>
          <t>8811落地浴缸龙头拉丝封油</t>
        </is>
      </c>
      <c r="G165" s="36" t="inlineStr">
        <is>
          <t>刘皓</t>
        </is>
      </c>
      <c r="H165" s="4" t="inlineStr">
        <is>
          <t>落地浴缸</t>
        </is>
      </c>
      <c r="I165" s="12" t="inlineStr">
        <is>
          <t>否</t>
        </is>
      </c>
      <c r="J165" s="34" t="n">
        <v>45553</v>
      </c>
      <c r="K165" s="34" t="n">
        <v>45748</v>
      </c>
      <c r="L165" s="0">
        <f>DATEDIF(J165,$L$1,"M")</f>
        <v/>
      </c>
      <c r="M165" s="0">
        <f>IF(L165&lt;18,"新品期",IF(L165&lt;=36,"老品期","衰退期"))</f>
        <v/>
      </c>
      <c r="N165" s="36" t="inlineStr">
        <is>
          <t>2026年4月17日之前王幸负责</t>
        </is>
      </c>
    </row>
    <row r="166" ht="15" customFormat="1" customHeight="1" s="36">
      <c r="A166" s="4" t="inlineStr">
        <is>
          <t>Jabbol-US</t>
        </is>
      </c>
      <c r="B166" s="4" t="inlineStr">
        <is>
          <t>Jabbol美国站</t>
        </is>
      </c>
      <c r="C166" s="4">
        <f>B166&amp;D166</f>
        <v/>
      </c>
      <c r="D166" s="4" t="inlineStr">
        <is>
          <t>8811ORB JB-ZZ</t>
        </is>
      </c>
      <c r="E166" s="4" t="inlineStr">
        <is>
          <t>211F0088OB1</t>
        </is>
      </c>
      <c r="F166" s="4" t="inlineStr">
        <is>
          <t>8811落地浴缸龙头拉丝古铜色</t>
        </is>
      </c>
      <c r="G166" s="36" t="inlineStr">
        <is>
          <t>刘皓</t>
        </is>
      </c>
      <c r="H166" s="4" t="inlineStr">
        <is>
          <t>落地浴缸</t>
        </is>
      </c>
      <c r="I166" s="12" t="inlineStr">
        <is>
          <t>否</t>
        </is>
      </c>
      <c r="J166" s="34" t="n">
        <v>45553</v>
      </c>
      <c r="K166" s="34" t="n">
        <v>45748</v>
      </c>
      <c r="L166" s="0">
        <f>DATEDIF(J166,$L$1,"M")</f>
        <v/>
      </c>
      <c r="M166" s="0">
        <f>IF(L166&lt;18,"新品期",IF(L166&lt;=36,"老品期","衰退期"))</f>
        <v/>
      </c>
      <c r="N166" s="36" t="inlineStr">
        <is>
          <t>2026年4月17日之前王幸负责</t>
        </is>
      </c>
    </row>
    <row r="167" ht="15" customFormat="1" customHeight="1" s="36">
      <c r="A167" s="4" t="inlineStr">
        <is>
          <t>Jabbol-CA</t>
        </is>
      </c>
      <c r="B167" s="4" t="inlineStr">
        <is>
          <t>Jabbol加拿大站</t>
        </is>
      </c>
      <c r="C167" s="4">
        <f>B167&amp;D167</f>
        <v/>
      </c>
      <c r="D167" s="4" t="inlineStr">
        <is>
          <t>8811ORB JB-ZZ</t>
        </is>
      </c>
      <c r="E167" s="4" t="inlineStr">
        <is>
          <t>211F0088OB1</t>
        </is>
      </c>
      <c r="F167" s="4" t="inlineStr">
        <is>
          <t>8811落地浴缸龙头拉丝古铜色</t>
        </is>
      </c>
      <c r="G167" s="36" t="inlineStr">
        <is>
          <t>刘皓</t>
        </is>
      </c>
      <c r="H167" s="4" t="inlineStr">
        <is>
          <t>落地浴缸</t>
        </is>
      </c>
      <c r="I167" s="12" t="inlineStr">
        <is>
          <t>否</t>
        </is>
      </c>
      <c r="J167" s="34" t="n">
        <v>45553</v>
      </c>
      <c r="K167" s="34" t="n">
        <v>45748</v>
      </c>
      <c r="L167" s="0">
        <f>DATEDIF(J167,$L$1,"M")</f>
        <v/>
      </c>
      <c r="M167" s="0">
        <f>IF(L167&lt;18,"新品期",IF(L167&lt;=36,"老品期","衰退期"))</f>
        <v/>
      </c>
      <c r="N167" s="36" t="inlineStr">
        <is>
          <t>2026年4月17日之前王幸负责</t>
        </is>
      </c>
    </row>
    <row r="168" ht="15" customFormat="1" customHeight="1" s="36">
      <c r="A168" s="4" t="inlineStr">
        <is>
          <t>Qinkell-US</t>
        </is>
      </c>
      <c r="B168" s="4" t="inlineStr">
        <is>
          <t>Qinkell美国站</t>
        </is>
      </c>
      <c r="C168" s="4">
        <f>B168&amp;D168</f>
        <v/>
      </c>
      <c r="D168" s="4" t="inlineStr">
        <is>
          <t>8901BG QC1</t>
        </is>
      </c>
      <c r="E168" s="4" t="inlineStr">
        <is>
          <t>110F0089BG1</t>
        </is>
      </c>
      <c r="F168" s="4" t="inlineStr">
        <is>
          <t>89系列矮身单孔正开面盆龙头拉丝钛金封油</t>
        </is>
      </c>
      <c r="G168" s="4" t="inlineStr">
        <is>
          <t>曾志发</t>
        </is>
      </c>
      <c r="H168" s="4" t="inlineStr">
        <is>
          <t>面盆</t>
        </is>
      </c>
      <c r="I168" s="12" t="inlineStr">
        <is>
          <t>是</t>
        </is>
      </c>
      <c r="J168" s="34" t="n">
        <v>45616</v>
      </c>
      <c r="K168" s="34" t="n">
        <v>45616</v>
      </c>
      <c r="L168" s="0">
        <f>DATEDIF(J168,$L$1,"M")</f>
        <v/>
      </c>
      <c r="M168" s="0">
        <f>IF(L168&lt;18,"新品期",IF(L168&lt;=36,"老品期","衰退期"))</f>
        <v/>
      </c>
      <c r="N168" s="36" t="inlineStr">
        <is>
          <t>2025年9月1号以前梁丽梅负责</t>
        </is>
      </c>
    </row>
    <row r="169" ht="15" customFormat="1" customHeight="1" s="36">
      <c r="A169" s="4" t="inlineStr">
        <is>
          <t>Qinkell-US</t>
        </is>
      </c>
      <c r="B169" s="4" t="inlineStr">
        <is>
          <t>Qinkell美国站</t>
        </is>
      </c>
      <c r="C169" s="4">
        <f>B169&amp;D169</f>
        <v/>
      </c>
      <c r="D169" s="4" t="inlineStr">
        <is>
          <t>8901BG QC1BY1</t>
        </is>
      </c>
      <c r="E169" s="4" t="inlineStr">
        <is>
          <t>110F0089BG1</t>
        </is>
      </c>
      <c r="F169" s="4" t="inlineStr">
        <is>
          <t>89系列矮身单孔正开面盆龙头拉丝钛金封油</t>
        </is>
      </c>
      <c r="G169" s="4" t="inlineStr">
        <is>
          <t>曾志发</t>
        </is>
      </c>
      <c r="H169" s="4" t="inlineStr">
        <is>
          <t>面盆</t>
        </is>
      </c>
      <c r="I169" s="12" t="inlineStr">
        <is>
          <t>是</t>
        </is>
      </c>
      <c r="J169" s="34" t="n">
        <v>45616</v>
      </c>
      <c r="K169" s="34" t="n">
        <v>45616</v>
      </c>
      <c r="L169" s="0">
        <f>DATEDIF(J169,$L$1,"M")</f>
        <v/>
      </c>
      <c r="M169" s="0">
        <f>IF(L169&lt;18,"新品期",IF(L169&lt;=36,"老品期","衰退期"))</f>
        <v/>
      </c>
      <c r="N169" s="36" t="inlineStr">
        <is>
          <t>2025年9月1号以前梁丽梅负责</t>
        </is>
      </c>
    </row>
    <row r="170" ht="15" customFormat="1" customHeight="1" s="36">
      <c r="A170" s="4" t="inlineStr">
        <is>
          <t>Qinkell-US</t>
        </is>
      </c>
      <c r="B170" s="4" t="inlineStr">
        <is>
          <t>Qinkell美国站</t>
        </is>
      </c>
      <c r="C170" s="4">
        <f>B170&amp;D170</f>
        <v/>
      </c>
      <c r="D170" s="4" t="inlineStr">
        <is>
          <t>8901BG QC1BY2</t>
        </is>
      </c>
      <c r="E170" s="4" t="inlineStr">
        <is>
          <t>110F0089BG1</t>
        </is>
      </c>
      <c r="F170" s="4" t="inlineStr">
        <is>
          <t>89系列矮身单孔正开面盆龙头拉丝钛金封油</t>
        </is>
      </c>
      <c r="G170" s="4" t="inlineStr">
        <is>
          <t>曾志发</t>
        </is>
      </c>
      <c r="H170" s="4" t="inlineStr">
        <is>
          <t>面盆</t>
        </is>
      </c>
      <c r="I170" s="12" t="inlineStr">
        <is>
          <t>是</t>
        </is>
      </c>
      <c r="J170" s="34" t="n">
        <v>45616</v>
      </c>
      <c r="K170" s="34" t="n">
        <v>45616</v>
      </c>
      <c r="L170" s="0">
        <f>DATEDIF(J170,$L$1,"M")</f>
        <v/>
      </c>
      <c r="M170" s="0">
        <f>IF(L170&lt;18,"新品期",IF(L170&lt;=36,"老品期","衰退期"))</f>
        <v/>
      </c>
      <c r="N170" s="36" t="inlineStr">
        <is>
          <t>2025年9月1号以前梁丽梅负责</t>
        </is>
      </c>
    </row>
    <row r="171" ht="15" customFormat="1" customHeight="1" s="36">
      <c r="A171" s="4" t="inlineStr">
        <is>
          <t>Qinkell-US</t>
        </is>
      </c>
      <c r="B171" s="4" t="inlineStr">
        <is>
          <t>Qinkell美国站</t>
        </is>
      </c>
      <c r="C171" s="4">
        <f>B171&amp;D171</f>
        <v/>
      </c>
      <c r="D171" s="4" t="inlineStr">
        <is>
          <t>8901BG-QC1</t>
        </is>
      </c>
      <c r="E171" s="4" t="inlineStr">
        <is>
          <t>110F0089BG1</t>
        </is>
      </c>
      <c r="F171" s="4" t="inlineStr">
        <is>
          <t>89系列矮身单孔正开面盆龙头拉丝钛金封油</t>
        </is>
      </c>
      <c r="G171" s="4" t="inlineStr">
        <is>
          <t>曾志发</t>
        </is>
      </c>
      <c r="H171" s="4" t="inlineStr">
        <is>
          <t>面盆</t>
        </is>
      </c>
      <c r="I171" s="12" t="inlineStr">
        <is>
          <t>是</t>
        </is>
      </c>
      <c r="J171" s="34" t="n">
        <v>45616</v>
      </c>
      <c r="K171" s="34" t="n">
        <v>45616</v>
      </c>
      <c r="L171" s="0">
        <f>DATEDIF(J171,$L$1,"M")</f>
        <v/>
      </c>
      <c r="M171" s="0">
        <f>IF(L171&lt;18,"新品期",IF(L171&lt;=36,"老品期","衰退期"))</f>
        <v/>
      </c>
      <c r="N171" s="36" t="inlineStr">
        <is>
          <t>2025年9月1号以前梁丽梅负责</t>
        </is>
      </c>
    </row>
    <row r="172" ht="15" customFormat="1" customHeight="1" s="36">
      <c r="A172" s="4" t="inlineStr">
        <is>
          <t>Qinkell-US</t>
        </is>
      </c>
      <c r="B172" s="4" t="inlineStr">
        <is>
          <t>Qinkell美国站</t>
        </is>
      </c>
      <c r="C172" s="4">
        <f>B172&amp;D172</f>
        <v/>
      </c>
      <c r="D172" s="4" t="inlineStr">
        <is>
          <t>8901BK QC1</t>
        </is>
      </c>
      <c r="E172" s="4" t="inlineStr">
        <is>
          <t>110F0089BK1</t>
        </is>
      </c>
      <c r="F172" s="4" t="inlineStr">
        <is>
          <t>89系列矮身单孔正开面盆龙头电泳黑</t>
        </is>
      </c>
      <c r="G172" s="4" t="inlineStr">
        <is>
          <t>曾志发</t>
        </is>
      </c>
      <c r="H172" s="4" t="inlineStr">
        <is>
          <t>面盆</t>
        </is>
      </c>
      <c r="I172" s="12" t="inlineStr">
        <is>
          <t>是</t>
        </is>
      </c>
      <c r="J172" s="34" t="n">
        <v>45616</v>
      </c>
      <c r="K172" s="34" t="n">
        <v>45616</v>
      </c>
      <c r="L172" s="0">
        <f>DATEDIF(J172,$L$1,"M")</f>
        <v/>
      </c>
      <c r="M172" s="0">
        <f>IF(L172&lt;18,"新品期",IF(L172&lt;=36,"老品期","衰退期"))</f>
        <v/>
      </c>
      <c r="N172" s="36" t="inlineStr">
        <is>
          <t>2025年9月1号以前梁丽梅负责</t>
        </is>
      </c>
    </row>
    <row r="173" ht="15" customFormat="1" customHeight="1" s="36">
      <c r="A173" s="4" t="inlineStr">
        <is>
          <t>Qinkell-US</t>
        </is>
      </c>
      <c r="B173" s="4" t="inlineStr">
        <is>
          <t>Qinkell美国站</t>
        </is>
      </c>
      <c r="C173" s="4">
        <f>B173&amp;D173</f>
        <v/>
      </c>
      <c r="D173" s="4" t="inlineStr">
        <is>
          <t>8901BK QC1BY1</t>
        </is>
      </c>
      <c r="E173" s="4" t="inlineStr">
        <is>
          <t>110F0089BK1</t>
        </is>
      </c>
      <c r="F173" s="4" t="inlineStr">
        <is>
          <t>89系列矮身单孔正开面盆龙头电泳黑</t>
        </is>
      </c>
      <c r="G173" s="4" t="inlineStr">
        <is>
          <t>曾志发</t>
        </is>
      </c>
      <c r="H173" s="4" t="inlineStr">
        <is>
          <t>面盆</t>
        </is>
      </c>
      <c r="I173" s="12" t="inlineStr">
        <is>
          <t>是</t>
        </is>
      </c>
      <c r="J173" s="34" t="n">
        <v>45616</v>
      </c>
      <c r="K173" s="34" t="n">
        <v>45616</v>
      </c>
      <c r="L173" s="0">
        <f>DATEDIF(J173,$L$1,"M")</f>
        <v/>
      </c>
      <c r="M173" s="0">
        <f>IF(L173&lt;18,"新品期",IF(L173&lt;=36,"老品期","衰退期"))</f>
        <v/>
      </c>
      <c r="N173" s="36" t="inlineStr">
        <is>
          <t>2025年9月1号以前梁丽梅负责</t>
        </is>
      </c>
    </row>
    <row r="174" ht="15" customFormat="1" customHeight="1" s="36">
      <c r="A174" s="4" t="inlineStr">
        <is>
          <t>Qinkell-US</t>
        </is>
      </c>
      <c r="B174" s="4" t="inlineStr">
        <is>
          <t>Qinkell美国站</t>
        </is>
      </c>
      <c r="C174" s="4">
        <f>B174&amp;D174</f>
        <v/>
      </c>
      <c r="D174" s="4" t="inlineStr">
        <is>
          <t>8901BK QC1BY2</t>
        </is>
      </c>
      <c r="E174" s="4" t="inlineStr">
        <is>
          <t>110F0089BK1</t>
        </is>
      </c>
      <c r="F174" s="4" t="inlineStr">
        <is>
          <t>89系列矮身单孔正开面盆龙头电泳黑</t>
        </is>
      </c>
      <c r="G174" s="4" t="inlineStr">
        <is>
          <t>曾志发</t>
        </is>
      </c>
      <c r="H174" s="4" t="inlineStr">
        <is>
          <t>面盆</t>
        </is>
      </c>
      <c r="I174" s="12" t="inlineStr">
        <is>
          <t>是</t>
        </is>
      </c>
      <c r="J174" s="34" t="n">
        <v>45616</v>
      </c>
      <c r="K174" s="34" t="n">
        <v>45616</v>
      </c>
      <c r="L174" s="0">
        <f>DATEDIF(J174,$L$1,"M")</f>
        <v/>
      </c>
      <c r="M174" s="0">
        <f>IF(L174&lt;18,"新品期",IF(L174&lt;=36,"老品期","衰退期"))</f>
        <v/>
      </c>
      <c r="N174" s="36" t="inlineStr">
        <is>
          <t>2025年9月1号以前梁丽梅负责</t>
        </is>
      </c>
    </row>
    <row r="175" ht="15" customFormat="1" customHeight="1" s="36">
      <c r="A175" s="4" t="inlineStr">
        <is>
          <t>Qinkell-US</t>
        </is>
      </c>
      <c r="B175" s="4" t="inlineStr">
        <is>
          <t>Qinkell美国站</t>
        </is>
      </c>
      <c r="C175" s="4">
        <f>B175&amp;D175</f>
        <v/>
      </c>
      <c r="D175" s="4" t="inlineStr">
        <is>
          <t>8901BK-QC1</t>
        </is>
      </c>
      <c r="E175" s="4" t="inlineStr">
        <is>
          <t>110F0089BK1</t>
        </is>
      </c>
      <c r="F175" s="4" t="inlineStr">
        <is>
          <t>89系列矮身单孔正开面盆龙头电泳黑</t>
        </is>
      </c>
      <c r="G175" s="4" t="inlineStr">
        <is>
          <t>曾志发</t>
        </is>
      </c>
      <c r="H175" s="4" t="inlineStr">
        <is>
          <t>面盆</t>
        </is>
      </c>
      <c r="I175" s="12" t="inlineStr">
        <is>
          <t>是</t>
        </is>
      </c>
      <c r="J175" s="34" t="n">
        <v>45616</v>
      </c>
      <c r="K175" s="34" t="n">
        <v>45616</v>
      </c>
      <c r="L175" s="0">
        <f>DATEDIF(J175,$L$1,"M")</f>
        <v/>
      </c>
      <c r="M175" s="0">
        <f>IF(L175&lt;18,"新品期",IF(L175&lt;=36,"老品期","衰退期"))</f>
        <v/>
      </c>
      <c r="N175" s="36" t="inlineStr">
        <is>
          <t>2025年9月1号以前梁丽梅负责</t>
        </is>
      </c>
    </row>
    <row r="176" ht="15" customFormat="1" customHeight="1" s="36">
      <c r="A176" s="4" t="inlineStr">
        <is>
          <t>Qinkell-US</t>
        </is>
      </c>
      <c r="B176" s="4" t="inlineStr">
        <is>
          <t>Qinkell美国站</t>
        </is>
      </c>
      <c r="C176" s="4">
        <f>B176&amp;D176</f>
        <v/>
      </c>
      <c r="D176" s="4" t="inlineStr">
        <is>
          <t>8901BN QC1</t>
        </is>
      </c>
      <c r="E176" s="4" t="inlineStr">
        <is>
          <t>110F0089BN1</t>
        </is>
      </c>
      <c r="F176" s="4" t="inlineStr">
        <is>
          <t>89系列矮身单孔正开面盆龙头拉丝封油</t>
        </is>
      </c>
      <c r="G176" s="4" t="inlineStr">
        <is>
          <t>曾志发</t>
        </is>
      </c>
      <c r="H176" s="4" t="inlineStr">
        <is>
          <t>面盆</t>
        </is>
      </c>
      <c r="I176" s="12" t="inlineStr">
        <is>
          <t>是</t>
        </is>
      </c>
      <c r="J176" s="34" t="n">
        <v>45616</v>
      </c>
      <c r="K176" s="34" t="n">
        <v>45616</v>
      </c>
      <c r="L176" s="0">
        <f>DATEDIF(J176,$L$1,"M")</f>
        <v/>
      </c>
      <c r="M176" s="0">
        <f>IF(L176&lt;18,"新品期",IF(L176&lt;=36,"老品期","衰退期"))</f>
        <v/>
      </c>
      <c r="N176" s="36" t="inlineStr">
        <is>
          <t>2025年9月1号以前梁丽梅负责</t>
        </is>
      </c>
    </row>
    <row r="177" ht="15" customFormat="1" customHeight="1" s="36">
      <c r="A177" s="4" t="inlineStr">
        <is>
          <t>Qinkell-US</t>
        </is>
      </c>
      <c r="B177" s="4" t="inlineStr">
        <is>
          <t>Qinkell美国站</t>
        </is>
      </c>
      <c r="C177" s="4">
        <f>B177&amp;D177</f>
        <v/>
      </c>
      <c r="D177" s="4" t="inlineStr">
        <is>
          <t>8901BN QC1BY1</t>
        </is>
      </c>
      <c r="E177" s="4" t="inlineStr">
        <is>
          <t>110F0089BN1</t>
        </is>
      </c>
      <c r="F177" s="4" t="inlineStr">
        <is>
          <t>89系列矮身单孔正开面盆龙头拉丝封油</t>
        </is>
      </c>
      <c r="G177" s="4" t="inlineStr">
        <is>
          <t>曾志发</t>
        </is>
      </c>
      <c r="H177" s="4" t="inlineStr">
        <is>
          <t>面盆</t>
        </is>
      </c>
      <c r="I177" s="12" t="inlineStr">
        <is>
          <t>是</t>
        </is>
      </c>
      <c r="J177" s="34" t="n">
        <v>45616</v>
      </c>
      <c r="K177" s="34" t="n">
        <v>45616</v>
      </c>
      <c r="L177" s="0">
        <f>DATEDIF(J177,$L$1,"M")</f>
        <v/>
      </c>
      <c r="M177" s="0">
        <f>IF(L177&lt;18,"新品期",IF(L177&lt;=36,"老品期","衰退期"))</f>
        <v/>
      </c>
      <c r="N177" s="36" t="inlineStr">
        <is>
          <t>2025年9月1号以前梁丽梅负责</t>
        </is>
      </c>
    </row>
    <row r="178" ht="15" customFormat="1" customHeight="1" s="36">
      <c r="A178" s="4" t="inlineStr">
        <is>
          <t>Qinkell-US</t>
        </is>
      </c>
      <c r="B178" s="4" t="inlineStr">
        <is>
          <t>Qinkell美国站</t>
        </is>
      </c>
      <c r="C178" s="4">
        <f>B178&amp;D178</f>
        <v/>
      </c>
      <c r="D178" s="4" t="inlineStr">
        <is>
          <t>8901BN QC1BY2</t>
        </is>
      </c>
      <c r="E178" s="4" t="inlineStr">
        <is>
          <t>110F0089BN1</t>
        </is>
      </c>
      <c r="F178" s="4" t="inlineStr">
        <is>
          <t>89系列矮身单孔正开面盆龙头拉丝封油</t>
        </is>
      </c>
      <c r="G178" s="4" t="inlineStr">
        <is>
          <t>曾志发</t>
        </is>
      </c>
      <c r="H178" s="4" t="inlineStr">
        <is>
          <t>面盆</t>
        </is>
      </c>
      <c r="I178" s="12" t="inlineStr">
        <is>
          <t>是</t>
        </is>
      </c>
      <c r="J178" s="34" t="n">
        <v>45616</v>
      </c>
      <c r="K178" s="34" t="n">
        <v>45616</v>
      </c>
      <c r="L178" s="0">
        <f>DATEDIF(J178,$L$1,"M")</f>
        <v/>
      </c>
      <c r="M178" s="0">
        <f>IF(L178&lt;18,"新品期",IF(L178&lt;=36,"老品期","衰退期"))</f>
        <v/>
      </c>
      <c r="N178" s="36" t="inlineStr">
        <is>
          <t>2025年9月1号以前梁丽梅负责</t>
        </is>
      </c>
    </row>
    <row r="179" ht="15" customFormat="1" customHeight="1" s="36">
      <c r="A179" s="4" t="inlineStr">
        <is>
          <t>Qinkell-US</t>
        </is>
      </c>
      <c r="B179" s="4" t="inlineStr">
        <is>
          <t>Qinkell美国站</t>
        </is>
      </c>
      <c r="C179" s="4">
        <f>B179&amp;D179</f>
        <v/>
      </c>
      <c r="D179" s="4" t="inlineStr">
        <is>
          <t>8901CP QC1</t>
        </is>
      </c>
      <c r="E179" s="4" t="inlineStr">
        <is>
          <t>110F0089CP1</t>
        </is>
      </c>
      <c r="F179" s="4" t="inlineStr">
        <is>
          <t>89系列矮身单孔正开面盆龙头铬色</t>
        </is>
      </c>
      <c r="G179" s="4" t="inlineStr">
        <is>
          <t>曾志发</t>
        </is>
      </c>
      <c r="H179" s="4" t="inlineStr">
        <is>
          <t>面盆</t>
        </is>
      </c>
      <c r="I179" s="12" t="inlineStr">
        <is>
          <t>是</t>
        </is>
      </c>
      <c r="J179" s="34" t="n">
        <v>45616</v>
      </c>
      <c r="K179" s="34" t="n">
        <v>45616</v>
      </c>
      <c r="L179" s="0">
        <f>DATEDIF(J179,$L$1,"M")</f>
        <v/>
      </c>
      <c r="M179" s="0">
        <f>IF(L179&lt;18,"新品期",IF(L179&lt;=36,"老品期","衰退期"))</f>
        <v/>
      </c>
      <c r="N179" s="36" t="inlineStr">
        <is>
          <t>2025年9月1号以前梁丽梅负责</t>
        </is>
      </c>
    </row>
    <row r="180" ht="15" customFormat="1" customHeight="1" s="36">
      <c r="A180" s="4" t="inlineStr">
        <is>
          <t>Qinkell-US</t>
        </is>
      </c>
      <c r="B180" s="4" t="inlineStr">
        <is>
          <t>Qinkell美国站</t>
        </is>
      </c>
      <c r="C180" s="4">
        <f>B180&amp;D180</f>
        <v/>
      </c>
      <c r="D180" s="4" t="inlineStr">
        <is>
          <t>8901CP QC1BY1</t>
        </is>
      </c>
      <c r="E180" s="4" t="inlineStr">
        <is>
          <t>110F0089CP1</t>
        </is>
      </c>
      <c r="F180" s="4" t="inlineStr">
        <is>
          <t>89系列矮身单孔正开面盆龙头铬色</t>
        </is>
      </c>
      <c r="G180" s="4" t="inlineStr">
        <is>
          <t>曾志发</t>
        </is>
      </c>
      <c r="H180" s="4" t="inlineStr">
        <is>
          <t>面盆</t>
        </is>
      </c>
      <c r="I180" s="12" t="inlineStr">
        <is>
          <t>是</t>
        </is>
      </c>
      <c r="J180" s="34" t="n">
        <v>45616</v>
      </c>
      <c r="K180" s="34" t="n">
        <v>45616</v>
      </c>
      <c r="L180" s="0">
        <f>DATEDIF(J180,$L$1,"M")</f>
        <v/>
      </c>
      <c r="M180" s="0">
        <f>IF(L180&lt;18,"新品期",IF(L180&lt;=36,"老品期","衰退期"))</f>
        <v/>
      </c>
      <c r="N180" s="36" t="inlineStr">
        <is>
          <t>2025年9月1号以前梁丽梅负责</t>
        </is>
      </c>
    </row>
    <row r="181" ht="15" customFormat="1" customHeight="1" s="36">
      <c r="A181" s="4" t="inlineStr">
        <is>
          <t>Qinkell-US</t>
        </is>
      </c>
      <c r="B181" s="4" t="inlineStr">
        <is>
          <t>Qinkell美国站</t>
        </is>
      </c>
      <c r="C181" s="4">
        <f>B181&amp;D181</f>
        <v/>
      </c>
      <c r="D181" s="4" t="inlineStr">
        <is>
          <t>8901CP QC1BY2</t>
        </is>
      </c>
      <c r="E181" s="4" t="inlineStr">
        <is>
          <t>110F0089CP1</t>
        </is>
      </c>
      <c r="F181" s="4" t="inlineStr">
        <is>
          <t>89系列矮身单孔正开面盆龙头铬色</t>
        </is>
      </c>
      <c r="G181" s="4" t="inlineStr">
        <is>
          <t>曾志发</t>
        </is>
      </c>
      <c r="H181" s="4" t="inlineStr">
        <is>
          <t>面盆</t>
        </is>
      </c>
      <c r="I181" s="12" t="inlineStr">
        <is>
          <t>是</t>
        </is>
      </c>
      <c r="J181" s="34" t="n">
        <v>45616</v>
      </c>
      <c r="K181" s="34" t="n">
        <v>45616</v>
      </c>
      <c r="L181" s="0">
        <f>DATEDIF(J181,$L$1,"M")</f>
        <v/>
      </c>
      <c r="M181" s="0">
        <f>IF(L181&lt;18,"新品期",IF(L181&lt;=36,"老品期","衰退期"))</f>
        <v/>
      </c>
      <c r="N181" s="36" t="inlineStr">
        <is>
          <t>2025年9月1号以前梁丽梅负责</t>
        </is>
      </c>
    </row>
    <row r="182" ht="15" customFormat="1" customHeight="1" s="36">
      <c r="A182" s="4" t="inlineStr">
        <is>
          <t>Qinkell-US</t>
        </is>
      </c>
      <c r="B182" s="4" t="inlineStr">
        <is>
          <t>Qinkell美国站</t>
        </is>
      </c>
      <c r="C182" s="4">
        <f>B182&amp;D182</f>
        <v/>
      </c>
      <c r="D182" s="4" t="inlineStr">
        <is>
          <t>8901CP-QC1</t>
        </is>
      </c>
      <c r="E182" s="4" t="inlineStr">
        <is>
          <t>110F0089CP1</t>
        </is>
      </c>
      <c r="F182" s="4" t="inlineStr">
        <is>
          <t>89系列矮身单孔正开面盆龙头铬色</t>
        </is>
      </c>
      <c r="G182" s="4" t="inlineStr">
        <is>
          <t>曾志发</t>
        </is>
      </c>
      <c r="H182" s="4" t="inlineStr">
        <is>
          <t>面盆</t>
        </is>
      </c>
      <c r="I182" s="12" t="inlineStr">
        <is>
          <t>是</t>
        </is>
      </c>
      <c r="J182" s="34" t="n">
        <v>45616</v>
      </c>
      <c r="K182" s="34" t="n">
        <v>45616</v>
      </c>
      <c r="L182" s="0">
        <f>DATEDIF(J182,$L$1,"M")</f>
        <v/>
      </c>
      <c r="M182" s="0">
        <f>IF(L182&lt;18,"新品期",IF(L182&lt;=36,"老品期","衰退期"))</f>
        <v/>
      </c>
      <c r="N182" s="36" t="inlineStr">
        <is>
          <t>2025年9月1号以前梁丽梅负责</t>
        </is>
      </c>
    </row>
    <row r="183" ht="15" customFormat="1" customHeight="1" s="36">
      <c r="A183" s="4" t="inlineStr">
        <is>
          <t>Qinkell-US</t>
        </is>
      </c>
      <c r="B183" s="4" t="inlineStr">
        <is>
          <t>Qinkell美国站</t>
        </is>
      </c>
      <c r="C183" s="4">
        <f>B183&amp;D183</f>
        <v/>
      </c>
      <c r="D183" s="4" t="inlineStr">
        <is>
          <t>8901ORB QC1</t>
        </is>
      </c>
      <c r="E183" s="4" t="inlineStr">
        <is>
          <t>110F0089OB1</t>
        </is>
      </c>
      <c r="F183" s="4" t="inlineStr">
        <is>
          <t>89系列矮身单孔正开面盆龙头拉丝红古铜</t>
        </is>
      </c>
      <c r="G183" s="4" t="inlineStr">
        <is>
          <t>曾志发</t>
        </is>
      </c>
      <c r="H183" s="4" t="inlineStr">
        <is>
          <t>面盆</t>
        </is>
      </c>
      <c r="I183" s="12" t="inlineStr">
        <is>
          <t>是</t>
        </is>
      </c>
      <c r="J183" s="34" t="n">
        <v>45616</v>
      </c>
      <c r="K183" s="34" t="n">
        <v>45616</v>
      </c>
      <c r="L183" s="0">
        <f>DATEDIF(J183,$L$1,"M")</f>
        <v/>
      </c>
      <c r="M183" s="0">
        <f>IF(L183&lt;18,"新品期",IF(L183&lt;=36,"老品期","衰退期"))</f>
        <v/>
      </c>
      <c r="N183" s="36" t="inlineStr">
        <is>
          <t>2025年9月1号以前梁丽梅负责</t>
        </is>
      </c>
    </row>
    <row r="184" ht="15" customFormat="1" customHeight="1" s="36">
      <c r="A184" s="4" t="inlineStr">
        <is>
          <t>Qinkell-US</t>
        </is>
      </c>
      <c r="B184" s="4" t="inlineStr">
        <is>
          <t>Qinkell美国站</t>
        </is>
      </c>
      <c r="C184" s="4">
        <f>B184&amp;D184</f>
        <v/>
      </c>
      <c r="D184" s="4" t="inlineStr">
        <is>
          <t>8901ORB QC1BY1</t>
        </is>
      </c>
      <c r="E184" s="4" t="inlineStr">
        <is>
          <t>110F0089OB1</t>
        </is>
      </c>
      <c r="F184" s="4" t="inlineStr">
        <is>
          <t>89系列矮身单孔正开面盆龙头拉丝红古铜</t>
        </is>
      </c>
      <c r="G184" s="4" t="inlineStr">
        <is>
          <t>曾志发</t>
        </is>
      </c>
      <c r="H184" s="4" t="inlineStr">
        <is>
          <t>面盆</t>
        </is>
      </c>
      <c r="I184" s="12" t="inlineStr">
        <is>
          <t>是</t>
        </is>
      </c>
      <c r="J184" s="34" t="n">
        <v>45616</v>
      </c>
      <c r="K184" s="34" t="n">
        <v>45616</v>
      </c>
      <c r="L184" s="0">
        <f>DATEDIF(J184,$L$1,"M")</f>
        <v/>
      </c>
      <c r="M184" s="0">
        <f>IF(L184&lt;18,"新品期",IF(L184&lt;=36,"老品期","衰退期"))</f>
        <v/>
      </c>
      <c r="N184" s="36" t="inlineStr">
        <is>
          <t>2025年9月1号以前梁丽梅负责</t>
        </is>
      </c>
    </row>
    <row r="185" ht="15" customFormat="1" customHeight="1" s="36">
      <c r="A185" s="4" t="inlineStr">
        <is>
          <t>Qinkell-US</t>
        </is>
      </c>
      <c r="B185" s="4" t="inlineStr">
        <is>
          <t>Qinkell美国站</t>
        </is>
      </c>
      <c r="C185" s="4">
        <f>B185&amp;D185</f>
        <v/>
      </c>
      <c r="D185" s="4" t="inlineStr">
        <is>
          <t>8901ORB QC1BY2</t>
        </is>
      </c>
      <c r="E185" s="4" t="inlineStr">
        <is>
          <t>110F0089OB1</t>
        </is>
      </c>
      <c r="F185" s="4" t="inlineStr">
        <is>
          <t>89系列矮身单孔正开面盆龙头拉丝红古铜</t>
        </is>
      </c>
      <c r="G185" s="4" t="inlineStr">
        <is>
          <t>曾志发</t>
        </is>
      </c>
      <c r="H185" s="4" t="inlineStr">
        <is>
          <t>面盆</t>
        </is>
      </c>
      <c r="I185" s="12" t="inlineStr">
        <is>
          <t>是</t>
        </is>
      </c>
      <c r="J185" s="34" t="n">
        <v>45616</v>
      </c>
      <c r="K185" s="34" t="n">
        <v>45616</v>
      </c>
      <c r="L185" s="0">
        <f>DATEDIF(J185,$L$1,"M")</f>
        <v/>
      </c>
      <c r="M185" s="0">
        <f>IF(L185&lt;18,"新品期",IF(L185&lt;=36,"老品期","衰退期"))</f>
        <v/>
      </c>
      <c r="N185" s="36" t="inlineStr">
        <is>
          <t>2025年9月1号以前梁丽梅负责</t>
        </is>
      </c>
    </row>
    <row r="186" ht="15" customFormat="1" customHeight="1" s="36">
      <c r="A186" s="4" t="inlineStr">
        <is>
          <t>Qinkell-US</t>
        </is>
      </c>
      <c r="B186" s="4" t="inlineStr">
        <is>
          <t>Qinkell美国站</t>
        </is>
      </c>
      <c r="C186" s="4">
        <f>B186&amp;D186</f>
        <v/>
      </c>
      <c r="D186" s="4" t="inlineStr">
        <is>
          <t>8901ORB-QC1</t>
        </is>
      </c>
      <c r="E186" s="4" t="inlineStr">
        <is>
          <t>110F0089OB1</t>
        </is>
      </c>
      <c r="F186" s="4" t="inlineStr">
        <is>
          <t>89系列矮身单孔正开面盆龙头拉丝红古铜</t>
        </is>
      </c>
      <c r="G186" s="4" t="inlineStr">
        <is>
          <t>曾志发</t>
        </is>
      </c>
      <c r="H186" s="4" t="inlineStr">
        <is>
          <t>面盆</t>
        </is>
      </c>
      <c r="I186" s="12" t="inlineStr">
        <is>
          <t>是</t>
        </is>
      </c>
      <c r="J186" s="34" t="n">
        <v>45616</v>
      </c>
      <c r="K186" s="34" t="n">
        <v>45616</v>
      </c>
      <c r="L186" s="0">
        <f>DATEDIF(J186,$L$1,"M")</f>
        <v/>
      </c>
      <c r="M186" s="0">
        <f>IF(L186&lt;18,"新品期",IF(L186&lt;=36,"老品期","衰退期"))</f>
        <v/>
      </c>
      <c r="N186" s="36" t="inlineStr">
        <is>
          <t>2025年9月1号以前梁丽梅负责</t>
        </is>
      </c>
    </row>
    <row r="187" ht="15" customFormat="1" customHeight="1" s="36">
      <c r="A187" s="4" t="inlineStr">
        <is>
          <t>Qinkell-US</t>
        </is>
      </c>
      <c r="B187" s="4" t="inlineStr">
        <is>
          <t>Qinkell美国站</t>
        </is>
      </c>
      <c r="C187" s="4">
        <f>B187&amp;D187</f>
        <v/>
      </c>
      <c r="D187" s="4" t="inlineStr">
        <is>
          <t>8904BG QC1</t>
        </is>
      </c>
      <c r="E187" s="4" t="inlineStr">
        <is>
          <t>140F0089BG1</t>
        </is>
      </c>
      <c r="F187" s="4" t="inlineStr">
        <is>
          <t>89系列分体面盆龙头拉丝钛金封油</t>
        </is>
      </c>
      <c r="G187" s="4" t="inlineStr">
        <is>
          <t>曾志发</t>
        </is>
      </c>
      <c r="H187" s="4" t="inlineStr">
        <is>
          <t>面盆</t>
        </is>
      </c>
      <c r="I187" s="12" t="inlineStr">
        <is>
          <t>是</t>
        </is>
      </c>
      <c r="J187" s="34" t="n">
        <v>45610</v>
      </c>
      <c r="K187" s="34" t="n">
        <v>45610</v>
      </c>
      <c r="L187" s="0">
        <f>DATEDIF(J187,$L$1,"M")</f>
        <v/>
      </c>
      <c r="M187" s="0">
        <f>IF(L187&lt;18,"新品期",IF(L187&lt;=36,"老品期","衰退期"))</f>
        <v/>
      </c>
      <c r="N187" s="36" t="inlineStr">
        <is>
          <t>2025年9月1号以前梁丽梅负责</t>
        </is>
      </c>
    </row>
    <row r="188" ht="15" customFormat="1" customHeight="1" s="36">
      <c r="A188" s="4" t="inlineStr">
        <is>
          <t>Qinkell-US</t>
        </is>
      </c>
      <c r="B188" s="4" t="inlineStr">
        <is>
          <t>Qinkell美国站</t>
        </is>
      </c>
      <c r="C188" s="4">
        <f>B188&amp;D188</f>
        <v/>
      </c>
      <c r="D188" s="4" t="inlineStr">
        <is>
          <t>8904BG QC1BY1</t>
        </is>
      </c>
      <c r="E188" s="4" t="inlineStr">
        <is>
          <t>140F0089BG1</t>
        </is>
      </c>
      <c r="F188" s="4" t="inlineStr">
        <is>
          <t>89系列分体面盆龙头拉丝钛金封油</t>
        </is>
      </c>
      <c r="G188" s="4" t="inlineStr">
        <is>
          <t>曾志发</t>
        </is>
      </c>
      <c r="H188" s="4" t="inlineStr">
        <is>
          <t>面盆</t>
        </is>
      </c>
      <c r="I188" s="12" t="inlineStr">
        <is>
          <t>是</t>
        </is>
      </c>
      <c r="J188" s="34" t="n">
        <v>45610</v>
      </c>
      <c r="K188" s="34" t="n">
        <v>45610</v>
      </c>
      <c r="L188" s="0">
        <f>DATEDIF(J188,$L$1,"M")</f>
        <v/>
      </c>
      <c r="M188" s="0">
        <f>IF(L188&lt;18,"新品期",IF(L188&lt;=36,"老品期","衰退期"))</f>
        <v/>
      </c>
      <c r="N188" s="36" t="inlineStr">
        <is>
          <t>2025年9月1号以前梁丽梅负责</t>
        </is>
      </c>
    </row>
    <row r="189" ht="15" customFormat="1" customHeight="1" s="36">
      <c r="A189" s="4" t="inlineStr">
        <is>
          <t>Qinkell-US</t>
        </is>
      </c>
      <c r="B189" s="4" t="inlineStr">
        <is>
          <t>Qinkell美国站</t>
        </is>
      </c>
      <c r="C189" s="4">
        <f>B189&amp;D189</f>
        <v/>
      </c>
      <c r="D189" s="4" t="inlineStr">
        <is>
          <t>8904BK QC1</t>
        </is>
      </c>
      <c r="E189" s="4" t="inlineStr">
        <is>
          <t>140F0089BK1</t>
        </is>
      </c>
      <c r="F189" s="4" t="inlineStr">
        <is>
          <t>89系列分体面盆龙头电泳黑</t>
        </is>
      </c>
      <c r="G189" s="4" t="inlineStr">
        <is>
          <t>曾志发</t>
        </is>
      </c>
      <c r="H189" s="4" t="inlineStr">
        <is>
          <t>面盆</t>
        </is>
      </c>
      <c r="I189" s="12" t="inlineStr">
        <is>
          <t>是</t>
        </is>
      </c>
      <c r="J189" s="34" t="n">
        <v>45610</v>
      </c>
      <c r="K189" s="34" t="n">
        <v>45610</v>
      </c>
      <c r="L189" s="0">
        <f>DATEDIF(J189,$L$1,"M")</f>
        <v/>
      </c>
      <c r="M189" s="0">
        <f>IF(L189&lt;18,"新品期",IF(L189&lt;=36,"老品期","衰退期"))</f>
        <v/>
      </c>
      <c r="N189" s="36" t="inlineStr">
        <is>
          <t>2025年9月1号以前梁丽梅负责</t>
        </is>
      </c>
    </row>
    <row r="190" ht="15" customFormat="1" customHeight="1" s="36">
      <c r="A190" s="4" t="inlineStr">
        <is>
          <t>Qinkell-US</t>
        </is>
      </c>
      <c r="B190" s="4" t="inlineStr">
        <is>
          <t>Qinkell美国站</t>
        </is>
      </c>
      <c r="C190" s="4">
        <f>B190&amp;D190</f>
        <v/>
      </c>
      <c r="D190" s="4" t="inlineStr">
        <is>
          <t>8904BK QC1BY1</t>
        </is>
      </c>
      <c r="E190" s="4" t="inlineStr">
        <is>
          <t>140F0089BK1</t>
        </is>
      </c>
      <c r="F190" s="4" t="inlineStr">
        <is>
          <t>89系列分体面盆龙头电泳黑</t>
        </is>
      </c>
      <c r="G190" s="4" t="inlineStr">
        <is>
          <t>曾志发</t>
        </is>
      </c>
      <c r="H190" s="4" t="inlineStr">
        <is>
          <t>面盆</t>
        </is>
      </c>
      <c r="I190" s="12" t="inlineStr">
        <is>
          <t>是</t>
        </is>
      </c>
      <c r="J190" s="34" t="n">
        <v>45610</v>
      </c>
      <c r="K190" s="34" t="n">
        <v>45610</v>
      </c>
      <c r="L190" s="0">
        <f>DATEDIF(J190,$L$1,"M")</f>
        <v/>
      </c>
      <c r="M190" s="0">
        <f>IF(L190&lt;18,"新品期",IF(L190&lt;=36,"老品期","衰退期"))</f>
        <v/>
      </c>
      <c r="N190" s="36" t="inlineStr">
        <is>
          <t>2025年9月1号以前梁丽梅负责</t>
        </is>
      </c>
    </row>
    <row r="191" ht="15" customFormat="1" customHeight="1" s="36">
      <c r="A191" s="4" t="inlineStr">
        <is>
          <t>Qinkell-US</t>
        </is>
      </c>
      <c r="B191" s="4" t="inlineStr">
        <is>
          <t>Qinkell美国站</t>
        </is>
      </c>
      <c r="C191" s="4">
        <f>B191&amp;D191</f>
        <v/>
      </c>
      <c r="D191" s="4" t="inlineStr">
        <is>
          <t>8904BN QC1</t>
        </is>
      </c>
      <c r="E191" s="4" t="inlineStr">
        <is>
          <t>140F0089BN1</t>
        </is>
      </c>
      <c r="F191" s="4" t="inlineStr">
        <is>
          <t>89系列分体面盆龙头拉丝封油</t>
        </is>
      </c>
      <c r="G191" s="4" t="inlineStr">
        <is>
          <t>曾志发</t>
        </is>
      </c>
      <c r="H191" s="4" t="inlineStr">
        <is>
          <t>面盆</t>
        </is>
      </c>
      <c r="I191" s="12" t="inlineStr">
        <is>
          <t>是</t>
        </is>
      </c>
      <c r="J191" s="34" t="n">
        <v>45610</v>
      </c>
      <c r="K191" s="34" t="n">
        <v>45610</v>
      </c>
      <c r="L191" s="0">
        <f>DATEDIF(J191,$L$1,"M")</f>
        <v/>
      </c>
      <c r="M191" s="0">
        <f>IF(L191&lt;18,"新品期",IF(L191&lt;=36,"老品期","衰退期"))</f>
        <v/>
      </c>
      <c r="N191" s="36" t="inlineStr">
        <is>
          <t>2025年9月1号以前梁丽梅负责</t>
        </is>
      </c>
    </row>
    <row r="192" ht="15" customFormat="1" customHeight="1" s="36">
      <c r="A192" s="4" t="inlineStr">
        <is>
          <t>Qinkell-US</t>
        </is>
      </c>
      <c r="B192" s="4" t="inlineStr">
        <is>
          <t>Qinkell美国站</t>
        </is>
      </c>
      <c r="C192" s="4">
        <f>B192&amp;D192</f>
        <v/>
      </c>
      <c r="D192" s="4" t="inlineStr">
        <is>
          <t>8904BN QC1BY1</t>
        </is>
      </c>
      <c r="E192" s="4" t="inlineStr">
        <is>
          <t>140F0089BN1</t>
        </is>
      </c>
      <c r="F192" s="4" t="inlineStr">
        <is>
          <t>89系列分体面盆龙头拉丝封油</t>
        </is>
      </c>
      <c r="G192" s="4" t="inlineStr">
        <is>
          <t>曾志发</t>
        </is>
      </c>
      <c r="H192" s="4" t="inlineStr">
        <is>
          <t>面盆</t>
        </is>
      </c>
      <c r="I192" s="12" t="inlineStr">
        <is>
          <t>是</t>
        </is>
      </c>
      <c r="J192" s="34" t="n">
        <v>45610</v>
      </c>
      <c r="K192" s="34" t="n">
        <v>45610</v>
      </c>
      <c r="L192" s="0">
        <f>DATEDIF(J192,$L$1,"M")</f>
        <v/>
      </c>
      <c r="M192" s="0">
        <f>IF(L192&lt;18,"新品期",IF(L192&lt;=36,"老品期","衰退期"))</f>
        <v/>
      </c>
      <c r="N192" s="36" t="inlineStr">
        <is>
          <t>2025年9月1号以前梁丽梅负责</t>
        </is>
      </c>
    </row>
    <row r="193" ht="15" customFormat="1" customHeight="1" s="36">
      <c r="A193" s="4" t="inlineStr">
        <is>
          <t>Qinkell-US</t>
        </is>
      </c>
      <c r="B193" s="4" t="inlineStr">
        <is>
          <t>Qinkell美国站</t>
        </is>
      </c>
      <c r="C193" s="4">
        <f>B193&amp;D193</f>
        <v/>
      </c>
      <c r="D193" s="4" t="inlineStr">
        <is>
          <t>8904CP QC1</t>
        </is>
      </c>
      <c r="E193" s="4" t="inlineStr">
        <is>
          <t>140F0089CP1</t>
        </is>
      </c>
      <c r="F193" s="4" t="inlineStr">
        <is>
          <t>89系列分体面盆龙头铬色</t>
        </is>
      </c>
      <c r="G193" s="4" t="inlineStr">
        <is>
          <t>曾志发</t>
        </is>
      </c>
      <c r="H193" s="4" t="inlineStr">
        <is>
          <t>面盆</t>
        </is>
      </c>
      <c r="I193" s="12" t="inlineStr">
        <is>
          <t>是</t>
        </is>
      </c>
      <c r="J193" s="34" t="n">
        <v>45610</v>
      </c>
      <c r="K193" s="34" t="n">
        <v>45610</v>
      </c>
      <c r="L193" s="0">
        <f>DATEDIF(J193,$L$1,"M")</f>
        <v/>
      </c>
      <c r="M193" s="0">
        <f>IF(L193&lt;18,"新品期",IF(L193&lt;=36,"老品期","衰退期"))</f>
        <v/>
      </c>
      <c r="N193" s="36" t="inlineStr">
        <is>
          <t>2025年9月1号以前梁丽梅负责</t>
        </is>
      </c>
    </row>
    <row r="194" ht="15" customFormat="1" customHeight="1" s="36">
      <c r="A194" s="4" t="inlineStr">
        <is>
          <t>Qinkell-US</t>
        </is>
      </c>
      <c r="B194" s="4" t="inlineStr">
        <is>
          <t>Qinkell美国站</t>
        </is>
      </c>
      <c r="C194" s="4">
        <f>B194&amp;D194</f>
        <v/>
      </c>
      <c r="D194" s="4" t="inlineStr">
        <is>
          <t>8904CP QC1BY1</t>
        </is>
      </c>
      <c r="E194" s="4" t="inlineStr">
        <is>
          <t>140F0089CP1</t>
        </is>
      </c>
      <c r="F194" s="4" t="inlineStr">
        <is>
          <t>89系列分体面盆龙头铬色</t>
        </is>
      </c>
      <c r="G194" s="4" t="inlineStr">
        <is>
          <t>曾志发</t>
        </is>
      </c>
      <c r="H194" s="4" t="inlineStr">
        <is>
          <t>面盆</t>
        </is>
      </c>
      <c r="I194" s="12" t="inlineStr">
        <is>
          <t>是</t>
        </is>
      </c>
      <c r="J194" s="34" t="n">
        <v>45610</v>
      </c>
      <c r="K194" s="34" t="n">
        <v>45610</v>
      </c>
      <c r="L194" s="0">
        <f>DATEDIF(J194,$L$1,"M")</f>
        <v/>
      </c>
      <c r="M194" s="0">
        <f>IF(L194&lt;18,"新品期",IF(L194&lt;=36,"老品期","衰退期"))</f>
        <v/>
      </c>
      <c r="N194" s="36" t="inlineStr">
        <is>
          <t>2025年9月1号以前梁丽梅负责</t>
        </is>
      </c>
    </row>
    <row r="195" ht="15" customFormat="1" customHeight="1" s="36">
      <c r="A195" s="4" t="inlineStr">
        <is>
          <t>Qinkell-US</t>
        </is>
      </c>
      <c r="B195" s="4" t="inlineStr">
        <is>
          <t>Qinkell美国站</t>
        </is>
      </c>
      <c r="C195" s="4">
        <f>B195&amp;D195</f>
        <v/>
      </c>
      <c r="D195" s="4" t="inlineStr">
        <is>
          <t>8904ORB QC1</t>
        </is>
      </c>
      <c r="E195" s="4" t="inlineStr">
        <is>
          <t>140F0089OB1</t>
        </is>
      </c>
      <c r="F195" s="4" t="inlineStr">
        <is>
          <t>89系列分体面盆龙头拉丝红古铜</t>
        </is>
      </c>
      <c r="G195" s="4" t="inlineStr">
        <is>
          <t>曾志发</t>
        </is>
      </c>
      <c r="H195" s="4" t="inlineStr">
        <is>
          <t>面盆</t>
        </is>
      </c>
      <c r="I195" s="12" t="inlineStr">
        <is>
          <t>是</t>
        </is>
      </c>
      <c r="J195" s="34" t="n">
        <v>45610</v>
      </c>
      <c r="K195" s="34" t="n">
        <v>45610</v>
      </c>
      <c r="L195" s="0">
        <f>DATEDIF(J195,$L$1,"M")</f>
        <v/>
      </c>
      <c r="M195" s="0">
        <f>IF(L195&lt;18,"新品期",IF(L195&lt;=36,"老品期","衰退期"))</f>
        <v/>
      </c>
      <c r="N195" s="36" t="inlineStr">
        <is>
          <t>2025年9月1号以前梁丽梅负责</t>
        </is>
      </c>
    </row>
    <row r="196" ht="15" customFormat="1" customHeight="1" s="36">
      <c r="A196" s="4" t="inlineStr">
        <is>
          <t>Qinkell-US</t>
        </is>
      </c>
      <c r="B196" s="4" t="inlineStr">
        <is>
          <t>Qinkell美国站</t>
        </is>
      </c>
      <c r="C196" s="4">
        <f>B196&amp;D196</f>
        <v/>
      </c>
      <c r="D196" s="4" t="inlineStr">
        <is>
          <t>8904ORB QC1BY1</t>
        </is>
      </c>
      <c r="E196" s="4" t="inlineStr">
        <is>
          <t>140F0089OB1</t>
        </is>
      </c>
      <c r="F196" s="4" t="inlineStr">
        <is>
          <t>89系列分体面盆龙头拉丝红古铜</t>
        </is>
      </c>
      <c r="G196" s="4" t="inlineStr">
        <is>
          <t>曾志发</t>
        </is>
      </c>
      <c r="H196" s="4" t="inlineStr">
        <is>
          <t>面盆</t>
        </is>
      </c>
      <c r="I196" s="12" t="inlineStr">
        <is>
          <t>是</t>
        </is>
      </c>
      <c r="J196" s="34" t="n">
        <v>45610</v>
      </c>
      <c r="K196" s="34" t="n">
        <v>45610</v>
      </c>
      <c r="L196" s="0">
        <f>DATEDIF(J196,$L$1,"M")</f>
        <v/>
      </c>
      <c r="M196" s="0">
        <f>IF(L196&lt;18,"新品期",IF(L196&lt;=36,"老品期","衰退期"))</f>
        <v/>
      </c>
      <c r="N196" s="36" t="inlineStr">
        <is>
          <t>2025年9月1号以前梁丽梅负责</t>
        </is>
      </c>
    </row>
    <row r="197" ht="15" customFormat="1" customHeight="1" s="36">
      <c r="A197" s="4" t="inlineStr">
        <is>
          <t>Qinkell-US</t>
        </is>
      </c>
      <c r="B197" s="4" t="inlineStr">
        <is>
          <t>Qinkell美国站</t>
        </is>
      </c>
      <c r="C197" s="4">
        <f>B197&amp;D197</f>
        <v/>
      </c>
      <c r="D197" s="4" t="inlineStr">
        <is>
          <t>8907BG-QC1</t>
        </is>
      </c>
      <c r="E197" s="4" t="inlineStr">
        <is>
          <t>221F0089BG1</t>
        </is>
      </c>
      <c r="F197" s="4" t="inlineStr">
        <is>
          <t>89系列三件套缸边浴缸龙头拉丝钛金封油</t>
        </is>
      </c>
      <c r="G197" s="4" t="inlineStr">
        <is>
          <t>陈巧娴</t>
        </is>
      </c>
      <c r="H197" s="4" t="inlineStr">
        <is>
          <t>缸边浴缸</t>
        </is>
      </c>
      <c r="I197" s="12" t="inlineStr">
        <is>
          <t>否</t>
        </is>
      </c>
      <c r="J197" s="34" t="n">
        <v>45669</v>
      </c>
      <c r="K197" s="34" t="n">
        <v>45669</v>
      </c>
      <c r="L197" s="0">
        <f>DATEDIF(J197,$L$1,"M")</f>
        <v/>
      </c>
      <c r="M197" s="0">
        <f>IF(L197&lt;18,"新品期",IF(L197&lt;=36,"老品期","衰退期"))</f>
        <v/>
      </c>
      <c r="N197" s="36" t="inlineStr">
        <is>
          <t>2025年6月（含6月）前艺璇负责</t>
        </is>
      </c>
    </row>
    <row r="198" ht="15" customFormat="1" customHeight="1" s="36">
      <c r="A198" s="4" t="inlineStr">
        <is>
          <t>Qinkell-US</t>
        </is>
      </c>
      <c r="B198" s="4" t="inlineStr">
        <is>
          <t>Qinkell美国站</t>
        </is>
      </c>
      <c r="C198" s="4">
        <f>B198&amp;D198</f>
        <v/>
      </c>
      <c r="D198" s="4" t="inlineStr">
        <is>
          <t>8907BG-QC1ZZ</t>
        </is>
      </c>
      <c r="E198" s="4" t="inlineStr">
        <is>
          <t>221F0089BG1</t>
        </is>
      </c>
      <c r="F198" s="4" t="inlineStr">
        <is>
          <t>89系列三件套缸边浴缸龙头拉丝钛金封油</t>
        </is>
      </c>
      <c r="G198" s="4" t="inlineStr">
        <is>
          <t>陈巧娴</t>
        </is>
      </c>
      <c r="H198" s="4" t="inlineStr">
        <is>
          <t>缸边浴缸</t>
        </is>
      </c>
      <c r="I198" s="12" t="inlineStr">
        <is>
          <t>否</t>
        </is>
      </c>
      <c r="J198" s="34" t="n">
        <v>45669</v>
      </c>
      <c r="K198" s="34" t="n">
        <v>45669</v>
      </c>
      <c r="L198" s="0">
        <f>DATEDIF(J198,$L$1,"M")</f>
        <v/>
      </c>
      <c r="M198" s="0">
        <f>IF(L198&lt;18,"新品期",IF(L198&lt;=36,"老品期","衰退期"))</f>
        <v/>
      </c>
      <c r="N198" s="36" t="inlineStr">
        <is>
          <t>2025年6月（含6月）前艺璇负责</t>
        </is>
      </c>
    </row>
    <row r="199" ht="15" customFormat="1" customHeight="1" s="36">
      <c r="A199" s="4" t="inlineStr">
        <is>
          <t>Qinkell-US</t>
        </is>
      </c>
      <c r="B199" s="4" t="inlineStr">
        <is>
          <t>Qinkell美国站</t>
        </is>
      </c>
      <c r="C199" s="4">
        <f>B199&amp;D199</f>
        <v/>
      </c>
      <c r="D199" s="4" t="inlineStr">
        <is>
          <t>8907BK QC1</t>
        </is>
      </c>
      <c r="E199" s="4" t="inlineStr">
        <is>
          <t>221F0089BK1</t>
        </is>
      </c>
      <c r="F199" s="4" t="inlineStr">
        <is>
          <t>89系列三件套缸边浴缸龙头电泳黑</t>
        </is>
      </c>
      <c r="G199" s="4" t="inlineStr">
        <is>
          <t>陈巧娴</t>
        </is>
      </c>
      <c r="H199" s="4" t="inlineStr">
        <is>
          <t>缸边浴缸</t>
        </is>
      </c>
      <c r="I199" s="12" t="inlineStr">
        <is>
          <t>否</t>
        </is>
      </c>
      <c r="J199" s="34" t="n">
        <v>45669</v>
      </c>
      <c r="K199" s="34" t="n">
        <v>45669</v>
      </c>
      <c r="L199" s="0">
        <f>DATEDIF(J199,$L$1,"M")</f>
        <v/>
      </c>
      <c r="M199" s="0">
        <f>IF(L199&lt;18,"新品期",IF(L199&lt;=36,"老品期","衰退期"))</f>
        <v/>
      </c>
      <c r="N199" s="36" t="inlineStr">
        <is>
          <t>2025年6月（含6月）前艺璇负责</t>
        </is>
      </c>
    </row>
    <row r="200" ht="15" customFormat="1" customHeight="1" s="36">
      <c r="A200" s="4" t="inlineStr">
        <is>
          <t>Qinkell-US</t>
        </is>
      </c>
      <c r="B200" s="4" t="inlineStr">
        <is>
          <t>Qinkell美国站</t>
        </is>
      </c>
      <c r="C200" s="4">
        <f>B200&amp;D200</f>
        <v/>
      </c>
      <c r="D200" s="4" t="inlineStr">
        <is>
          <t>8907BK-QC1ZZ</t>
        </is>
      </c>
      <c r="E200" s="4" t="inlineStr">
        <is>
          <t>221F0089BK1</t>
        </is>
      </c>
      <c r="F200" s="4" t="inlineStr">
        <is>
          <t>89系列三件套缸边浴缸龙头电泳黑</t>
        </is>
      </c>
      <c r="G200" s="4" t="inlineStr">
        <is>
          <t>陈巧娴</t>
        </is>
      </c>
      <c r="H200" s="4" t="inlineStr">
        <is>
          <t>缸边浴缸</t>
        </is>
      </c>
      <c r="I200" s="12" t="inlineStr">
        <is>
          <t>否</t>
        </is>
      </c>
      <c r="J200" s="34" t="n">
        <v>45669</v>
      </c>
      <c r="K200" s="34" t="n">
        <v>45669</v>
      </c>
      <c r="L200" s="0">
        <f>DATEDIF(J200,$L$1,"M")</f>
        <v/>
      </c>
      <c r="M200" s="0">
        <f>IF(L200&lt;18,"新品期",IF(L200&lt;=36,"老品期","衰退期"))</f>
        <v/>
      </c>
      <c r="N200" s="36" t="inlineStr">
        <is>
          <t>2025年6月（含6月）前艺璇负责</t>
        </is>
      </c>
    </row>
    <row r="201" ht="15" customFormat="1" customHeight="1" s="36">
      <c r="A201" s="4" t="inlineStr">
        <is>
          <t>Qinkell-US</t>
        </is>
      </c>
      <c r="B201" s="4" t="inlineStr">
        <is>
          <t>Qinkell美国站</t>
        </is>
      </c>
      <c r="C201" s="4">
        <f>B201&amp;D201</f>
        <v/>
      </c>
      <c r="D201" s="4" t="inlineStr">
        <is>
          <t>8907BN QC1</t>
        </is>
      </c>
      <c r="E201" s="4" t="inlineStr">
        <is>
          <t>221F0089BN1</t>
        </is>
      </c>
      <c r="F201" s="4" t="inlineStr">
        <is>
          <t>89系列三件套缸边浴缸龙头拉丝封油</t>
        </is>
      </c>
      <c r="G201" s="4" t="inlineStr">
        <is>
          <t>陈巧娴</t>
        </is>
      </c>
      <c r="H201" s="4" t="inlineStr">
        <is>
          <t>缸边浴缸</t>
        </is>
      </c>
      <c r="I201" s="12" t="inlineStr">
        <is>
          <t>否</t>
        </is>
      </c>
      <c r="J201" s="34" t="n">
        <v>45669</v>
      </c>
      <c r="K201" s="34" t="n">
        <v>45669</v>
      </c>
      <c r="L201" s="0">
        <f>DATEDIF(J201,$L$1,"M")</f>
        <v/>
      </c>
      <c r="M201" s="0">
        <f>IF(L201&lt;18,"新品期",IF(L201&lt;=36,"老品期","衰退期"))</f>
        <v/>
      </c>
      <c r="N201" s="36" t="inlineStr">
        <is>
          <t>2025年6月（含6月）前艺璇负责</t>
        </is>
      </c>
    </row>
    <row r="202" ht="15" customFormat="1" customHeight="1" s="36">
      <c r="A202" s="4" t="inlineStr">
        <is>
          <t>Qinkell-US</t>
        </is>
      </c>
      <c r="B202" s="4" t="inlineStr">
        <is>
          <t>Qinkell美国站</t>
        </is>
      </c>
      <c r="C202" s="4">
        <f>B202&amp;D202</f>
        <v/>
      </c>
      <c r="D202" s="4" t="inlineStr">
        <is>
          <t>8907BN-QC1ZZ</t>
        </is>
      </c>
      <c r="E202" s="4" t="inlineStr">
        <is>
          <t>221F0089BN1</t>
        </is>
      </c>
      <c r="F202" s="4" t="inlineStr">
        <is>
          <t>89系列三件套缸边浴缸龙头拉丝封油</t>
        </is>
      </c>
      <c r="G202" s="4" t="inlineStr">
        <is>
          <t>陈巧娴</t>
        </is>
      </c>
      <c r="H202" s="4" t="inlineStr">
        <is>
          <t>缸边浴缸</t>
        </is>
      </c>
      <c r="I202" s="12" t="inlineStr">
        <is>
          <t>否</t>
        </is>
      </c>
      <c r="J202" s="34" t="n">
        <v>45669</v>
      </c>
      <c r="K202" s="34" t="n">
        <v>45669</v>
      </c>
      <c r="L202" s="0">
        <f>DATEDIF(J202,$L$1,"M")</f>
        <v/>
      </c>
      <c r="M202" s="0">
        <f>IF(L202&lt;18,"新品期",IF(L202&lt;=36,"老品期","衰退期"))</f>
        <v/>
      </c>
      <c r="N202" s="36" t="inlineStr">
        <is>
          <t>2025年6月（含6月）前艺璇负责</t>
        </is>
      </c>
    </row>
    <row r="203" ht="15" customFormat="1" customHeight="1" s="36">
      <c r="A203" s="4" t="inlineStr">
        <is>
          <t>Qinkell-US</t>
        </is>
      </c>
      <c r="B203" s="4" t="inlineStr">
        <is>
          <t>Qinkell美国站</t>
        </is>
      </c>
      <c r="C203" s="4">
        <f>B203&amp;D203</f>
        <v/>
      </c>
      <c r="D203" s="4" t="inlineStr">
        <is>
          <t>8907CP-QC1ZZ</t>
        </is>
      </c>
      <c r="E203" s="4" t="inlineStr">
        <is>
          <t>221F0089CP1</t>
        </is>
      </c>
      <c r="F203" s="4" t="inlineStr">
        <is>
          <t>89系列三件套缸边浴缸龙头铬色</t>
        </is>
      </c>
      <c r="G203" s="4" t="inlineStr">
        <is>
          <t>陈巧娴</t>
        </is>
      </c>
      <c r="H203" s="4" t="inlineStr">
        <is>
          <t>缸边浴缸</t>
        </is>
      </c>
      <c r="I203" s="12" t="inlineStr">
        <is>
          <t>否</t>
        </is>
      </c>
      <c r="J203" s="34" t="n">
        <v>45669</v>
      </c>
      <c r="K203" s="34" t="n">
        <v>45669</v>
      </c>
      <c r="L203" s="0">
        <f>DATEDIF(J203,$L$1,"M")</f>
        <v/>
      </c>
      <c r="M203" s="0">
        <f>IF(L203&lt;18,"新品期",IF(L203&lt;=36,"老品期","衰退期"))</f>
        <v/>
      </c>
      <c r="N203" s="36" t="inlineStr">
        <is>
          <t>2025年6月（含6月）前艺璇负责</t>
        </is>
      </c>
    </row>
    <row r="204" ht="15" customFormat="1" customHeight="1" s="36">
      <c r="A204" s="4" t="inlineStr">
        <is>
          <t>Qinkell-US</t>
        </is>
      </c>
      <c r="B204" s="4" t="inlineStr">
        <is>
          <t>Qinkell美国站</t>
        </is>
      </c>
      <c r="C204" s="4">
        <f>B204&amp;D204</f>
        <v/>
      </c>
      <c r="D204" s="4" t="inlineStr">
        <is>
          <t>8907ORB-QC1ZZ</t>
        </is>
      </c>
      <c r="E204" s="4" t="inlineStr">
        <is>
          <t>221F0089OB1</t>
        </is>
      </c>
      <c r="F204" s="4" t="inlineStr">
        <is>
          <t>89系列三件套缸边浴缸龙头拉丝红古铜</t>
        </is>
      </c>
      <c r="G204" s="4" t="inlineStr">
        <is>
          <t>陈巧娴</t>
        </is>
      </c>
      <c r="H204" s="4" t="inlineStr">
        <is>
          <t>缸边浴缸</t>
        </is>
      </c>
      <c r="I204" s="12" t="inlineStr">
        <is>
          <t>否</t>
        </is>
      </c>
      <c r="J204" s="34" t="n">
        <v>45669</v>
      </c>
      <c r="K204" s="34" t="n">
        <v>45669</v>
      </c>
      <c r="L204" s="0">
        <f>DATEDIF(J204,$L$1,"M")</f>
        <v/>
      </c>
      <c r="M204" s="0">
        <f>IF(L204&lt;18,"新品期",IF(L204&lt;=36,"老品期","衰退期"))</f>
        <v/>
      </c>
      <c r="N204" s="36" t="inlineStr">
        <is>
          <t>2025年6月（含6月）前艺璇负责</t>
        </is>
      </c>
    </row>
    <row r="205" ht="15" customFormat="1" customHeight="1" s="36">
      <c r="A205" s="4" t="inlineStr">
        <is>
          <t>Qinkell-US</t>
        </is>
      </c>
      <c r="B205" s="4" t="inlineStr">
        <is>
          <t>Qinkell美国站</t>
        </is>
      </c>
      <c r="C205" s="4">
        <f>B205&amp;D205</f>
        <v/>
      </c>
      <c r="D205" s="4" t="inlineStr">
        <is>
          <t>8908BG QC1BY1</t>
        </is>
      </c>
      <c r="E205" s="4" t="inlineStr">
        <is>
          <t>222F0089BG1</t>
        </is>
      </c>
      <c r="F205" s="4" t="inlineStr">
        <is>
          <t>89系列四件套缸边浴缸龙头拉丝钛金封油</t>
        </is>
      </c>
      <c r="G205" s="4" t="inlineStr">
        <is>
          <t>陈巧娴</t>
        </is>
      </c>
      <c r="H205" s="4" t="inlineStr">
        <is>
          <t>缸边浴缸</t>
        </is>
      </c>
      <c r="I205" s="12" t="inlineStr">
        <is>
          <t>否</t>
        </is>
      </c>
      <c r="J205" s="34" t="n">
        <v>45680</v>
      </c>
      <c r="K205" s="34" t="n">
        <v>45680</v>
      </c>
      <c r="L205" s="0">
        <f>DATEDIF(J205,$L$1,"M")</f>
        <v/>
      </c>
      <c r="M205" s="0">
        <f>IF(L205&lt;18,"新品期",IF(L205&lt;=36,"老品期","衰退期"))</f>
        <v/>
      </c>
      <c r="N205" s="36" t="inlineStr">
        <is>
          <t>2025年6月（含6月）前艺璇负责</t>
        </is>
      </c>
    </row>
    <row r="206" ht="15" customFormat="1" customHeight="1" s="36">
      <c r="A206" s="4" t="inlineStr">
        <is>
          <t>Qinkell-US</t>
        </is>
      </c>
      <c r="B206" s="4" t="inlineStr">
        <is>
          <t>Qinkell美国站</t>
        </is>
      </c>
      <c r="C206" s="4">
        <f>B206&amp;D206</f>
        <v/>
      </c>
      <c r="D206" s="4" t="inlineStr">
        <is>
          <t>8908BG-QCZZ</t>
        </is>
      </c>
      <c r="E206" s="4" t="inlineStr">
        <is>
          <t>222F0089BG1</t>
        </is>
      </c>
      <c r="F206" s="4" t="inlineStr">
        <is>
          <t>89系列四件套缸边浴缸龙头拉丝钛金封油</t>
        </is>
      </c>
      <c r="G206" s="4" t="inlineStr">
        <is>
          <t>陈巧娴</t>
        </is>
      </c>
      <c r="H206" s="4" t="inlineStr">
        <is>
          <t>缸边浴缸</t>
        </is>
      </c>
      <c r="I206" s="12" t="inlineStr">
        <is>
          <t>否</t>
        </is>
      </c>
      <c r="J206" s="34" t="n">
        <v>45680</v>
      </c>
      <c r="K206" s="34" t="n">
        <v>45680</v>
      </c>
      <c r="L206" s="0">
        <f>DATEDIF(J206,$L$1,"M")</f>
        <v/>
      </c>
      <c r="M206" s="0">
        <f>IF(L206&lt;18,"新品期",IF(L206&lt;=36,"老品期","衰退期"))</f>
        <v/>
      </c>
      <c r="N206" s="36" t="inlineStr">
        <is>
          <t>2025年6月（含6月）前艺璇负责</t>
        </is>
      </c>
    </row>
    <row r="207" ht="15" customFormat="1" customHeight="1" s="36">
      <c r="A207" s="4" t="inlineStr">
        <is>
          <t>Qinkell-US</t>
        </is>
      </c>
      <c r="B207" s="4" t="inlineStr">
        <is>
          <t>Qinkell美国站</t>
        </is>
      </c>
      <c r="C207" s="4">
        <f>B207&amp;D207</f>
        <v/>
      </c>
      <c r="D207" s="4" t="inlineStr">
        <is>
          <t>8908BK QC1</t>
        </is>
      </c>
      <c r="E207" s="4" t="inlineStr">
        <is>
          <t>222F0089BK1</t>
        </is>
      </c>
      <c r="F207" s="4" t="inlineStr">
        <is>
          <t>89系列四件套缸边浴缸龙头电泳黑</t>
        </is>
      </c>
      <c r="G207" s="4" t="inlineStr">
        <is>
          <t>陈巧娴</t>
        </is>
      </c>
      <c r="H207" s="4" t="inlineStr">
        <is>
          <t>缸边浴缸</t>
        </is>
      </c>
      <c r="I207" s="12" t="inlineStr">
        <is>
          <t>否</t>
        </is>
      </c>
      <c r="J207" s="34" t="n">
        <v>45680</v>
      </c>
      <c r="K207" s="34" t="n">
        <v>45680</v>
      </c>
      <c r="L207" s="0">
        <f>DATEDIF(J207,$L$1,"M")</f>
        <v/>
      </c>
      <c r="M207" s="0">
        <f>IF(L207&lt;18,"新品期",IF(L207&lt;=36,"老品期","衰退期"))</f>
        <v/>
      </c>
      <c r="N207" s="36" t="inlineStr">
        <is>
          <t>2025年6月（含6月）前艺璇负责</t>
        </is>
      </c>
    </row>
    <row r="208" ht="15" customFormat="1" customHeight="1" s="36">
      <c r="A208" s="4" t="inlineStr">
        <is>
          <t>Qinkell-US</t>
        </is>
      </c>
      <c r="B208" s="4" t="inlineStr">
        <is>
          <t>Qinkell美国站</t>
        </is>
      </c>
      <c r="C208" s="4">
        <f>B208&amp;D208</f>
        <v/>
      </c>
      <c r="D208" s="4" t="inlineStr">
        <is>
          <t>8908BK QC1BY1</t>
        </is>
      </c>
      <c r="E208" s="4" t="inlineStr">
        <is>
          <t>222F0089BK1</t>
        </is>
      </c>
      <c r="F208" s="4" t="inlineStr">
        <is>
          <t>89系列四件套缸边浴缸龙头电泳黑</t>
        </is>
      </c>
      <c r="G208" s="4" t="inlineStr">
        <is>
          <t>陈巧娴</t>
        </is>
      </c>
      <c r="H208" s="4" t="inlineStr">
        <is>
          <t>缸边浴缸</t>
        </is>
      </c>
      <c r="I208" s="12" t="inlineStr">
        <is>
          <t>否</t>
        </is>
      </c>
      <c r="J208" s="34" t="n">
        <v>45680</v>
      </c>
      <c r="K208" s="34" t="n">
        <v>45680</v>
      </c>
      <c r="L208" s="0">
        <f>DATEDIF(J208,$L$1,"M")</f>
        <v/>
      </c>
      <c r="M208" s="0">
        <f>IF(L208&lt;18,"新品期",IF(L208&lt;=36,"老品期","衰退期"))</f>
        <v/>
      </c>
      <c r="N208" s="36" t="inlineStr">
        <is>
          <t>2025年6月（含6月）前艺璇负责</t>
        </is>
      </c>
    </row>
    <row r="209" ht="15" customFormat="1" customHeight="1" s="36">
      <c r="A209" s="4" t="inlineStr">
        <is>
          <t>Qinkell-US</t>
        </is>
      </c>
      <c r="B209" s="4" t="inlineStr">
        <is>
          <t>Qinkell美国站</t>
        </is>
      </c>
      <c r="C209" s="4">
        <f>B209&amp;D209</f>
        <v/>
      </c>
      <c r="D209" s="4" t="inlineStr">
        <is>
          <t>8908BK-QCZZ</t>
        </is>
      </c>
      <c r="E209" s="4" t="inlineStr">
        <is>
          <t>222F0089BK1</t>
        </is>
      </c>
      <c r="F209" s="4" t="inlineStr">
        <is>
          <t>89系列四件套缸边浴缸龙头电泳黑</t>
        </is>
      </c>
      <c r="G209" s="4" t="inlineStr">
        <is>
          <t>陈巧娴</t>
        </is>
      </c>
      <c r="H209" s="4" t="inlineStr">
        <is>
          <t>缸边浴缸</t>
        </is>
      </c>
      <c r="I209" s="12" t="inlineStr">
        <is>
          <t>否</t>
        </is>
      </c>
      <c r="J209" s="34" t="n">
        <v>45680</v>
      </c>
      <c r="K209" s="34" t="n">
        <v>45680</v>
      </c>
      <c r="L209" s="0">
        <f>DATEDIF(J209,$L$1,"M")</f>
        <v/>
      </c>
      <c r="M209" s="0">
        <f>IF(L209&lt;18,"新品期",IF(L209&lt;=36,"老品期","衰退期"))</f>
        <v/>
      </c>
      <c r="N209" s="36" t="inlineStr">
        <is>
          <t>2025年6月（含6月）前艺璇负责</t>
        </is>
      </c>
    </row>
    <row r="210" ht="15" customFormat="1" customHeight="1" s="36">
      <c r="A210" s="4" t="inlineStr">
        <is>
          <t>Qinkell-US</t>
        </is>
      </c>
      <c r="B210" s="4" t="inlineStr">
        <is>
          <t>Qinkell美国站</t>
        </is>
      </c>
      <c r="C210" s="4">
        <f>B210&amp;D210</f>
        <v/>
      </c>
      <c r="D210" s="4" t="inlineStr">
        <is>
          <t>8908BN QC1</t>
        </is>
      </c>
      <c r="E210" s="4" t="inlineStr">
        <is>
          <t>222F0089BN1</t>
        </is>
      </c>
      <c r="F210" s="4" t="inlineStr">
        <is>
          <t>89系列四件套缸边浴缸龙头拉丝封油</t>
        </is>
      </c>
      <c r="G210" s="4" t="inlineStr">
        <is>
          <t>陈巧娴</t>
        </is>
      </c>
      <c r="H210" s="4" t="inlineStr">
        <is>
          <t>缸边浴缸</t>
        </is>
      </c>
      <c r="I210" s="12" t="inlineStr">
        <is>
          <t>否</t>
        </is>
      </c>
      <c r="J210" s="34" t="n">
        <v>45680</v>
      </c>
      <c r="K210" s="34" t="n">
        <v>45680</v>
      </c>
      <c r="L210" s="0">
        <f>DATEDIF(J210,$L$1,"M")</f>
        <v/>
      </c>
      <c r="M210" s="0">
        <f>IF(L210&lt;18,"新品期",IF(L210&lt;=36,"老品期","衰退期"))</f>
        <v/>
      </c>
      <c r="N210" s="36" t="inlineStr">
        <is>
          <t>2025年6月（含6月）前艺璇负责</t>
        </is>
      </c>
    </row>
    <row r="211" ht="15" customFormat="1" customHeight="1" s="36">
      <c r="A211" s="4" t="inlineStr">
        <is>
          <t>Qinkell-US</t>
        </is>
      </c>
      <c r="B211" s="4" t="inlineStr">
        <is>
          <t>Qinkell美国站</t>
        </is>
      </c>
      <c r="C211" s="4">
        <f>B211&amp;D211</f>
        <v/>
      </c>
      <c r="D211" s="4" t="inlineStr">
        <is>
          <t>8908BN QC1BY1</t>
        </is>
      </c>
      <c r="E211" s="4" t="inlineStr">
        <is>
          <t>222F0089BN1</t>
        </is>
      </c>
      <c r="F211" s="4" t="inlineStr">
        <is>
          <t>89系列四件套缸边浴缸龙头拉丝封油</t>
        </is>
      </c>
      <c r="G211" s="4" t="inlineStr">
        <is>
          <t>陈巧娴</t>
        </is>
      </c>
      <c r="H211" s="4" t="inlineStr">
        <is>
          <t>缸边浴缸</t>
        </is>
      </c>
      <c r="I211" s="12" t="inlineStr">
        <is>
          <t>否</t>
        </is>
      </c>
      <c r="J211" s="34" t="n">
        <v>45680</v>
      </c>
      <c r="K211" s="34" t="n">
        <v>45680</v>
      </c>
      <c r="L211" s="0">
        <f>DATEDIF(J211,$L$1,"M")</f>
        <v/>
      </c>
      <c r="M211" s="0">
        <f>IF(L211&lt;18,"新品期",IF(L211&lt;=36,"老品期","衰退期"))</f>
        <v/>
      </c>
      <c r="N211" s="36" t="inlineStr">
        <is>
          <t>2025年6月（含6月）前艺璇负责</t>
        </is>
      </c>
    </row>
    <row r="212" ht="15" customFormat="1" customHeight="1" s="36">
      <c r="A212" s="4" t="inlineStr">
        <is>
          <t>Qinkell-US</t>
        </is>
      </c>
      <c r="B212" s="4" t="inlineStr">
        <is>
          <t>Qinkell美国站</t>
        </is>
      </c>
      <c r="C212" s="4">
        <f>B212&amp;D212</f>
        <v/>
      </c>
      <c r="D212" s="4" t="inlineStr">
        <is>
          <t>8908BN-QCZZ</t>
        </is>
      </c>
      <c r="E212" s="4" t="inlineStr">
        <is>
          <t>222F0089BN1</t>
        </is>
      </c>
      <c r="F212" s="4" t="inlineStr">
        <is>
          <t>89系列四件套缸边浴缸龙头拉丝封油</t>
        </is>
      </c>
      <c r="G212" s="4" t="inlineStr">
        <is>
          <t>陈巧娴</t>
        </is>
      </c>
      <c r="H212" s="4" t="inlineStr">
        <is>
          <t>缸边浴缸</t>
        </is>
      </c>
      <c r="I212" s="12" t="inlineStr">
        <is>
          <t>否</t>
        </is>
      </c>
      <c r="J212" s="34" t="n">
        <v>45680</v>
      </c>
      <c r="K212" s="34" t="n">
        <v>45680</v>
      </c>
      <c r="L212" s="0">
        <f>DATEDIF(J212,$L$1,"M")</f>
        <v/>
      </c>
      <c r="M212" s="0">
        <f>IF(L212&lt;18,"新品期",IF(L212&lt;=36,"老品期","衰退期"))</f>
        <v/>
      </c>
      <c r="N212" s="36" t="inlineStr">
        <is>
          <t>2025年6月（含6月）前艺璇负责</t>
        </is>
      </c>
    </row>
    <row r="213" ht="15" customFormat="1" customHeight="1" s="36">
      <c r="A213" s="4" t="inlineStr">
        <is>
          <t>Qinkell-US</t>
        </is>
      </c>
      <c r="B213" s="4" t="inlineStr">
        <is>
          <t>Qinkell美国站</t>
        </is>
      </c>
      <c r="C213" s="4">
        <f>B213&amp;D213</f>
        <v/>
      </c>
      <c r="D213" s="4" t="inlineStr">
        <is>
          <t>8908CP QC1</t>
        </is>
      </c>
      <c r="E213" s="4" t="inlineStr">
        <is>
          <t>222F0089CP1</t>
        </is>
      </c>
      <c r="F213" s="4" t="inlineStr">
        <is>
          <t>89系列四件套缸边浴缸龙头铬色</t>
        </is>
      </c>
      <c r="G213" s="4" t="inlineStr">
        <is>
          <t>陈巧娴</t>
        </is>
      </c>
      <c r="H213" s="4" t="inlineStr">
        <is>
          <t>缸边浴缸</t>
        </is>
      </c>
      <c r="I213" s="12" t="inlineStr">
        <is>
          <t>否</t>
        </is>
      </c>
      <c r="J213" s="34" t="n">
        <v>45680</v>
      </c>
      <c r="K213" s="34" t="n">
        <v>45680</v>
      </c>
      <c r="L213" s="0">
        <f>DATEDIF(J213,$L$1,"M")</f>
        <v/>
      </c>
      <c r="M213" s="0">
        <f>IF(L213&lt;18,"新品期",IF(L213&lt;=36,"老品期","衰退期"))</f>
        <v/>
      </c>
      <c r="N213" s="36" t="inlineStr">
        <is>
          <t>2025年6月（含6月）前艺璇负责</t>
        </is>
      </c>
    </row>
    <row r="214" ht="15" customFormat="1" customHeight="1" s="36">
      <c r="A214" s="4" t="inlineStr">
        <is>
          <t>Qinkell-US</t>
        </is>
      </c>
      <c r="B214" s="4" t="inlineStr">
        <is>
          <t>Qinkell美国站</t>
        </is>
      </c>
      <c r="C214" s="4">
        <f>B214&amp;D214</f>
        <v/>
      </c>
      <c r="D214" s="4" t="inlineStr">
        <is>
          <t>8908CP QC1BY1</t>
        </is>
      </c>
      <c r="E214" s="4" t="inlineStr">
        <is>
          <t>222F0089CP1</t>
        </is>
      </c>
      <c r="F214" s="4" t="inlineStr">
        <is>
          <t>89系列四件套缸边浴缸龙头铬色</t>
        </is>
      </c>
      <c r="G214" s="4" t="inlineStr">
        <is>
          <t>陈巧娴</t>
        </is>
      </c>
      <c r="H214" s="4" t="inlineStr">
        <is>
          <t>缸边浴缸</t>
        </is>
      </c>
      <c r="I214" s="12" t="inlineStr">
        <is>
          <t>否</t>
        </is>
      </c>
      <c r="J214" s="34" t="n">
        <v>45680</v>
      </c>
      <c r="K214" s="34" t="n">
        <v>45680</v>
      </c>
      <c r="L214" s="0">
        <f>DATEDIF(J214,$L$1,"M")</f>
        <v/>
      </c>
      <c r="M214" s="0">
        <f>IF(L214&lt;18,"新品期",IF(L214&lt;=36,"老品期","衰退期"))</f>
        <v/>
      </c>
      <c r="N214" s="36" t="inlineStr">
        <is>
          <t>2025年6月（含6月）前艺璇负责</t>
        </is>
      </c>
    </row>
    <row r="215" ht="15" customFormat="1" customHeight="1" s="36">
      <c r="A215" s="4" t="inlineStr">
        <is>
          <t>Qinkell-US</t>
        </is>
      </c>
      <c r="B215" s="4" t="inlineStr">
        <is>
          <t>Qinkell美国站</t>
        </is>
      </c>
      <c r="C215" s="4">
        <f>B215&amp;D215</f>
        <v/>
      </c>
      <c r="D215" s="4" t="inlineStr">
        <is>
          <t>8908CP-QCZZ</t>
        </is>
      </c>
      <c r="E215" s="4" t="inlineStr">
        <is>
          <t>222F0089CP1</t>
        </is>
      </c>
      <c r="F215" s="4" t="inlineStr">
        <is>
          <t>89系列四件套缸边浴缸龙头铬色</t>
        </is>
      </c>
      <c r="G215" s="4" t="inlineStr">
        <is>
          <t>陈巧娴</t>
        </is>
      </c>
      <c r="H215" s="4" t="inlineStr">
        <is>
          <t>缸边浴缸</t>
        </is>
      </c>
      <c r="I215" s="12" t="inlineStr">
        <is>
          <t>否</t>
        </is>
      </c>
      <c r="J215" s="34" t="n">
        <v>45680</v>
      </c>
      <c r="K215" s="34" t="n">
        <v>45680</v>
      </c>
      <c r="L215" s="0">
        <f>DATEDIF(J215,$L$1,"M")</f>
        <v/>
      </c>
      <c r="M215" s="0">
        <f>IF(L215&lt;18,"新品期",IF(L215&lt;=36,"老品期","衰退期"))</f>
        <v/>
      </c>
      <c r="N215" s="36" t="inlineStr">
        <is>
          <t>2025年6月（含6月）前艺璇负责</t>
        </is>
      </c>
    </row>
    <row r="216" ht="15" customFormat="1" customHeight="1" s="36">
      <c r="A216" s="4" t="inlineStr">
        <is>
          <t>Qinkell-US</t>
        </is>
      </c>
      <c r="B216" s="4" t="inlineStr">
        <is>
          <t>Qinkell美国站</t>
        </is>
      </c>
      <c r="C216" s="4">
        <f>B216&amp;D216</f>
        <v/>
      </c>
      <c r="D216" s="4" t="inlineStr">
        <is>
          <t>8908ORB QC1</t>
        </is>
      </c>
      <c r="E216" s="4" t="inlineStr">
        <is>
          <t>222F0089OB1</t>
        </is>
      </c>
      <c r="F216" s="4" t="inlineStr">
        <is>
          <t>89系列四件套缸边浴缸龙头拉丝红古铜</t>
        </is>
      </c>
      <c r="G216" s="4" t="inlineStr">
        <is>
          <t>陈巧娴</t>
        </is>
      </c>
      <c r="H216" s="4" t="inlineStr">
        <is>
          <t>缸边浴缸</t>
        </is>
      </c>
      <c r="I216" s="12" t="inlineStr">
        <is>
          <t>否</t>
        </is>
      </c>
      <c r="J216" s="34" t="n">
        <v>45680</v>
      </c>
      <c r="K216" s="34" t="n">
        <v>45680</v>
      </c>
      <c r="L216" s="0">
        <f>DATEDIF(J216,$L$1,"M")</f>
        <v/>
      </c>
      <c r="M216" s="0">
        <f>IF(L216&lt;18,"新品期",IF(L216&lt;=36,"老品期","衰退期"))</f>
        <v/>
      </c>
      <c r="N216" s="36" t="inlineStr">
        <is>
          <t>2025年6月（含6月）前艺璇负责</t>
        </is>
      </c>
    </row>
    <row r="217" ht="15" customFormat="1" customHeight="1" s="36">
      <c r="A217" s="4" t="inlineStr">
        <is>
          <t>Qinkell-US</t>
        </is>
      </c>
      <c r="B217" s="4" t="inlineStr">
        <is>
          <t>Qinkell美国站</t>
        </is>
      </c>
      <c r="C217" s="4">
        <f>B217&amp;D217</f>
        <v/>
      </c>
      <c r="D217" s="4" t="inlineStr">
        <is>
          <t>8908ORB QC1BY1</t>
        </is>
      </c>
      <c r="E217" s="4" t="inlineStr">
        <is>
          <t>222F0089OB1</t>
        </is>
      </c>
      <c r="F217" s="4" t="inlineStr">
        <is>
          <t>89系列四件套缸边浴缸龙头拉丝红古铜</t>
        </is>
      </c>
      <c r="G217" s="4" t="inlineStr">
        <is>
          <t>陈巧娴</t>
        </is>
      </c>
      <c r="H217" s="4" t="inlineStr">
        <is>
          <t>缸边浴缸</t>
        </is>
      </c>
      <c r="I217" s="12" t="inlineStr">
        <is>
          <t>否</t>
        </is>
      </c>
      <c r="J217" s="34" t="n">
        <v>45680</v>
      </c>
      <c r="K217" s="34" t="n">
        <v>45680</v>
      </c>
      <c r="L217" s="0">
        <f>DATEDIF(J217,$L$1,"M")</f>
        <v/>
      </c>
      <c r="M217" s="0">
        <f>IF(L217&lt;18,"新品期",IF(L217&lt;=36,"老品期","衰退期"))</f>
        <v/>
      </c>
      <c r="N217" s="36" t="inlineStr">
        <is>
          <t>2025年6月（含6月）前艺璇负责</t>
        </is>
      </c>
    </row>
    <row r="218" ht="15" customFormat="1" customHeight="1" s="36">
      <c r="A218" s="4" t="inlineStr">
        <is>
          <t>Qinkell-US</t>
        </is>
      </c>
      <c r="B218" s="4" t="inlineStr">
        <is>
          <t>Qinkell美国站</t>
        </is>
      </c>
      <c r="C218" s="4">
        <f>B218&amp;D218</f>
        <v/>
      </c>
      <c r="D218" s="4" t="inlineStr">
        <is>
          <t>8909BG QC1</t>
        </is>
      </c>
      <c r="E218" s="4" t="inlineStr">
        <is>
          <t>223F0089BG1</t>
        </is>
      </c>
      <c r="F218" s="4" t="inlineStr">
        <is>
          <t>89系列五件套缸边浴缸龙头拉丝钛金封油</t>
        </is>
      </c>
      <c r="G218" s="4" t="inlineStr">
        <is>
          <t>陈巧娴</t>
        </is>
      </c>
      <c r="H218" s="4" t="inlineStr">
        <is>
          <t>缸边浴缸</t>
        </is>
      </c>
      <c r="I218" s="12" t="inlineStr">
        <is>
          <t>是</t>
        </is>
      </c>
      <c r="J218" s="34" t="n">
        <v>45780</v>
      </c>
      <c r="K218" s="34" t="n">
        <v>45780</v>
      </c>
      <c r="L218" s="0">
        <f>DATEDIF(J218,$L$1,"M")</f>
        <v/>
      </c>
      <c r="M218" s="0">
        <f>IF(L218&lt;18,"新品期",IF(L218&lt;=36,"老品期","衰退期"))</f>
        <v/>
      </c>
      <c r="N218" s="36" t="inlineStr">
        <is>
          <t>2025年6月（含6月）前艺璇负责</t>
        </is>
      </c>
    </row>
    <row r="219" ht="15" customFormat="1" customHeight="1" s="36">
      <c r="A219" s="4" t="inlineStr">
        <is>
          <t>Qinkell-US</t>
        </is>
      </c>
      <c r="B219" s="4" t="inlineStr">
        <is>
          <t>Qinkell美国站</t>
        </is>
      </c>
      <c r="C219" s="4">
        <f>B219&amp;D219</f>
        <v/>
      </c>
      <c r="D219" s="4" t="inlineStr">
        <is>
          <t>8909BG QC1BY1</t>
        </is>
      </c>
      <c r="E219" s="4" t="inlineStr">
        <is>
          <t>223F0089BG1</t>
        </is>
      </c>
      <c r="F219" s="4" t="inlineStr">
        <is>
          <t>89系列五件套缸边浴缸龙头拉丝钛金封油</t>
        </is>
      </c>
      <c r="G219" s="4" t="inlineStr">
        <is>
          <t>陈巧娴</t>
        </is>
      </c>
      <c r="H219" s="4" t="inlineStr">
        <is>
          <t>缸边浴缸</t>
        </is>
      </c>
      <c r="I219" s="12" t="inlineStr">
        <is>
          <t>是</t>
        </is>
      </c>
      <c r="J219" s="34" t="n">
        <v>45742</v>
      </c>
      <c r="K219" s="34" t="n">
        <v>45742</v>
      </c>
      <c r="L219" s="0">
        <f>DATEDIF(J219,$L$1,"M")</f>
        <v/>
      </c>
      <c r="M219" s="0">
        <f>IF(L219&lt;18,"新品期",IF(L219&lt;=36,"老品期","衰退期"))</f>
        <v/>
      </c>
      <c r="N219" s="36" t="inlineStr">
        <is>
          <t>2025年6月（含6月）前艺璇负责</t>
        </is>
      </c>
    </row>
    <row r="220" ht="15" customFormat="1" customHeight="1" s="36">
      <c r="A220" s="4" t="inlineStr">
        <is>
          <t>Qinkell-US</t>
        </is>
      </c>
      <c r="B220" s="4" t="inlineStr">
        <is>
          <t>Qinkell美国站</t>
        </is>
      </c>
      <c r="C220" s="4">
        <f>B220&amp;D220</f>
        <v/>
      </c>
      <c r="D220" s="4" t="inlineStr">
        <is>
          <t>8909BG-QC1ZZZZ</t>
        </is>
      </c>
      <c r="E220" s="4" t="inlineStr">
        <is>
          <t>223F0089BG1</t>
        </is>
      </c>
      <c r="F220" s="4" t="inlineStr">
        <is>
          <t>89系列五件套缸边浴缸龙头拉丝钛金封油</t>
        </is>
      </c>
      <c r="G220" s="4" t="inlineStr">
        <is>
          <t>陈巧娴</t>
        </is>
      </c>
      <c r="H220" s="4" t="inlineStr">
        <is>
          <t>缸边浴缸</t>
        </is>
      </c>
      <c r="I220" s="12" t="inlineStr">
        <is>
          <t>是</t>
        </is>
      </c>
      <c r="J220" s="34" t="n">
        <v>45742</v>
      </c>
      <c r="K220" s="34" t="n">
        <v>45742</v>
      </c>
      <c r="L220" s="0">
        <f>DATEDIF(J220,$L$1,"M")</f>
        <v/>
      </c>
      <c r="M220" s="0">
        <f>IF(L220&lt;18,"新品期",IF(L220&lt;=36,"老品期","衰退期"))</f>
        <v/>
      </c>
      <c r="N220" s="36" t="inlineStr">
        <is>
          <t>2025年6月（含6月）前艺璇负责</t>
        </is>
      </c>
    </row>
    <row r="221" ht="15" customFormat="1" customHeight="1" s="36">
      <c r="A221" s="4" t="inlineStr">
        <is>
          <t>Qinkell-US</t>
        </is>
      </c>
      <c r="B221" s="4" t="inlineStr">
        <is>
          <t>Qinkell美国站</t>
        </is>
      </c>
      <c r="C221" s="4">
        <f>B221&amp;D221</f>
        <v/>
      </c>
      <c r="D221" s="4" t="inlineStr">
        <is>
          <t>8909BK QC1</t>
        </is>
      </c>
      <c r="E221" s="4" t="inlineStr">
        <is>
          <t>223F0089BK1</t>
        </is>
      </c>
      <c r="F221" s="4" t="inlineStr">
        <is>
          <t>89系列五件套缸边浴缸龙头电泳黑</t>
        </is>
      </c>
      <c r="G221" s="4" t="inlineStr">
        <is>
          <t>陈巧娴</t>
        </is>
      </c>
      <c r="H221" s="4" t="inlineStr">
        <is>
          <t>缸边浴缸</t>
        </is>
      </c>
      <c r="I221" s="12" t="inlineStr">
        <is>
          <t>是</t>
        </is>
      </c>
      <c r="J221" s="34" t="n">
        <v>45742</v>
      </c>
      <c r="K221" s="34" t="n">
        <v>45742</v>
      </c>
      <c r="L221" s="0">
        <f>DATEDIF(J221,$L$1,"M")</f>
        <v/>
      </c>
      <c r="M221" s="0">
        <f>IF(L221&lt;18,"新品期",IF(L221&lt;=36,"老品期","衰退期"))</f>
        <v/>
      </c>
      <c r="N221" s="36" t="inlineStr">
        <is>
          <t>2025年6月（含6月）前艺璇负责</t>
        </is>
      </c>
    </row>
    <row r="222" ht="15" customFormat="1" customHeight="1" s="36">
      <c r="A222" s="4" t="inlineStr">
        <is>
          <t>Qinkell-US</t>
        </is>
      </c>
      <c r="B222" s="4" t="inlineStr">
        <is>
          <t>Qinkell美国站</t>
        </is>
      </c>
      <c r="C222" s="4">
        <f>B222&amp;D222</f>
        <v/>
      </c>
      <c r="D222" s="4" t="inlineStr">
        <is>
          <t>8909BK QC1BY1</t>
        </is>
      </c>
      <c r="E222" s="4" t="inlineStr">
        <is>
          <t>223F0089BK1</t>
        </is>
      </c>
      <c r="F222" s="4" t="inlineStr">
        <is>
          <t>89系列五件套缸边浴缸龙头电泳黑</t>
        </is>
      </c>
      <c r="G222" s="4" t="inlineStr">
        <is>
          <t>陈巧娴</t>
        </is>
      </c>
      <c r="H222" s="4" t="inlineStr">
        <is>
          <t>缸边浴缸</t>
        </is>
      </c>
      <c r="I222" s="12" t="inlineStr">
        <is>
          <t>是</t>
        </is>
      </c>
      <c r="J222" s="34" t="n">
        <v>45742</v>
      </c>
      <c r="K222" s="34" t="n">
        <v>45742</v>
      </c>
      <c r="L222" s="0">
        <f>DATEDIF(J222,$L$1,"M")</f>
        <v/>
      </c>
      <c r="M222" s="0">
        <f>IF(L222&lt;18,"新品期",IF(L222&lt;=36,"老品期","衰退期"))</f>
        <v/>
      </c>
      <c r="N222" s="36" t="inlineStr">
        <is>
          <t>2025年6月（含6月）前艺璇负责</t>
        </is>
      </c>
    </row>
    <row r="223" ht="15" customFormat="1" customHeight="1" s="36">
      <c r="A223" s="4" t="inlineStr">
        <is>
          <t>Qinkell-US</t>
        </is>
      </c>
      <c r="B223" s="4" t="inlineStr">
        <is>
          <t>Qinkell美国站</t>
        </is>
      </c>
      <c r="C223" s="4">
        <f>B223&amp;D223</f>
        <v/>
      </c>
      <c r="D223" s="4" t="inlineStr">
        <is>
          <t>8909BK-QC1ZZZZ</t>
        </is>
      </c>
      <c r="E223" s="4" t="inlineStr">
        <is>
          <t>223F0089BK1</t>
        </is>
      </c>
      <c r="F223" s="4" t="inlineStr">
        <is>
          <t>89系列五件套缸边浴缸龙头电泳黑</t>
        </is>
      </c>
      <c r="G223" s="4" t="inlineStr">
        <is>
          <t>陈巧娴</t>
        </is>
      </c>
      <c r="H223" s="4" t="inlineStr">
        <is>
          <t>缸边浴缸</t>
        </is>
      </c>
      <c r="I223" s="12" t="inlineStr">
        <is>
          <t>是</t>
        </is>
      </c>
      <c r="J223" s="34" t="n">
        <v>45742</v>
      </c>
      <c r="K223" s="34" t="n">
        <v>45742</v>
      </c>
      <c r="L223" s="0">
        <f>DATEDIF(J223,$L$1,"M")</f>
        <v/>
      </c>
      <c r="M223" s="0">
        <f>IF(L223&lt;18,"新品期",IF(L223&lt;=36,"老品期","衰退期"))</f>
        <v/>
      </c>
      <c r="N223" s="36" t="inlineStr">
        <is>
          <t>2025年6月（含6月）前艺璇负责</t>
        </is>
      </c>
    </row>
    <row r="224" ht="15" customFormat="1" customHeight="1" s="36">
      <c r="A224" s="4" t="inlineStr">
        <is>
          <t>Qinkell-US</t>
        </is>
      </c>
      <c r="B224" s="4" t="inlineStr">
        <is>
          <t>Qinkell美国站</t>
        </is>
      </c>
      <c r="C224" s="4">
        <f>B224&amp;D224</f>
        <v/>
      </c>
      <c r="D224" s="4" t="inlineStr">
        <is>
          <t>8909BN QC1</t>
        </is>
      </c>
      <c r="E224" s="4" t="inlineStr">
        <is>
          <t>223F0089BN1</t>
        </is>
      </c>
      <c r="F224" s="4" t="inlineStr">
        <is>
          <t>89系列五件套缸边浴缸龙头拉丝封油</t>
        </is>
      </c>
      <c r="G224" s="4" t="inlineStr">
        <is>
          <t>陈巧娴</t>
        </is>
      </c>
      <c r="H224" s="4" t="inlineStr">
        <is>
          <t>缸边浴缸</t>
        </is>
      </c>
      <c r="I224" s="12" t="inlineStr">
        <is>
          <t>是</t>
        </is>
      </c>
      <c r="J224" s="34" t="n">
        <v>45742</v>
      </c>
      <c r="K224" s="34" t="n">
        <v>45742</v>
      </c>
      <c r="L224" s="0">
        <f>DATEDIF(J224,$L$1,"M")</f>
        <v/>
      </c>
      <c r="M224" s="0">
        <f>IF(L224&lt;18,"新品期",IF(L224&lt;=36,"老品期","衰退期"))</f>
        <v/>
      </c>
      <c r="N224" s="36" t="inlineStr">
        <is>
          <t>2025年6月（含6月）前艺璇负责</t>
        </is>
      </c>
    </row>
    <row r="225" ht="15" customFormat="1" customHeight="1" s="36">
      <c r="A225" s="4" t="inlineStr">
        <is>
          <t>Qinkell-US</t>
        </is>
      </c>
      <c r="B225" s="4" t="inlineStr">
        <is>
          <t>Qinkell美国站</t>
        </is>
      </c>
      <c r="C225" s="4">
        <f>B225&amp;D225</f>
        <v/>
      </c>
      <c r="D225" s="4" t="inlineStr">
        <is>
          <t>8909BN QC1BY1</t>
        </is>
      </c>
      <c r="E225" s="4" t="inlineStr">
        <is>
          <t>223F0089BN1</t>
        </is>
      </c>
      <c r="F225" s="4" t="inlineStr">
        <is>
          <t>89系列五件套缸边浴缸龙头拉丝封油</t>
        </is>
      </c>
      <c r="G225" s="4" t="inlineStr">
        <is>
          <t>陈巧娴</t>
        </is>
      </c>
      <c r="H225" s="4" t="inlineStr">
        <is>
          <t>缸边浴缸</t>
        </is>
      </c>
      <c r="I225" s="12" t="inlineStr">
        <is>
          <t>是</t>
        </is>
      </c>
      <c r="J225" s="34" t="n">
        <v>45742</v>
      </c>
      <c r="K225" s="34" t="n">
        <v>45742</v>
      </c>
      <c r="L225" s="0">
        <f>DATEDIF(J225,$L$1,"M")</f>
        <v/>
      </c>
      <c r="M225" s="0">
        <f>IF(L225&lt;18,"新品期",IF(L225&lt;=36,"老品期","衰退期"))</f>
        <v/>
      </c>
      <c r="N225" s="36" t="inlineStr">
        <is>
          <t>2025年6月（含6月）前艺璇负责</t>
        </is>
      </c>
    </row>
    <row r="226" ht="15" customFormat="1" customHeight="1" s="36">
      <c r="A226" s="4" t="inlineStr">
        <is>
          <t>Qinkell-US</t>
        </is>
      </c>
      <c r="B226" s="4" t="inlineStr">
        <is>
          <t>Qinkell美国站</t>
        </is>
      </c>
      <c r="C226" s="4">
        <f>B226&amp;D226</f>
        <v/>
      </c>
      <c r="D226" s="4" t="inlineStr">
        <is>
          <t>8909BN-QC1ZZZZ</t>
        </is>
      </c>
      <c r="E226" s="4" t="inlineStr">
        <is>
          <t>223F0089BN1</t>
        </is>
      </c>
      <c r="F226" s="4" t="inlineStr">
        <is>
          <t>89系列五件套缸边浴缸龙头拉丝封油</t>
        </is>
      </c>
      <c r="G226" s="4" t="inlineStr">
        <is>
          <t>陈巧娴</t>
        </is>
      </c>
      <c r="H226" s="4" t="inlineStr">
        <is>
          <t>缸边浴缸</t>
        </is>
      </c>
      <c r="I226" s="12" t="inlineStr">
        <is>
          <t>是</t>
        </is>
      </c>
      <c r="J226" s="34" t="n">
        <v>45742</v>
      </c>
      <c r="K226" s="34" t="n">
        <v>45742</v>
      </c>
      <c r="L226" s="0">
        <f>DATEDIF(J226,$L$1,"M")</f>
        <v/>
      </c>
      <c r="M226" s="0">
        <f>IF(L226&lt;18,"新品期",IF(L226&lt;=36,"老品期","衰退期"))</f>
        <v/>
      </c>
      <c r="N226" s="36" t="inlineStr">
        <is>
          <t>2025年6月（含6月）前艺璇负责</t>
        </is>
      </c>
    </row>
    <row r="227" ht="15" customFormat="1" customHeight="1" s="36">
      <c r="A227" s="4" t="inlineStr">
        <is>
          <t>Qinkell-US</t>
        </is>
      </c>
      <c r="B227" s="4" t="inlineStr">
        <is>
          <t>Qinkell美国站</t>
        </is>
      </c>
      <c r="C227" s="4">
        <f>B227&amp;D227</f>
        <v/>
      </c>
      <c r="D227" s="4" t="inlineStr">
        <is>
          <t>8909CP QC1BY1</t>
        </is>
      </c>
      <c r="E227" s="4" t="inlineStr">
        <is>
          <t>223F0089CP1</t>
        </is>
      </c>
      <c r="F227" s="4" t="inlineStr">
        <is>
          <t>89系列五件套缸边浴缸龙头铬色</t>
        </is>
      </c>
      <c r="G227" s="4" t="inlineStr">
        <is>
          <t>陈巧娴</t>
        </is>
      </c>
      <c r="H227" s="4" t="inlineStr">
        <is>
          <t>缸边浴缸</t>
        </is>
      </c>
      <c r="I227" s="12" t="inlineStr">
        <is>
          <t>是</t>
        </is>
      </c>
      <c r="J227" s="34" t="n">
        <v>45742</v>
      </c>
      <c r="K227" s="34" t="n">
        <v>45742</v>
      </c>
      <c r="L227" s="0">
        <f>DATEDIF(J227,$L$1,"M")</f>
        <v/>
      </c>
      <c r="M227" s="0">
        <f>IF(L227&lt;18,"新品期",IF(L227&lt;=36,"老品期","衰退期"))</f>
        <v/>
      </c>
      <c r="N227" s="36" t="inlineStr">
        <is>
          <t>2025年6月（含6月）前艺璇负责</t>
        </is>
      </c>
    </row>
    <row r="228" ht="15" customFormat="1" customHeight="1" s="36">
      <c r="A228" s="4" t="inlineStr">
        <is>
          <t>Qinkell-US</t>
        </is>
      </c>
      <c r="B228" s="4" t="inlineStr">
        <is>
          <t>Qinkell美国站</t>
        </is>
      </c>
      <c r="C228" s="4">
        <f>B228&amp;D228</f>
        <v/>
      </c>
      <c r="D228" s="4" t="inlineStr">
        <is>
          <t>8909CP-QC1ZZZZ</t>
        </is>
      </c>
      <c r="E228" s="4" t="inlineStr">
        <is>
          <t>223F0089CP1</t>
        </is>
      </c>
      <c r="F228" s="4" t="inlineStr">
        <is>
          <t>89系列五件套缸边浴缸龙头铬色</t>
        </is>
      </c>
      <c r="G228" s="4" t="inlineStr">
        <is>
          <t>陈巧娴</t>
        </is>
      </c>
      <c r="H228" s="4" t="inlineStr">
        <is>
          <t>缸边浴缸</t>
        </is>
      </c>
      <c r="I228" s="12" t="inlineStr">
        <is>
          <t>是</t>
        </is>
      </c>
      <c r="J228" s="34" t="n">
        <v>45742</v>
      </c>
      <c r="K228" s="34" t="n">
        <v>45742</v>
      </c>
      <c r="L228" s="0">
        <f>DATEDIF(J228,$L$1,"M")</f>
        <v/>
      </c>
      <c r="M228" s="0">
        <f>IF(L228&lt;18,"新品期",IF(L228&lt;=36,"老品期","衰退期"))</f>
        <v/>
      </c>
      <c r="N228" s="36" t="inlineStr">
        <is>
          <t>2025年6月（含6月）前艺璇负责</t>
        </is>
      </c>
    </row>
    <row r="229" ht="15" customFormat="1" customHeight="1" s="36">
      <c r="A229" s="4" t="inlineStr">
        <is>
          <t>Qinkell-US</t>
        </is>
      </c>
      <c r="B229" s="4" t="inlineStr">
        <is>
          <t>Qinkell美国站</t>
        </is>
      </c>
      <c r="C229" s="4">
        <f>B229&amp;D229</f>
        <v/>
      </c>
      <c r="D229" s="4" t="inlineStr">
        <is>
          <t>8909ORB QC1</t>
        </is>
      </c>
      <c r="E229" s="4" t="inlineStr">
        <is>
          <t>223F0089OB1</t>
        </is>
      </c>
      <c r="F229" s="4" t="inlineStr">
        <is>
          <t>89系列五件套缸边浴缸龙头拉丝红古铜</t>
        </is>
      </c>
      <c r="G229" s="4" t="inlineStr">
        <is>
          <t>陈巧娴</t>
        </is>
      </c>
      <c r="H229" s="4" t="inlineStr">
        <is>
          <t>缸边浴缸</t>
        </is>
      </c>
      <c r="I229" s="12" t="inlineStr">
        <is>
          <t>是</t>
        </is>
      </c>
      <c r="J229" s="34" t="n">
        <v>45742</v>
      </c>
      <c r="K229" s="34" t="n">
        <v>45742</v>
      </c>
      <c r="L229" s="0">
        <f>DATEDIF(J229,$L$1,"M")</f>
        <v/>
      </c>
      <c r="M229" s="0">
        <f>IF(L229&lt;18,"新品期",IF(L229&lt;=36,"老品期","衰退期"))</f>
        <v/>
      </c>
      <c r="N229" s="36" t="inlineStr">
        <is>
          <t>2025年6月（含6月）前艺璇负责</t>
        </is>
      </c>
    </row>
    <row r="230" ht="15" customFormat="1" customHeight="1" s="36">
      <c r="A230" s="4" t="inlineStr">
        <is>
          <t>Qinkell-US</t>
        </is>
      </c>
      <c r="B230" s="4" t="inlineStr">
        <is>
          <t>Qinkell美国站</t>
        </is>
      </c>
      <c r="C230" s="4">
        <f>B230&amp;D230</f>
        <v/>
      </c>
      <c r="D230" s="4" t="inlineStr">
        <is>
          <t>8909ORB QC1BY1</t>
        </is>
      </c>
      <c r="E230" s="4" t="inlineStr">
        <is>
          <t>223F0089OB1</t>
        </is>
      </c>
      <c r="F230" s="4" t="inlineStr">
        <is>
          <t>89系列五件套缸边浴缸龙头拉丝红古铜</t>
        </is>
      </c>
      <c r="G230" s="4" t="inlineStr">
        <is>
          <t>陈巧娴</t>
        </is>
      </c>
      <c r="H230" s="4" t="inlineStr">
        <is>
          <t>缸边浴缸</t>
        </is>
      </c>
      <c r="I230" s="12" t="inlineStr">
        <is>
          <t>是</t>
        </is>
      </c>
      <c r="J230" s="34" t="n">
        <v>45742</v>
      </c>
      <c r="K230" s="34" t="n">
        <v>45742</v>
      </c>
      <c r="L230" s="0">
        <f>DATEDIF(J230,$L$1,"M")</f>
        <v/>
      </c>
      <c r="M230" s="0">
        <f>IF(L230&lt;18,"新品期",IF(L230&lt;=36,"老品期","衰退期"))</f>
        <v/>
      </c>
      <c r="N230" s="36" t="inlineStr">
        <is>
          <t>2025年6月（含6月）前艺璇负责</t>
        </is>
      </c>
    </row>
    <row r="231" ht="15" customFormat="1" customHeight="1" s="36">
      <c r="A231" s="4" t="inlineStr">
        <is>
          <t>Qinkell-US</t>
        </is>
      </c>
      <c r="B231" s="4" t="inlineStr">
        <is>
          <t>Qinkell美国站</t>
        </is>
      </c>
      <c r="C231" s="4">
        <f>B231&amp;D231</f>
        <v/>
      </c>
      <c r="D231" s="4" t="inlineStr">
        <is>
          <t>8911BG QC1</t>
        </is>
      </c>
      <c r="E231" s="4" t="inlineStr">
        <is>
          <t>211F0089BG1</t>
        </is>
      </c>
      <c r="F231" s="4" t="inlineStr">
        <is>
          <t>8911落地浴缸龙头拉丝钛金封油</t>
        </is>
      </c>
      <c r="G231" s="4" t="inlineStr">
        <is>
          <t>刘皓</t>
        </is>
      </c>
      <c r="H231" s="4" t="inlineStr">
        <is>
          <t>落地浴缸</t>
        </is>
      </c>
      <c r="I231" s="12" t="inlineStr">
        <is>
          <t>否</t>
        </is>
      </c>
      <c r="J231" s="4" t="n">
        <v>45685</v>
      </c>
      <c r="K231" s="4" t="inlineStr">
        <is>
          <t>/</t>
        </is>
      </c>
      <c r="L231" s="0">
        <f>DATEDIF(J231,$L$1,"M")</f>
        <v/>
      </c>
      <c r="M231" s="0">
        <f>IF(L231&lt;18,"新品期",IF(L231&lt;=36,"老品期","衰退期"))</f>
        <v/>
      </c>
      <c r="N231" s="15" t="inlineStr">
        <is>
          <t>备用链接，没发货</t>
        </is>
      </c>
    </row>
    <row r="232" ht="15" customFormat="1" customHeight="1" s="36">
      <c r="A232" s="4" t="inlineStr">
        <is>
          <t>Qinkell-US</t>
        </is>
      </c>
      <c r="B232" s="4" t="inlineStr">
        <is>
          <t>Qinkell美国站</t>
        </is>
      </c>
      <c r="C232" s="4">
        <f>B232&amp;D232</f>
        <v/>
      </c>
      <c r="D232" s="4" t="inlineStr">
        <is>
          <t>8911BG QC1BY1</t>
        </is>
      </c>
      <c r="E232" s="4" t="inlineStr">
        <is>
          <t>211F0089BG1</t>
        </is>
      </c>
      <c r="F232" s="4" t="inlineStr">
        <is>
          <t>8911落地浴缸龙头拉丝钛金封油</t>
        </is>
      </c>
      <c r="G232" s="4" t="inlineStr">
        <is>
          <t>刘皓</t>
        </is>
      </c>
      <c r="H232" s="4" t="inlineStr">
        <is>
          <t>落地浴缸</t>
        </is>
      </c>
      <c r="I232" s="12" t="inlineStr">
        <is>
          <t>否</t>
        </is>
      </c>
      <c r="J232" s="4" t="n">
        <v>45685</v>
      </c>
      <c r="K232" s="4" t="inlineStr">
        <is>
          <t>/</t>
        </is>
      </c>
      <c r="L232" s="0">
        <f>DATEDIF(J232,$L$1,"M")</f>
        <v/>
      </c>
      <c r="M232" s="0">
        <f>IF(L232&lt;18,"新品期",IF(L232&lt;=36,"老品期","衰退期"))</f>
        <v/>
      </c>
      <c r="N232" s="15" t="inlineStr">
        <is>
          <t>备用链接，没发货</t>
        </is>
      </c>
    </row>
    <row r="233" ht="15" customFormat="1" customHeight="1" s="36">
      <c r="A233" s="4" t="inlineStr">
        <is>
          <t>Qinkell-US</t>
        </is>
      </c>
      <c r="B233" s="4" t="inlineStr">
        <is>
          <t>Qinkell美国站</t>
        </is>
      </c>
      <c r="C233" s="4">
        <f>B233&amp;D233</f>
        <v/>
      </c>
      <c r="D233" s="4" t="inlineStr">
        <is>
          <t>8911BK QC1</t>
        </is>
      </c>
      <c r="E233" s="4" t="inlineStr">
        <is>
          <t>211F0089BK1</t>
        </is>
      </c>
      <c r="F233" s="4" t="inlineStr">
        <is>
          <t>8911落地浴缸龙头哑黑</t>
        </is>
      </c>
      <c r="G233" s="4" t="inlineStr">
        <is>
          <t>刘皓</t>
        </is>
      </c>
      <c r="H233" s="4" t="inlineStr">
        <is>
          <t>落地浴缸</t>
        </is>
      </c>
      <c r="I233" s="12" t="inlineStr">
        <is>
          <t>否</t>
        </is>
      </c>
      <c r="J233" s="4" t="n">
        <v>45685</v>
      </c>
      <c r="K233" s="4" t="inlineStr">
        <is>
          <t>/</t>
        </is>
      </c>
      <c r="L233" s="0">
        <f>DATEDIF(J233,$L$1,"M")</f>
        <v/>
      </c>
      <c r="M233" s="0">
        <f>IF(L233&lt;18,"新品期",IF(L233&lt;=36,"老品期","衰退期"))</f>
        <v/>
      </c>
      <c r="N233" s="15" t="inlineStr">
        <is>
          <t>备用链接，没发货</t>
        </is>
      </c>
    </row>
    <row r="234" ht="15" customFormat="1" customHeight="1" s="36">
      <c r="A234" s="4" t="inlineStr">
        <is>
          <t>Qinkell-US</t>
        </is>
      </c>
      <c r="B234" s="4" t="inlineStr">
        <is>
          <t>Qinkell美国站</t>
        </is>
      </c>
      <c r="C234" s="4">
        <f>B234&amp;D234</f>
        <v/>
      </c>
      <c r="D234" s="4" t="inlineStr">
        <is>
          <t>8911BK QC1BY1</t>
        </is>
      </c>
      <c r="E234" s="4" t="inlineStr">
        <is>
          <t>211F0089BK1</t>
        </is>
      </c>
      <c r="F234" s="4" t="inlineStr">
        <is>
          <t>8911落地浴缸龙头哑黑</t>
        </is>
      </c>
      <c r="G234" s="4" t="inlineStr">
        <is>
          <t>刘皓</t>
        </is>
      </c>
      <c r="H234" s="4" t="inlineStr">
        <is>
          <t>落地浴缸</t>
        </is>
      </c>
      <c r="I234" s="12" t="inlineStr">
        <is>
          <t>否</t>
        </is>
      </c>
      <c r="J234" s="4" t="n">
        <v>45685</v>
      </c>
      <c r="K234" s="4" t="inlineStr">
        <is>
          <t>/</t>
        </is>
      </c>
      <c r="L234" s="0">
        <f>DATEDIF(J234,$L$1,"M")</f>
        <v/>
      </c>
      <c r="M234" s="0">
        <f>IF(L234&lt;18,"新品期",IF(L234&lt;=36,"老品期","衰退期"))</f>
        <v/>
      </c>
      <c r="N234" s="15" t="inlineStr">
        <is>
          <t>备用链接，没发货</t>
        </is>
      </c>
    </row>
    <row r="235" ht="15" customFormat="1" customHeight="1" s="36">
      <c r="A235" s="4" t="inlineStr">
        <is>
          <t>Qinkell-US</t>
        </is>
      </c>
      <c r="B235" s="4" t="inlineStr">
        <is>
          <t>Qinkell美国站</t>
        </is>
      </c>
      <c r="C235" s="4">
        <f>B235&amp;D235</f>
        <v/>
      </c>
      <c r="D235" s="4" t="inlineStr">
        <is>
          <t>8911BN QC1</t>
        </is>
      </c>
      <c r="E235" s="4" t="inlineStr">
        <is>
          <t>211F0089BN1</t>
        </is>
      </c>
      <c r="F235" s="4" t="inlineStr">
        <is>
          <t>8911落地浴缸龙头拉丝封油</t>
        </is>
      </c>
      <c r="G235" s="4" t="inlineStr">
        <is>
          <t>刘皓</t>
        </is>
      </c>
      <c r="H235" s="4" t="inlineStr">
        <is>
          <t>落地浴缸</t>
        </is>
      </c>
      <c r="I235" s="12" t="inlineStr">
        <is>
          <t>否</t>
        </is>
      </c>
      <c r="J235" s="4" t="n">
        <v>45685</v>
      </c>
      <c r="K235" s="4" t="inlineStr">
        <is>
          <t>/</t>
        </is>
      </c>
      <c r="L235" s="0">
        <f>DATEDIF(J235,$L$1,"M")</f>
        <v/>
      </c>
      <c r="M235" s="0">
        <f>IF(L235&lt;18,"新品期",IF(L235&lt;=36,"老品期","衰退期"))</f>
        <v/>
      </c>
      <c r="N235" s="15" t="inlineStr">
        <is>
          <t>备用链接，没发货</t>
        </is>
      </c>
    </row>
    <row r="236" ht="15" customFormat="1" customHeight="1" s="36">
      <c r="A236" s="4" t="inlineStr">
        <is>
          <t>Qinkell-US</t>
        </is>
      </c>
      <c r="B236" s="4" t="inlineStr">
        <is>
          <t>Qinkell美国站</t>
        </is>
      </c>
      <c r="C236" s="4">
        <f>B236&amp;D236</f>
        <v/>
      </c>
      <c r="D236" s="4" t="inlineStr">
        <is>
          <t>8911BN QC1BY1</t>
        </is>
      </c>
      <c r="E236" s="4" t="inlineStr">
        <is>
          <t>211F0089BN1</t>
        </is>
      </c>
      <c r="F236" s="4" t="inlineStr">
        <is>
          <t>8911落地浴缸龙头拉丝封油</t>
        </is>
      </c>
      <c r="G236" s="4" t="inlineStr">
        <is>
          <t>刘皓</t>
        </is>
      </c>
      <c r="H236" s="4" t="inlineStr">
        <is>
          <t>落地浴缸</t>
        </is>
      </c>
      <c r="I236" s="12" t="inlineStr">
        <is>
          <t>否</t>
        </is>
      </c>
      <c r="J236" s="4" t="inlineStr">
        <is>
          <t>/</t>
        </is>
      </c>
      <c r="K236" s="4" t="inlineStr">
        <is>
          <t>/</t>
        </is>
      </c>
      <c r="L236" s="0">
        <f>DATEDIF(J236,$L$1,"M")</f>
        <v/>
      </c>
      <c r="M236" s="0">
        <f>IF(L236&lt;18,"新品期",IF(L236&lt;=36,"老品期","衰退期"))</f>
        <v/>
      </c>
      <c r="N236" s="15" t="inlineStr">
        <is>
          <t>备用链接，没发货</t>
        </is>
      </c>
    </row>
    <row r="237" ht="15" customFormat="1" customHeight="1" s="36">
      <c r="A237" s="4" t="inlineStr">
        <is>
          <t>Qinkell-US</t>
        </is>
      </c>
      <c r="B237" s="4" t="inlineStr">
        <is>
          <t>Qinkell美国站</t>
        </is>
      </c>
      <c r="C237" s="4">
        <f>B237&amp;D237</f>
        <v/>
      </c>
      <c r="D237" s="4" t="inlineStr">
        <is>
          <t>8911CP QC1</t>
        </is>
      </c>
      <c r="E237" s="4" t="inlineStr">
        <is>
          <t>211F0089CP1</t>
        </is>
      </c>
      <c r="F237" s="4" t="inlineStr">
        <is>
          <t>8911落地浴缸龙头铬色</t>
        </is>
      </c>
      <c r="G237" s="4" t="inlineStr">
        <is>
          <t>刘皓</t>
        </is>
      </c>
      <c r="H237" s="4" t="inlineStr">
        <is>
          <t>落地浴缸</t>
        </is>
      </c>
      <c r="I237" s="12" t="inlineStr">
        <is>
          <t>否</t>
        </is>
      </c>
      <c r="J237" s="4" t="inlineStr">
        <is>
          <t>/</t>
        </is>
      </c>
      <c r="K237" s="4" t="inlineStr">
        <is>
          <t>/</t>
        </is>
      </c>
      <c r="L237" s="0">
        <f>DATEDIF(J237,$L$1,"M")</f>
        <v/>
      </c>
      <c r="M237" s="0">
        <f>IF(L237&lt;18,"新品期",IF(L237&lt;=36,"老品期","衰退期"))</f>
        <v/>
      </c>
      <c r="N237" s="15" t="inlineStr">
        <is>
          <t>备用链接，没发货</t>
        </is>
      </c>
    </row>
    <row r="238" ht="15" customFormat="1" customHeight="1" s="36">
      <c r="A238" s="4" t="inlineStr">
        <is>
          <t>Qinkell-US</t>
        </is>
      </c>
      <c r="B238" s="4" t="inlineStr">
        <is>
          <t>Qinkell美国站</t>
        </is>
      </c>
      <c r="C238" s="4">
        <f>B238&amp;D238</f>
        <v/>
      </c>
      <c r="D238" s="4" t="inlineStr">
        <is>
          <t>8911CP QC1BY1</t>
        </is>
      </c>
      <c r="E238" s="4" t="inlineStr">
        <is>
          <t>211F0089CP1</t>
        </is>
      </c>
      <c r="F238" s="4" t="inlineStr">
        <is>
          <t>8911落地浴缸龙头铬色</t>
        </is>
      </c>
      <c r="G238" s="4" t="inlineStr">
        <is>
          <t>刘皓</t>
        </is>
      </c>
      <c r="H238" s="4" t="inlineStr">
        <is>
          <t>落地浴缸</t>
        </is>
      </c>
      <c r="I238" s="12" t="inlineStr">
        <is>
          <t>否</t>
        </is>
      </c>
      <c r="J238" s="4" t="inlineStr">
        <is>
          <t>/</t>
        </is>
      </c>
      <c r="K238" s="4" t="inlineStr">
        <is>
          <t>/</t>
        </is>
      </c>
      <c r="L238" s="0">
        <f>DATEDIF(J238,$L$1,"M")</f>
        <v/>
      </c>
      <c r="M238" s="0">
        <f>IF(L238&lt;18,"新品期",IF(L238&lt;=36,"老品期","衰退期"))</f>
        <v/>
      </c>
      <c r="N238" s="15" t="inlineStr">
        <is>
          <t>备用链接，没发货</t>
        </is>
      </c>
    </row>
    <row r="239" ht="15" customFormat="1" customHeight="1" s="36">
      <c r="A239" s="4" t="inlineStr">
        <is>
          <t>Qinkell-US</t>
        </is>
      </c>
      <c r="B239" s="4" t="inlineStr">
        <is>
          <t>Qinkell美国站</t>
        </is>
      </c>
      <c r="C239" s="4">
        <f>B239&amp;D239</f>
        <v/>
      </c>
      <c r="D239" s="4" t="inlineStr">
        <is>
          <t>8911ORB QC1</t>
        </is>
      </c>
      <c r="E239" s="4" t="inlineStr">
        <is>
          <t>211F0089OB1</t>
        </is>
      </c>
      <c r="F239" s="4" t="inlineStr">
        <is>
          <t>8911落地浴缸龙头拉丝古铜色</t>
        </is>
      </c>
      <c r="G239" s="4" t="inlineStr">
        <is>
          <t>刘皓</t>
        </is>
      </c>
      <c r="H239" s="4" t="inlineStr">
        <is>
          <t>落地浴缸</t>
        </is>
      </c>
      <c r="I239" s="12" t="inlineStr">
        <is>
          <t>否</t>
        </is>
      </c>
      <c r="J239" s="4" t="inlineStr">
        <is>
          <t>/</t>
        </is>
      </c>
      <c r="K239" s="4" t="inlineStr">
        <is>
          <t>/</t>
        </is>
      </c>
      <c r="L239" s="0">
        <f>DATEDIF(J239,$L$1,"M")</f>
        <v/>
      </c>
      <c r="M239" s="0">
        <f>IF(L239&lt;18,"新品期",IF(L239&lt;=36,"老品期","衰退期"))</f>
        <v/>
      </c>
      <c r="N239" s="15" t="inlineStr">
        <is>
          <t>备用链接，没发货</t>
        </is>
      </c>
    </row>
    <row r="240" ht="15" customFormat="1" customHeight="1" s="36">
      <c r="A240" s="4" t="inlineStr">
        <is>
          <t>Qinkell-US</t>
        </is>
      </c>
      <c r="B240" s="4" t="inlineStr">
        <is>
          <t>Qinkell美国站</t>
        </is>
      </c>
      <c r="C240" s="4">
        <f>B240&amp;D240</f>
        <v/>
      </c>
      <c r="D240" s="4" t="inlineStr">
        <is>
          <t>8911ORB QC1BY1</t>
        </is>
      </c>
      <c r="E240" s="4" t="inlineStr">
        <is>
          <t>211F0089OB1</t>
        </is>
      </c>
      <c r="F240" s="4" t="inlineStr">
        <is>
          <t>8911落地浴缸龙头拉丝古铜色</t>
        </is>
      </c>
      <c r="G240" s="4" t="inlineStr">
        <is>
          <t>刘皓</t>
        </is>
      </c>
      <c r="H240" s="4" t="inlineStr">
        <is>
          <t>落地浴缸</t>
        </is>
      </c>
      <c r="I240" s="12" t="inlineStr">
        <is>
          <t>否</t>
        </is>
      </c>
      <c r="J240" s="4" t="inlineStr">
        <is>
          <t>/</t>
        </is>
      </c>
      <c r="K240" s="4" t="inlineStr">
        <is>
          <t>/</t>
        </is>
      </c>
      <c r="L240" s="0">
        <f>DATEDIF(J240,$L$1,"M")</f>
        <v/>
      </c>
      <c r="M240" s="0">
        <f>IF(L240&lt;18,"新品期",IF(L240&lt;=36,"老品期","衰退期"))</f>
        <v/>
      </c>
      <c r="N240" s="15" t="inlineStr">
        <is>
          <t>备用链接，没发货</t>
        </is>
      </c>
    </row>
    <row r="241" ht="15" customFormat="1" customHeight="1" s="36">
      <c r="A241" s="4" t="inlineStr">
        <is>
          <t>Hanallx-US</t>
        </is>
      </c>
      <c r="B241" s="4" t="inlineStr">
        <is>
          <t>Hanallx美国站</t>
        </is>
      </c>
      <c r="C241" s="4">
        <f>B241&amp;D241</f>
        <v/>
      </c>
      <c r="D241" s="4" t="inlineStr">
        <is>
          <t>HM-1005-BK</t>
        </is>
      </c>
      <c r="E241" s="4" t="inlineStr">
        <is>
          <t>211F1005BK2</t>
        </is>
      </c>
      <c r="F241" s="4" t="inlineStr">
        <is>
          <t>1005二功能落地浴缸龙头酸铜发黑</t>
        </is>
      </c>
      <c r="G241" s="4" t="inlineStr">
        <is>
          <t>刘皓</t>
        </is>
      </c>
      <c r="H241" s="4" t="inlineStr">
        <is>
          <t>落地浴缸</t>
        </is>
      </c>
      <c r="I241" s="12" t="inlineStr">
        <is>
          <t>否</t>
        </is>
      </c>
      <c r="J241" s="34" t="n">
        <v>45706</v>
      </c>
      <c r="K241" s="34" t="n">
        <v>45748</v>
      </c>
      <c r="L241" s="0">
        <f>DATEDIF(J241,$L$1,"M")</f>
        <v/>
      </c>
      <c r="M241" s="0">
        <f>IF(L241&lt;18,"新品期",IF(L241&lt;=36,"老品期","衰退期"))</f>
        <v/>
      </c>
    </row>
    <row r="242" ht="15" customFormat="1" customHeight="1" s="36">
      <c r="A242" s="4" t="inlineStr">
        <is>
          <t>Hanallx-US</t>
        </is>
      </c>
      <c r="B242" s="4" t="inlineStr">
        <is>
          <t>Hanallx美国站</t>
        </is>
      </c>
      <c r="C242" s="4">
        <f>B242&amp;D242</f>
        <v/>
      </c>
      <c r="D242" s="4" t="inlineStr">
        <is>
          <t>HM-1005-BN</t>
        </is>
      </c>
      <c r="E242" s="4" t="inlineStr">
        <is>
          <t>211F1005BN3</t>
        </is>
      </c>
      <c r="F242" s="4" t="inlineStr">
        <is>
          <t>1005二功能落地浴缸龙头拉丝PVD</t>
        </is>
      </c>
      <c r="G242" s="4" t="inlineStr">
        <is>
          <t>刘皓</t>
        </is>
      </c>
      <c r="H242" s="4" t="inlineStr">
        <is>
          <t>落地浴缸</t>
        </is>
      </c>
      <c r="I242" s="12" t="inlineStr">
        <is>
          <t>否</t>
        </is>
      </c>
      <c r="J242" s="34" t="n">
        <v>45706</v>
      </c>
      <c r="K242" s="34" t="n">
        <v>45748</v>
      </c>
      <c r="L242" s="0">
        <f>DATEDIF(J242,$L$1,"M")</f>
        <v/>
      </c>
      <c r="M242" s="0">
        <f>IF(L242&lt;18,"新品期",IF(L242&lt;=36,"老品期","衰退期"))</f>
        <v/>
      </c>
    </row>
    <row r="243" ht="15" customFormat="1" customHeight="1" s="36">
      <c r="A243" s="4" t="inlineStr">
        <is>
          <t>Hanallx-US</t>
        </is>
      </c>
      <c r="B243" s="4" t="inlineStr">
        <is>
          <t>Hanallx美国站</t>
        </is>
      </c>
      <c r="C243" s="4">
        <f>B243&amp;D243</f>
        <v/>
      </c>
      <c r="D243" s="4" t="inlineStr">
        <is>
          <t>HM-1005-CP</t>
        </is>
      </c>
      <c r="E243" s="4" t="inlineStr">
        <is>
          <t>211F1005CP1</t>
        </is>
      </c>
      <c r="F243" s="4" t="inlineStr">
        <is>
          <t>1005二功能落地浴缸龙头铬</t>
        </is>
      </c>
      <c r="G243" s="4" t="inlineStr">
        <is>
          <t>刘皓</t>
        </is>
      </c>
      <c r="H243" s="4" t="inlineStr">
        <is>
          <t>落地浴缸</t>
        </is>
      </c>
      <c r="I243" s="12" t="inlineStr">
        <is>
          <t>否</t>
        </is>
      </c>
      <c r="J243" s="34" t="n">
        <v>45706</v>
      </c>
      <c r="K243" s="34" t="n">
        <v>45748</v>
      </c>
      <c r="L243" s="0">
        <f>DATEDIF(J243,$L$1,"M")</f>
        <v/>
      </c>
      <c r="M243" s="0">
        <f>IF(L243&lt;18,"新品期",IF(L243&lt;=36,"老品期","衰退期"))</f>
        <v/>
      </c>
    </row>
    <row r="244" ht="15" customFormat="1" customHeight="1" s="36">
      <c r="A244" s="4" t="inlineStr">
        <is>
          <t>Hanallx-US</t>
        </is>
      </c>
      <c r="B244" s="4" t="inlineStr">
        <is>
          <t>Hanallx美国站</t>
        </is>
      </c>
      <c r="C244" s="4">
        <f>B244&amp;D244</f>
        <v/>
      </c>
      <c r="D244" s="4" t="inlineStr">
        <is>
          <t>HM-1005-ORB</t>
        </is>
      </c>
      <c r="E244" s="4" t="inlineStr">
        <is>
          <t>211F1005OB1</t>
        </is>
      </c>
      <c r="F244" s="4" t="inlineStr">
        <is>
          <t>1005二功能落地浴缸龙头拉丝古铜色</t>
        </is>
      </c>
      <c r="G244" s="4" t="inlineStr">
        <is>
          <t>刘皓</t>
        </is>
      </c>
      <c r="H244" s="4" t="inlineStr">
        <is>
          <t>落地浴缸</t>
        </is>
      </c>
      <c r="I244" s="12" t="inlineStr">
        <is>
          <t>否</t>
        </is>
      </c>
      <c r="J244" s="34" t="n">
        <v>45706</v>
      </c>
      <c r="K244" s="34" t="n">
        <v>45748</v>
      </c>
      <c r="L244" s="0">
        <f>DATEDIF(J244,$L$1,"M")</f>
        <v/>
      </c>
      <c r="M244" s="0">
        <f>IF(L244&lt;18,"新品期",IF(L244&lt;=36,"老品期","衰退期"))</f>
        <v/>
      </c>
    </row>
    <row r="245" ht="15" customFormat="1" customHeight="1" s="36">
      <c r="A245" s="4" t="inlineStr">
        <is>
          <t>Hanallx-US</t>
        </is>
      </c>
      <c r="B245" s="4" t="inlineStr">
        <is>
          <t>Hanallx美国站</t>
        </is>
      </c>
      <c r="C245" s="4">
        <f>B245&amp;D245</f>
        <v/>
      </c>
      <c r="D245" s="4" t="inlineStr">
        <is>
          <t>HM-105-BN-ZZ</t>
        </is>
      </c>
      <c r="E245" s="4" t="inlineStr">
        <is>
          <t>130F0105BN1</t>
        </is>
      </c>
      <c r="F245" s="4" t="inlineStr">
        <is>
          <t>0105四寸连体面盆龙头拉丝封油</t>
        </is>
      </c>
      <c r="G245" s="4" t="inlineStr">
        <is>
          <t>曾志发</t>
        </is>
      </c>
      <c r="H245" s="4" t="inlineStr">
        <is>
          <t>面盆</t>
        </is>
      </c>
      <c r="I245" s="12" t="inlineStr">
        <is>
          <t>是</t>
        </is>
      </c>
      <c r="J245" s="34" t="n">
        <v>45469</v>
      </c>
      <c r="K245" s="34" t="n">
        <v>45469</v>
      </c>
      <c r="L245" s="0">
        <f>DATEDIF(J245,$L$1,"M")</f>
        <v/>
      </c>
      <c r="M245" s="0">
        <f>IF(L245&lt;18,"新品期",IF(L245&lt;=36,"老品期","衰退期"))</f>
        <v/>
      </c>
      <c r="N245" s="36" t="inlineStr">
        <is>
          <t>种子链接，2025年9月1号以前梁丽梅负责</t>
        </is>
      </c>
    </row>
    <row r="246" ht="15" customFormat="1" customHeight="1" s="36">
      <c r="A246" s="4" t="inlineStr">
        <is>
          <t>Hanallx-US</t>
        </is>
      </c>
      <c r="B246" s="4" t="inlineStr">
        <is>
          <t>Hanallx美国站</t>
        </is>
      </c>
      <c r="C246" s="4">
        <f>B246&amp;D246</f>
        <v/>
      </c>
      <c r="D246" s="4" t="inlineStr">
        <is>
          <t>HM-105-ORB-ZZ</t>
        </is>
      </c>
      <c r="E246" s="4" t="inlineStr">
        <is>
          <t>130F0105OB1</t>
        </is>
      </c>
      <c r="F246" s="4" t="inlineStr">
        <is>
          <t>0105四寸连体面盆龙头拉丝古铜色</t>
        </is>
      </c>
      <c r="G246" s="4" t="inlineStr">
        <is>
          <t>曾志发</t>
        </is>
      </c>
      <c r="H246" s="4" t="inlineStr">
        <is>
          <t>面盆</t>
        </is>
      </c>
      <c r="I246" s="12" t="inlineStr">
        <is>
          <t>是</t>
        </is>
      </c>
      <c r="J246" s="34" t="n">
        <v>45469</v>
      </c>
      <c r="K246" s="34" t="n">
        <v>45469</v>
      </c>
      <c r="L246" s="0">
        <f>DATEDIF(J246,$L$1,"M")</f>
        <v/>
      </c>
      <c r="M246" s="0">
        <f>IF(L246&lt;18,"新品期",IF(L246&lt;=36,"老品期","衰退期"))</f>
        <v/>
      </c>
      <c r="N246" s="36" t="inlineStr">
        <is>
          <t>种子链接，2025年9月1号以前梁丽梅负责</t>
        </is>
      </c>
    </row>
    <row r="247" ht="15" customFormat="1" customHeight="1" s="36">
      <c r="A247" s="4" t="inlineStr">
        <is>
          <t>Hanallx-CA</t>
        </is>
      </c>
      <c r="B247" s="4" t="inlineStr">
        <is>
          <t>Hanallx加拿大站</t>
        </is>
      </c>
      <c r="C247" s="4">
        <f>B247&amp;D247</f>
        <v/>
      </c>
      <c r="D247" s="4" t="inlineStr">
        <is>
          <t>HM-105-ORB-ZZ</t>
        </is>
      </c>
      <c r="E247" s="4" t="inlineStr">
        <is>
          <t>130F0105OB1</t>
        </is>
      </c>
      <c r="F247" s="4" t="inlineStr">
        <is>
          <t>0105四寸连体面盆龙头拉丝古铜色</t>
        </is>
      </c>
      <c r="G247" s="4" t="inlineStr">
        <is>
          <t>曾志发</t>
        </is>
      </c>
      <c r="H247" s="4" t="inlineStr">
        <is>
          <t>面盆</t>
        </is>
      </c>
      <c r="I247" s="12" t="inlineStr">
        <is>
          <t>是</t>
        </is>
      </c>
      <c r="J247" s="34" t="n">
        <v>45469</v>
      </c>
      <c r="K247" s="34" t="n">
        <v>45469</v>
      </c>
      <c r="L247" s="0">
        <f>DATEDIF(J247,$L$1,"M")</f>
        <v/>
      </c>
      <c r="M247" s="0">
        <f>IF(L247&lt;18,"新品期",IF(L247&lt;=36,"老品期","衰退期"))</f>
        <v/>
      </c>
      <c r="N247" s="36" t="inlineStr">
        <is>
          <t>没有运营，2025年9月1号以前梁丽梅负责</t>
        </is>
      </c>
    </row>
    <row r="248" ht="15" customFormat="1" customHeight="1" s="36">
      <c r="A248" s="4" t="inlineStr">
        <is>
          <t>Hanallx-US</t>
        </is>
      </c>
      <c r="B248" s="4" t="inlineStr">
        <is>
          <t>Hanallx美国站</t>
        </is>
      </c>
      <c r="C248" s="4">
        <f>B248&amp;D248</f>
        <v/>
      </c>
      <c r="D248" s="4" t="inlineStr">
        <is>
          <t>HM-8801-BG</t>
        </is>
      </c>
      <c r="E248" s="4" t="inlineStr">
        <is>
          <t>110F0088BG1</t>
        </is>
      </c>
      <c r="F248" s="4" t="inlineStr">
        <is>
          <t>88系列矮身单孔正开面盆龙头拉丝钛金封油</t>
        </is>
      </c>
      <c r="G248" s="4" t="inlineStr">
        <is>
          <t>曾志发</t>
        </is>
      </c>
      <c r="H248" s="4" t="inlineStr">
        <is>
          <t>面盆</t>
        </is>
      </c>
      <c r="I248" s="12" t="inlineStr">
        <is>
          <t>否</t>
        </is>
      </c>
      <c r="J248" s="34" t="n">
        <v>45480</v>
      </c>
      <c r="K248" s="34" t="n">
        <v>45480</v>
      </c>
      <c r="L248" s="0">
        <f>DATEDIF(J248,$L$1,"M")</f>
        <v/>
      </c>
      <c r="M248" s="0">
        <f>IF(L248&lt;18,"新品期",IF(L248&lt;=36,"老品期","衰退期"))</f>
        <v/>
      </c>
      <c r="N248" s="36" t="inlineStr">
        <is>
          <t>2025年9月1号以前梁丽梅负责</t>
        </is>
      </c>
    </row>
    <row r="249" ht="15" customFormat="1" customHeight="1" s="36">
      <c r="A249" s="4" t="inlineStr">
        <is>
          <t>Hanallx-CA</t>
        </is>
      </c>
      <c r="B249" s="4" t="inlineStr">
        <is>
          <t>Hanallx加拿大站</t>
        </is>
      </c>
      <c r="C249" s="4">
        <f>B249&amp;D249</f>
        <v/>
      </c>
      <c r="D249" s="4" t="inlineStr">
        <is>
          <t>HM-8801-BG</t>
        </is>
      </c>
      <c r="E249" s="4" t="inlineStr">
        <is>
          <t>110F0088BG1</t>
        </is>
      </c>
      <c r="F249" s="4" t="inlineStr">
        <is>
          <t>88系列矮身单孔正开面盆龙头拉丝钛金封油</t>
        </is>
      </c>
      <c r="G249" s="4" t="inlineStr">
        <is>
          <t>曾志发</t>
        </is>
      </c>
      <c r="H249" s="4" t="inlineStr">
        <is>
          <t>面盆</t>
        </is>
      </c>
      <c r="I249" s="12" t="inlineStr">
        <is>
          <t>否</t>
        </is>
      </c>
      <c r="J249" s="34" t="n">
        <v>45480</v>
      </c>
      <c r="K249" s="34" t="n">
        <v>45480</v>
      </c>
      <c r="L249" s="0">
        <f>DATEDIF(J249,$L$1,"M")</f>
        <v/>
      </c>
      <c r="M249" s="0">
        <f>IF(L249&lt;18,"新品期",IF(L249&lt;=36,"老品期","衰退期"))</f>
        <v/>
      </c>
      <c r="N249" s="36" t="inlineStr">
        <is>
          <t>没有运营，2025年9月1号以前梁丽梅负责</t>
        </is>
      </c>
    </row>
    <row r="250" ht="15" customFormat="1" customHeight="1" s="36">
      <c r="A250" s="4" t="inlineStr">
        <is>
          <t>Hanallx-US</t>
        </is>
      </c>
      <c r="B250" s="4" t="inlineStr">
        <is>
          <t>Hanallx美国站</t>
        </is>
      </c>
      <c r="C250" s="4">
        <f>B250&amp;D250</f>
        <v/>
      </c>
      <c r="D250" s="4" t="inlineStr">
        <is>
          <t>HM-8801-BK</t>
        </is>
      </c>
      <c r="E250" s="4" t="inlineStr">
        <is>
          <t>110F0088BK1</t>
        </is>
      </c>
      <c r="F250" s="4" t="inlineStr">
        <is>
          <t>88系列矮身单孔正开面盆龙头电泳黑</t>
        </is>
      </c>
      <c r="G250" s="4" t="inlineStr">
        <is>
          <t>曾志发</t>
        </is>
      </c>
      <c r="H250" s="4" t="inlineStr">
        <is>
          <t>面盆</t>
        </is>
      </c>
      <c r="I250" s="12" t="inlineStr">
        <is>
          <t>否</t>
        </is>
      </c>
      <c r="J250" s="34" t="n">
        <v>45480</v>
      </c>
      <c r="K250" s="34" t="n">
        <v>45480</v>
      </c>
      <c r="L250" s="0">
        <f>DATEDIF(J250,$L$1,"M")</f>
        <v/>
      </c>
      <c r="M250" s="0">
        <f>IF(L250&lt;18,"新品期",IF(L250&lt;=36,"老品期","衰退期"))</f>
        <v/>
      </c>
      <c r="N250" s="36" t="inlineStr">
        <is>
          <t>2025年9月1号以前梁丽梅负责</t>
        </is>
      </c>
    </row>
    <row r="251" ht="15" customFormat="1" customHeight="1" s="36">
      <c r="A251" s="4" t="inlineStr">
        <is>
          <t>Hanallx-CA</t>
        </is>
      </c>
      <c r="B251" s="4" t="inlineStr">
        <is>
          <t>Hanallx加拿大站</t>
        </is>
      </c>
      <c r="C251" s="4">
        <f>B251&amp;D251</f>
        <v/>
      </c>
      <c r="D251" s="4" t="inlineStr">
        <is>
          <t>HM-8801-BK</t>
        </is>
      </c>
      <c r="E251" s="4" t="inlineStr">
        <is>
          <t>110F0088BK1</t>
        </is>
      </c>
      <c r="F251" s="4" t="inlineStr">
        <is>
          <t>88系列矮身单孔正开面盆龙头电泳黑</t>
        </is>
      </c>
      <c r="G251" s="4" t="inlineStr">
        <is>
          <t>曾志发</t>
        </is>
      </c>
      <c r="H251" s="4" t="inlineStr">
        <is>
          <t>面盆</t>
        </is>
      </c>
      <c r="I251" s="12" t="inlineStr">
        <is>
          <t>否</t>
        </is>
      </c>
      <c r="J251" s="34" t="n">
        <v>45480</v>
      </c>
      <c r="K251" s="34" t="n">
        <v>45480</v>
      </c>
      <c r="L251" s="0">
        <f>DATEDIF(J251,$L$1,"M")</f>
        <v/>
      </c>
      <c r="M251" s="0">
        <f>IF(L251&lt;18,"新品期",IF(L251&lt;=36,"老品期","衰退期"))</f>
        <v/>
      </c>
      <c r="N251" s="36" t="inlineStr">
        <is>
          <t>没有运营，2025年9月1号以前梁丽梅负责</t>
        </is>
      </c>
    </row>
    <row r="252" ht="15" customFormat="1" customHeight="1" s="36">
      <c r="A252" s="4" t="inlineStr">
        <is>
          <t>Hanallx-US</t>
        </is>
      </c>
      <c r="B252" s="4" t="inlineStr">
        <is>
          <t>Hanallx美国站</t>
        </is>
      </c>
      <c r="C252" s="4">
        <f>B252&amp;D252</f>
        <v/>
      </c>
      <c r="D252" s="4" t="inlineStr">
        <is>
          <t>HM-8801-BN</t>
        </is>
      </c>
      <c r="E252" s="4" t="inlineStr">
        <is>
          <t>110F0088BN1</t>
        </is>
      </c>
      <c r="F252" s="4" t="inlineStr">
        <is>
          <t>88系列矮身单孔正开面盆龙头拉丝封油</t>
        </is>
      </c>
      <c r="G252" s="4" t="inlineStr">
        <is>
          <t>曾志发</t>
        </is>
      </c>
      <c r="H252" s="4" t="inlineStr">
        <is>
          <t>面盆</t>
        </is>
      </c>
      <c r="I252" s="12" t="inlineStr">
        <is>
          <t>否</t>
        </is>
      </c>
      <c r="J252" s="34" t="n">
        <v>45480</v>
      </c>
      <c r="K252" s="34" t="n">
        <v>45480</v>
      </c>
      <c r="L252" s="0">
        <f>DATEDIF(J252,$L$1,"M")</f>
        <v/>
      </c>
      <c r="M252" s="0">
        <f>IF(L252&lt;18,"新品期",IF(L252&lt;=36,"老品期","衰退期"))</f>
        <v/>
      </c>
      <c r="N252" s="36" t="inlineStr">
        <is>
          <t>2025年9月1号以前梁丽梅负责</t>
        </is>
      </c>
    </row>
    <row r="253" ht="15" customFormat="1" customHeight="1" s="36">
      <c r="A253" s="4" t="inlineStr">
        <is>
          <t>Hanallx-US</t>
        </is>
      </c>
      <c r="B253" s="4" t="inlineStr">
        <is>
          <t>Hanallx美国站</t>
        </is>
      </c>
      <c r="C253" s="4">
        <f>B253&amp;D253</f>
        <v/>
      </c>
      <c r="D253" s="4" t="inlineStr">
        <is>
          <t>HM-8801-BN2</t>
        </is>
      </c>
      <c r="E253" s="4" t="inlineStr">
        <is>
          <t>110F0088BN1</t>
        </is>
      </c>
      <c r="F253" s="4" t="inlineStr">
        <is>
          <t>88系列矮身单孔正开面盆龙头拉丝封油</t>
        </is>
      </c>
      <c r="G253" s="4" t="inlineStr">
        <is>
          <t>曾志发</t>
        </is>
      </c>
      <c r="H253" s="4" t="inlineStr">
        <is>
          <t>面盆</t>
        </is>
      </c>
      <c r="I253" s="12" t="inlineStr">
        <is>
          <t>否</t>
        </is>
      </c>
      <c r="J253" s="34" t="n">
        <v>45480</v>
      </c>
      <c r="K253" s="34" t="n">
        <v>45480</v>
      </c>
      <c r="L253" s="0">
        <f>DATEDIF(J253,$L$1,"M")</f>
        <v/>
      </c>
      <c r="M253" s="0">
        <f>IF(L253&lt;18,"新品期",IF(L253&lt;=36,"老品期","衰退期"))</f>
        <v/>
      </c>
      <c r="N253" s="36" t="inlineStr">
        <is>
          <t>2025年9月1号以前梁丽梅负责</t>
        </is>
      </c>
    </row>
    <row r="254" ht="15" customFormat="1" customHeight="1" s="36">
      <c r="A254" s="4" t="inlineStr">
        <is>
          <t>Hanallx-CA</t>
        </is>
      </c>
      <c r="B254" s="4" t="inlineStr">
        <is>
          <t>Hanallx加拿大站</t>
        </is>
      </c>
      <c r="C254" s="4">
        <f>B254&amp;D254</f>
        <v/>
      </c>
      <c r="D254" s="4" t="inlineStr">
        <is>
          <t>HM-8801-BN2</t>
        </is>
      </c>
      <c r="E254" s="4" t="inlineStr">
        <is>
          <t>110F0088BN1</t>
        </is>
      </c>
      <c r="F254" s="4" t="inlineStr">
        <is>
          <t>88系列矮身单孔正开面盆龙头拉丝封油</t>
        </is>
      </c>
      <c r="G254" s="4" t="inlineStr">
        <is>
          <t>曾志发</t>
        </is>
      </c>
      <c r="H254" s="4" t="inlineStr">
        <is>
          <t>面盆</t>
        </is>
      </c>
      <c r="I254" s="12" t="inlineStr">
        <is>
          <t>否</t>
        </is>
      </c>
      <c r="J254" s="34" t="n">
        <v>45480</v>
      </c>
      <c r="K254" s="34" t="n">
        <v>45480</v>
      </c>
      <c r="L254" s="0">
        <f>DATEDIF(J254,$L$1,"M")</f>
        <v/>
      </c>
      <c r="M254" s="0">
        <f>IF(L254&lt;18,"新品期",IF(L254&lt;=36,"老品期","衰退期"))</f>
        <v/>
      </c>
      <c r="N254" s="36" t="inlineStr">
        <is>
          <t>没有运营，2025年9月1号以前梁丽梅负责</t>
        </is>
      </c>
    </row>
    <row r="255" ht="15" customFormat="1" customHeight="1" s="36">
      <c r="A255" s="4" t="inlineStr">
        <is>
          <t>Hanallx-US</t>
        </is>
      </c>
      <c r="B255" s="4" t="inlineStr">
        <is>
          <t>Hanallx美国站</t>
        </is>
      </c>
      <c r="C255" s="4">
        <f>B255&amp;D255</f>
        <v/>
      </c>
      <c r="D255" s="4" t="inlineStr">
        <is>
          <t>HM-8801-CP</t>
        </is>
      </c>
      <c r="E255" s="4" t="inlineStr">
        <is>
          <t>110F0088CP1</t>
        </is>
      </c>
      <c r="F255" s="4" t="inlineStr">
        <is>
          <t>88系列矮身单孔正开面盆龙头铬色</t>
        </is>
      </c>
      <c r="G255" s="4" t="inlineStr">
        <is>
          <t>曾志发</t>
        </is>
      </c>
      <c r="H255" s="4" t="inlineStr">
        <is>
          <t>面盆</t>
        </is>
      </c>
      <c r="I255" s="12" t="inlineStr">
        <is>
          <t>否</t>
        </is>
      </c>
      <c r="J255" s="34" t="n">
        <v>45480</v>
      </c>
      <c r="K255" s="34" t="n">
        <v>45480</v>
      </c>
      <c r="L255" s="0">
        <f>DATEDIF(J255,$L$1,"M")</f>
        <v/>
      </c>
      <c r="M255" s="0">
        <f>IF(L255&lt;18,"新品期",IF(L255&lt;=36,"老品期","衰退期"))</f>
        <v/>
      </c>
      <c r="N255" s="36" t="inlineStr">
        <is>
          <t>2025年9月1号以前梁丽梅负责</t>
        </is>
      </c>
    </row>
    <row r="256" ht="15" customFormat="1" customHeight="1" s="36">
      <c r="A256" s="4" t="inlineStr">
        <is>
          <t>Hanallx-US</t>
        </is>
      </c>
      <c r="B256" s="4" t="inlineStr">
        <is>
          <t>Hanallx美国站</t>
        </is>
      </c>
      <c r="C256" s="4">
        <f>B256&amp;D256</f>
        <v/>
      </c>
      <c r="D256" s="4" t="inlineStr">
        <is>
          <t>HM-8801-CP2</t>
        </is>
      </c>
      <c r="E256" s="4" t="inlineStr">
        <is>
          <t>110F0088CP1</t>
        </is>
      </c>
      <c r="F256" s="4" t="inlineStr">
        <is>
          <t>88系列矮身单孔正开面盆龙头铬色</t>
        </is>
      </c>
      <c r="G256" s="4" t="inlineStr">
        <is>
          <t>曾志发</t>
        </is>
      </c>
      <c r="H256" s="4" t="inlineStr">
        <is>
          <t>面盆</t>
        </is>
      </c>
      <c r="I256" s="12" t="inlineStr">
        <is>
          <t>否</t>
        </is>
      </c>
      <c r="J256" s="34" t="n">
        <v>45480</v>
      </c>
      <c r="K256" s="34" t="n">
        <v>45480</v>
      </c>
      <c r="L256" s="0">
        <f>DATEDIF(J256,$L$1,"M")</f>
        <v/>
      </c>
      <c r="M256" s="0">
        <f>IF(L256&lt;18,"新品期",IF(L256&lt;=36,"老品期","衰退期"))</f>
        <v/>
      </c>
      <c r="N256" s="36" t="inlineStr">
        <is>
          <t>2025年9月1号以前梁丽梅负责</t>
        </is>
      </c>
    </row>
    <row r="257" ht="15" customFormat="1" customHeight="1" s="36">
      <c r="A257" s="4" t="inlineStr">
        <is>
          <t>Hanallx-CA</t>
        </is>
      </c>
      <c r="B257" s="4" t="inlineStr">
        <is>
          <t>Hanallx加拿大站</t>
        </is>
      </c>
      <c r="C257" s="4">
        <f>B257&amp;D257</f>
        <v/>
      </c>
      <c r="D257" s="4" t="inlineStr">
        <is>
          <t>HM-8801-CP2</t>
        </is>
      </c>
      <c r="E257" s="4" t="inlineStr">
        <is>
          <t>110F0088CP1</t>
        </is>
      </c>
      <c r="F257" s="4" t="inlineStr">
        <is>
          <t>88系列矮身单孔正开面盆龙头铬色</t>
        </is>
      </c>
      <c r="G257" s="4" t="inlineStr">
        <is>
          <t>曾志发</t>
        </is>
      </c>
      <c r="H257" s="4" t="inlineStr">
        <is>
          <t>面盆</t>
        </is>
      </c>
      <c r="I257" s="12" t="inlineStr">
        <is>
          <t>否</t>
        </is>
      </c>
      <c r="J257" s="34" t="n">
        <v>45480</v>
      </c>
      <c r="K257" s="34" t="n">
        <v>45480</v>
      </c>
      <c r="L257" s="0">
        <f>DATEDIF(J257,$L$1,"M")</f>
        <v/>
      </c>
      <c r="M257" s="0">
        <f>IF(L257&lt;18,"新品期",IF(L257&lt;=36,"老品期","衰退期"))</f>
        <v/>
      </c>
      <c r="N257" s="36" t="inlineStr">
        <is>
          <t>没有运营，2025年9月1号以前梁丽梅负责</t>
        </is>
      </c>
    </row>
    <row r="258" ht="15" customFormat="1" customHeight="1" s="36">
      <c r="A258" s="4" t="inlineStr">
        <is>
          <t>Hanallx-US</t>
        </is>
      </c>
      <c r="B258" s="4" t="inlineStr">
        <is>
          <t>Hanallx美国站</t>
        </is>
      </c>
      <c r="C258" s="4">
        <f>B258&amp;D258</f>
        <v/>
      </c>
      <c r="D258" s="4" t="inlineStr">
        <is>
          <t>HM-8801-ORB</t>
        </is>
      </c>
      <c r="E258" s="4" t="inlineStr">
        <is>
          <t>110F0088OB1</t>
        </is>
      </c>
      <c r="F258" s="4" t="inlineStr">
        <is>
          <t>88系列矮身单孔正开面盆龙头拉丝红古铜</t>
        </is>
      </c>
      <c r="G258" s="4" t="inlineStr">
        <is>
          <t>曾志发</t>
        </is>
      </c>
      <c r="H258" s="4" t="inlineStr">
        <is>
          <t>面盆</t>
        </is>
      </c>
      <c r="I258" s="12" t="inlineStr">
        <is>
          <t>否</t>
        </is>
      </c>
      <c r="J258" s="34" t="n">
        <v>45480</v>
      </c>
      <c r="K258" s="34" t="n">
        <v>45480</v>
      </c>
      <c r="L258" s="0">
        <f>DATEDIF(J258,$L$1,"M")</f>
        <v/>
      </c>
      <c r="M258" s="0">
        <f>IF(L258&lt;18,"新品期",IF(L258&lt;=36,"老品期","衰退期"))</f>
        <v/>
      </c>
      <c r="N258" s="36" t="inlineStr">
        <is>
          <t>2025年9月1号以前梁丽梅负责</t>
        </is>
      </c>
    </row>
    <row r="259" ht="15" customFormat="1" customHeight="1" s="36">
      <c r="A259" s="4" t="inlineStr">
        <is>
          <t>Hanallx-US</t>
        </is>
      </c>
      <c r="B259" s="4" t="inlineStr">
        <is>
          <t>Hanallx美国站</t>
        </is>
      </c>
      <c r="C259" s="4">
        <f>B259&amp;D259</f>
        <v/>
      </c>
      <c r="D259" s="4" t="inlineStr">
        <is>
          <t>HM-8801-ORB2</t>
        </is>
      </c>
      <c r="E259" s="4" t="inlineStr">
        <is>
          <t>110F0088OB1</t>
        </is>
      </c>
      <c r="F259" s="4" t="inlineStr">
        <is>
          <t>88系列矮身单孔正开面盆龙头拉丝红古铜</t>
        </is>
      </c>
      <c r="G259" s="4" t="inlineStr">
        <is>
          <t>曾志发</t>
        </is>
      </c>
      <c r="H259" s="4" t="inlineStr">
        <is>
          <t>面盆</t>
        </is>
      </c>
      <c r="I259" s="12" t="inlineStr">
        <is>
          <t>否</t>
        </is>
      </c>
      <c r="J259" s="34" t="n">
        <v>45480</v>
      </c>
      <c r="K259" s="34" t="n">
        <v>45480</v>
      </c>
      <c r="L259" s="0">
        <f>DATEDIF(J259,$L$1,"M")</f>
        <v/>
      </c>
      <c r="M259" s="0">
        <f>IF(L259&lt;18,"新品期",IF(L259&lt;=36,"老品期","衰退期"))</f>
        <v/>
      </c>
      <c r="N259" s="36" t="inlineStr">
        <is>
          <t>2025年9月1号以前梁丽梅负责</t>
        </is>
      </c>
    </row>
    <row r="260" ht="15" customFormat="1" customHeight="1" s="36">
      <c r="A260" s="4" t="inlineStr">
        <is>
          <t>Hanallx-CA</t>
        </is>
      </c>
      <c r="B260" s="4" t="inlineStr">
        <is>
          <t>Hanallx加拿大站</t>
        </is>
      </c>
      <c r="C260" s="4">
        <f>B260&amp;D260</f>
        <v/>
      </c>
      <c r="D260" s="4" t="inlineStr">
        <is>
          <t>HM-8801-ORB2</t>
        </is>
      </c>
      <c r="E260" s="4" t="inlineStr">
        <is>
          <t>110F0088OB1</t>
        </is>
      </c>
      <c r="F260" s="4" t="inlineStr">
        <is>
          <t>88系列矮身单孔正开面盆龙头拉丝红古铜</t>
        </is>
      </c>
      <c r="G260" s="4" t="inlineStr">
        <is>
          <t>曾志发</t>
        </is>
      </c>
      <c r="H260" s="4" t="inlineStr">
        <is>
          <t>面盆</t>
        </is>
      </c>
      <c r="I260" s="12" t="inlineStr">
        <is>
          <t>否</t>
        </is>
      </c>
      <c r="J260" s="34" t="n">
        <v>45480</v>
      </c>
      <c r="K260" s="34" t="n">
        <v>45480</v>
      </c>
      <c r="L260" s="0">
        <f>DATEDIF(J260,$L$1,"M")</f>
        <v/>
      </c>
      <c r="M260" s="0">
        <f>IF(L260&lt;18,"新品期",IF(L260&lt;=36,"老品期","衰退期"))</f>
        <v/>
      </c>
      <c r="N260" s="36" t="inlineStr">
        <is>
          <t>没有运营，2025年9月1号以前梁丽梅负责</t>
        </is>
      </c>
    </row>
    <row r="261" ht="15" customFormat="1" customHeight="1" s="36">
      <c r="A261" s="4" t="inlineStr">
        <is>
          <t>Hanallx-US</t>
        </is>
      </c>
      <c r="B261" s="4" t="inlineStr">
        <is>
          <t>Hanallx美国站</t>
        </is>
      </c>
      <c r="C261" s="4">
        <f>B261&amp;D261</f>
        <v/>
      </c>
      <c r="D261" s="4" t="inlineStr">
        <is>
          <t>HM-8804-BG1</t>
        </is>
      </c>
      <c r="E261" s="4" t="inlineStr">
        <is>
          <t>140F0088BG1</t>
        </is>
      </c>
      <c r="F261" s="4" t="inlineStr">
        <is>
          <t>88系列分体面盆龙头拉丝钛金封油</t>
        </is>
      </c>
      <c r="G261" s="4" t="inlineStr">
        <is>
          <t>曾志发</t>
        </is>
      </c>
      <c r="H261" s="4" t="inlineStr">
        <is>
          <t>面盆</t>
        </is>
      </c>
      <c r="I261" s="12" t="inlineStr">
        <is>
          <t>否</t>
        </is>
      </c>
      <c r="J261" s="34" t="n">
        <v>45586</v>
      </c>
      <c r="K261" s="34" t="n">
        <v>45586</v>
      </c>
      <c r="L261" s="0">
        <f>DATEDIF(J261,$L$1,"M")</f>
        <v/>
      </c>
      <c r="M261" s="0">
        <f>IF(L261&lt;18,"新品期",IF(L261&lt;=36,"老品期","衰退期"))</f>
        <v/>
      </c>
      <c r="N261" s="36" t="inlineStr">
        <is>
          <t>2025年9月1号以前梁丽梅负责</t>
        </is>
      </c>
    </row>
    <row r="262" ht="15" customFormat="1" customHeight="1" s="36">
      <c r="A262" s="4" t="inlineStr">
        <is>
          <t>Hanallx-US</t>
        </is>
      </c>
      <c r="B262" s="4" t="inlineStr">
        <is>
          <t>Hanallx美国站</t>
        </is>
      </c>
      <c r="C262" s="4">
        <f>B262&amp;D262</f>
        <v/>
      </c>
      <c r="D262" s="4" t="inlineStr">
        <is>
          <t>HM-8804-BG2</t>
        </is>
      </c>
      <c r="E262" s="4" t="inlineStr">
        <is>
          <t>140F0088BG1</t>
        </is>
      </c>
      <c r="F262" s="4" t="inlineStr">
        <is>
          <t>88系列分体面盆龙头拉丝钛金封油</t>
        </is>
      </c>
      <c r="G262" s="4" t="inlineStr">
        <is>
          <t>曾志发</t>
        </is>
      </c>
      <c r="H262" s="4" t="inlineStr">
        <is>
          <t>面盆</t>
        </is>
      </c>
      <c r="I262" s="12" t="inlineStr">
        <is>
          <t>否</t>
        </is>
      </c>
      <c r="J262" s="34" t="n">
        <v>45586</v>
      </c>
      <c r="K262" s="34" t="n">
        <v>45586</v>
      </c>
      <c r="L262" s="0">
        <f>DATEDIF(J262,$L$1,"M")</f>
        <v/>
      </c>
      <c r="M262" s="0">
        <f>IF(L262&lt;18,"新品期",IF(L262&lt;=36,"老品期","衰退期"))</f>
        <v/>
      </c>
      <c r="N262" s="36" t="inlineStr">
        <is>
          <t>2025年9月1号以前梁丽梅负责</t>
        </is>
      </c>
    </row>
    <row r="263" ht="15" customFormat="1" customHeight="1" s="36">
      <c r="A263" s="4" t="inlineStr">
        <is>
          <t>Hanallx-US</t>
        </is>
      </c>
      <c r="B263" s="4" t="inlineStr">
        <is>
          <t>Hanallx美国站</t>
        </is>
      </c>
      <c r="C263" s="4">
        <f>B263&amp;D263</f>
        <v/>
      </c>
      <c r="D263" s="4" t="inlineStr">
        <is>
          <t>HM-8804-BK1</t>
        </is>
      </c>
      <c r="E263" s="4" t="inlineStr">
        <is>
          <t>140F0088BK1</t>
        </is>
      </c>
      <c r="F263" s="4" t="inlineStr">
        <is>
          <t>88系列分体面盆龙头电泳黑</t>
        </is>
      </c>
      <c r="G263" s="4" t="inlineStr">
        <is>
          <t>曾志发</t>
        </is>
      </c>
      <c r="H263" s="4" t="inlineStr">
        <is>
          <t>面盆</t>
        </is>
      </c>
      <c r="I263" s="12" t="inlineStr">
        <is>
          <t>否</t>
        </is>
      </c>
      <c r="J263" s="34" t="n">
        <v>45586</v>
      </c>
      <c r="K263" s="34" t="n">
        <v>45586</v>
      </c>
      <c r="L263" s="0">
        <f>DATEDIF(J263,$L$1,"M")</f>
        <v/>
      </c>
      <c r="M263" s="0">
        <f>IF(L263&lt;18,"新品期",IF(L263&lt;=36,"老品期","衰退期"))</f>
        <v/>
      </c>
      <c r="N263" s="36" t="inlineStr">
        <is>
          <t>2025年9月1号以前梁丽梅负责</t>
        </is>
      </c>
    </row>
    <row r="264" ht="15" customFormat="1" customHeight="1" s="36">
      <c r="A264" s="4" t="inlineStr">
        <is>
          <t>Hanallx-US</t>
        </is>
      </c>
      <c r="B264" s="4" t="inlineStr">
        <is>
          <t>Hanallx美国站</t>
        </is>
      </c>
      <c r="C264" s="4">
        <f>B264&amp;D264</f>
        <v/>
      </c>
      <c r="D264" s="4" t="inlineStr">
        <is>
          <t>HM-8804-BN1</t>
        </is>
      </c>
      <c r="E264" s="4" t="inlineStr">
        <is>
          <t>140F0088BN1</t>
        </is>
      </c>
      <c r="F264" s="4" t="inlineStr">
        <is>
          <t>88系列分体面盆龙头拉丝封油</t>
        </is>
      </c>
      <c r="G264" s="4" t="inlineStr">
        <is>
          <t>曾志发</t>
        </is>
      </c>
      <c r="H264" s="4" t="inlineStr">
        <is>
          <t>面盆</t>
        </is>
      </c>
      <c r="I264" s="12" t="inlineStr">
        <is>
          <t>否</t>
        </is>
      </c>
      <c r="J264" s="34" t="n">
        <v>45586</v>
      </c>
      <c r="K264" s="34" t="n">
        <v>45586</v>
      </c>
      <c r="L264" s="0">
        <f>DATEDIF(J264,$L$1,"M")</f>
        <v/>
      </c>
      <c r="M264" s="0">
        <f>IF(L264&lt;18,"新品期",IF(L264&lt;=36,"老品期","衰退期"))</f>
        <v/>
      </c>
      <c r="N264" s="36" t="inlineStr">
        <is>
          <t>2025年9月1号以前梁丽梅负责</t>
        </is>
      </c>
    </row>
    <row r="265" ht="15" customFormat="1" customHeight="1" s="36">
      <c r="A265" s="4" t="inlineStr">
        <is>
          <t>Hanallx-CA</t>
        </is>
      </c>
      <c r="B265" s="4" t="inlineStr">
        <is>
          <t>Hanallx加拿大站</t>
        </is>
      </c>
      <c r="C265" s="4">
        <f>B265&amp;D265</f>
        <v/>
      </c>
      <c r="D265" s="4" t="inlineStr">
        <is>
          <t>HM-8804-BN1</t>
        </is>
      </c>
      <c r="E265" s="4" t="inlineStr">
        <is>
          <t>140F0088BN1</t>
        </is>
      </c>
      <c r="F265" s="4" t="inlineStr">
        <is>
          <t>88系列分体面盆龙头拉丝封油</t>
        </is>
      </c>
      <c r="G265" s="4" t="inlineStr">
        <is>
          <t>曾志发</t>
        </is>
      </c>
      <c r="H265" s="4" t="inlineStr">
        <is>
          <t>面盆</t>
        </is>
      </c>
      <c r="I265" s="12" t="inlineStr">
        <is>
          <t>否</t>
        </is>
      </c>
      <c r="J265" s="34" t="n">
        <v>45586</v>
      </c>
      <c r="K265" s="34" t="n">
        <v>45586</v>
      </c>
      <c r="L265" s="0">
        <f>DATEDIF(J265,$L$1,"M")</f>
        <v/>
      </c>
      <c r="M265" s="0">
        <f>IF(L265&lt;18,"新品期",IF(L265&lt;=36,"老品期","衰退期"))</f>
        <v/>
      </c>
      <c r="N265" s="36" t="inlineStr">
        <is>
          <t>没有运营，2025年9月1号以前梁丽梅负责</t>
        </is>
      </c>
    </row>
    <row r="266" ht="15" customFormat="1" customHeight="1" s="36">
      <c r="A266" s="4" t="inlineStr">
        <is>
          <t>Hanallx-US</t>
        </is>
      </c>
      <c r="B266" s="4" t="inlineStr">
        <is>
          <t>Hanallx美国站</t>
        </is>
      </c>
      <c r="C266" s="4">
        <f>B266&amp;D266</f>
        <v/>
      </c>
      <c r="D266" s="4" t="inlineStr">
        <is>
          <t>HM-8804-CP1</t>
        </is>
      </c>
      <c r="E266" s="4" t="inlineStr">
        <is>
          <t>140F0088CP1</t>
        </is>
      </c>
      <c r="F266" s="4" t="inlineStr">
        <is>
          <t>88系列分体面盆龙头铬色</t>
        </is>
      </c>
      <c r="G266" s="4" t="inlineStr">
        <is>
          <t>曾志发</t>
        </is>
      </c>
      <c r="H266" s="4" t="inlineStr">
        <is>
          <t>面盆</t>
        </is>
      </c>
      <c r="I266" s="12" t="inlineStr">
        <is>
          <t>否</t>
        </is>
      </c>
      <c r="J266" s="34" t="n">
        <v>45586</v>
      </c>
      <c r="K266" s="34" t="n">
        <v>45586</v>
      </c>
      <c r="L266" s="0">
        <f>DATEDIF(J266,$L$1,"M")</f>
        <v/>
      </c>
      <c r="M266" s="0">
        <f>IF(L266&lt;18,"新品期",IF(L266&lt;=36,"老品期","衰退期"))</f>
        <v/>
      </c>
      <c r="N266" s="36" t="inlineStr">
        <is>
          <t>2025年9月1号以前梁丽梅负责</t>
        </is>
      </c>
    </row>
    <row r="267" ht="15" customFormat="1" customHeight="1" s="36">
      <c r="A267" s="4" t="inlineStr">
        <is>
          <t>Hanallx-US</t>
        </is>
      </c>
      <c r="B267" s="4" t="inlineStr">
        <is>
          <t>Hanallx美国站</t>
        </is>
      </c>
      <c r="C267" s="4">
        <f>B267&amp;D267</f>
        <v/>
      </c>
      <c r="D267" s="4" t="inlineStr">
        <is>
          <t>HM-8804-ORB1</t>
        </is>
      </c>
      <c r="E267" s="4" t="inlineStr">
        <is>
          <t>140F0088OB1</t>
        </is>
      </c>
      <c r="F267" s="4" t="inlineStr">
        <is>
          <t>88系列分体面盆龙头拉丝红古铜</t>
        </is>
      </c>
      <c r="G267" s="4" t="inlineStr">
        <is>
          <t>曾志发</t>
        </is>
      </c>
      <c r="H267" s="4" t="inlineStr">
        <is>
          <t>面盆</t>
        </is>
      </c>
      <c r="I267" s="12" t="inlineStr">
        <is>
          <t>否</t>
        </is>
      </c>
      <c r="J267" s="34" t="n">
        <v>45586</v>
      </c>
      <c r="K267" s="34" t="n">
        <v>45586</v>
      </c>
      <c r="L267" s="0">
        <f>DATEDIF(J267,$L$1,"M")</f>
        <v/>
      </c>
      <c r="M267" s="0">
        <f>IF(L267&lt;18,"新品期",IF(L267&lt;=36,"老品期","衰退期"))</f>
        <v/>
      </c>
      <c r="N267" s="36" t="inlineStr">
        <is>
          <t>2025年9月1号以前梁丽梅负责</t>
        </is>
      </c>
    </row>
    <row r="268" ht="15" customFormat="1" customHeight="1" s="36">
      <c r="A268" s="4" t="inlineStr">
        <is>
          <t>Hanallx-US</t>
        </is>
      </c>
      <c r="B268" s="4" t="inlineStr">
        <is>
          <t>Hanallx美国站</t>
        </is>
      </c>
      <c r="C268" s="4">
        <f>B268&amp;D268</f>
        <v/>
      </c>
      <c r="D268" s="4" t="inlineStr">
        <is>
          <t>HM-8807-BG</t>
        </is>
      </c>
      <c r="E268" s="4" t="inlineStr">
        <is>
          <t>221F0088BG1</t>
        </is>
      </c>
      <c r="F268" s="4" t="inlineStr">
        <is>
          <t>88系列三件套缸边浴缸龙头拉丝钛金封油</t>
        </is>
      </c>
      <c r="G268" s="4" t="inlineStr">
        <is>
          <t>朱艺璇</t>
        </is>
      </c>
      <c r="H268" s="4" t="inlineStr">
        <is>
          <t>缸边浴缸</t>
        </is>
      </c>
      <c r="I268" s="12" t="inlineStr">
        <is>
          <t>否</t>
        </is>
      </c>
      <c r="J268" s="34" t="n">
        <v>45488</v>
      </c>
      <c r="K268" s="34" t="n">
        <v>45612</v>
      </c>
      <c r="L268" s="0">
        <f>DATEDIF(J268,$L$1,"M")</f>
        <v/>
      </c>
      <c r="M268" s="0">
        <f>IF(L268&lt;18,"新品期",IF(L268&lt;=36,"老品期","衰退期"))</f>
        <v/>
      </c>
    </row>
    <row r="269" ht="15" customFormat="1" customHeight="1" s="36">
      <c r="A269" s="4" t="inlineStr">
        <is>
          <t>Hanallx-US</t>
        </is>
      </c>
      <c r="B269" s="4" t="inlineStr">
        <is>
          <t>Hanallx美国站</t>
        </is>
      </c>
      <c r="C269" s="4">
        <f>B269&amp;D269</f>
        <v/>
      </c>
      <c r="D269" s="4" t="inlineStr">
        <is>
          <t>HM-8807-BG-zz</t>
        </is>
      </c>
      <c r="E269" s="4" t="inlineStr">
        <is>
          <t>221F0088BG1</t>
        </is>
      </c>
      <c r="F269" s="4" t="inlineStr">
        <is>
          <t>88系列三件套缸边浴缸龙头拉丝钛金封油</t>
        </is>
      </c>
      <c r="G269" s="4" t="inlineStr">
        <is>
          <t>朱艺璇</t>
        </is>
      </c>
      <c r="H269" s="4" t="inlineStr">
        <is>
          <t>缸边浴缸</t>
        </is>
      </c>
      <c r="I269" s="12" t="inlineStr">
        <is>
          <t>是</t>
        </is>
      </c>
      <c r="J269" s="34" t="n">
        <v>45488</v>
      </c>
      <c r="K269" s="34" t="n">
        <v>45612</v>
      </c>
      <c r="L269" s="0">
        <f>DATEDIF(J269,$L$1,"M")</f>
        <v/>
      </c>
      <c r="M269" s="0">
        <f>IF(L269&lt;18,"新品期",IF(L269&lt;=36,"老品期","衰退期"))</f>
        <v/>
      </c>
    </row>
    <row r="270" ht="15" customFormat="1" customHeight="1" s="36">
      <c r="A270" s="4" t="inlineStr">
        <is>
          <t>Hanallx-CA</t>
        </is>
      </c>
      <c r="B270" s="4" t="inlineStr">
        <is>
          <t>Hanallx加拿大站</t>
        </is>
      </c>
      <c r="C270" s="4">
        <f>B270&amp;D270</f>
        <v/>
      </c>
      <c r="D270" s="4" t="inlineStr">
        <is>
          <t>HM-8807-BG-zz</t>
        </is>
      </c>
      <c r="E270" s="4" t="inlineStr">
        <is>
          <t>221F0088BG1</t>
        </is>
      </c>
      <c r="F270" s="4" t="inlineStr">
        <is>
          <t>88系列三件套缸边浴缸龙头拉丝钛金封油</t>
        </is>
      </c>
      <c r="G270" s="4" t="inlineStr">
        <is>
          <t>朱艺璇</t>
        </is>
      </c>
      <c r="H270" s="4" t="inlineStr">
        <is>
          <t>缸边浴缸</t>
        </is>
      </c>
      <c r="I270" s="12" t="inlineStr">
        <is>
          <t>是</t>
        </is>
      </c>
      <c r="J270" s="34" t="n">
        <v>45488</v>
      </c>
      <c r="K270" s="34" t="n">
        <v>45612</v>
      </c>
      <c r="L270" s="0">
        <f>DATEDIF(J270,$L$1,"M")</f>
        <v/>
      </c>
      <c r="M270" s="0">
        <f>IF(L270&lt;18,"新品期",IF(L270&lt;=36,"老品期","衰退期"))</f>
        <v/>
      </c>
    </row>
    <row r="271" ht="15" customFormat="1" customHeight="1" s="36">
      <c r="A271" s="4" t="inlineStr">
        <is>
          <t>Hanallx-US</t>
        </is>
      </c>
      <c r="B271" s="4" t="inlineStr">
        <is>
          <t>Hanallx美国站</t>
        </is>
      </c>
      <c r="C271" s="4">
        <f>B271&amp;D271</f>
        <v/>
      </c>
      <c r="D271" s="4" t="inlineStr">
        <is>
          <t>HM-8807-BK-zz</t>
        </is>
      </c>
      <c r="E271" s="4" t="inlineStr">
        <is>
          <t>221F0088BK1</t>
        </is>
      </c>
      <c r="F271" s="4" t="inlineStr">
        <is>
          <t>88系列三件套缸边浴缸龙头电泳黑</t>
        </is>
      </c>
      <c r="G271" s="4" t="inlineStr">
        <is>
          <t>朱艺璇</t>
        </is>
      </c>
      <c r="H271" s="4" t="inlineStr">
        <is>
          <t>缸边浴缸</t>
        </is>
      </c>
      <c r="I271" s="12" t="inlineStr">
        <is>
          <t>否</t>
        </is>
      </c>
      <c r="J271" s="34" t="n">
        <v>45488</v>
      </c>
      <c r="K271" s="34" t="n">
        <v>45612</v>
      </c>
      <c r="L271" s="0">
        <f>DATEDIF(J271,$L$1,"M")</f>
        <v/>
      </c>
      <c r="M271" s="0">
        <f>IF(L271&lt;18,"新品期",IF(L271&lt;=36,"老品期","衰退期"))</f>
        <v/>
      </c>
    </row>
    <row r="272" ht="15" customFormat="1" customHeight="1" s="36">
      <c r="A272" s="4" t="inlineStr">
        <is>
          <t>Hanallx-CA</t>
        </is>
      </c>
      <c r="B272" s="4" t="inlineStr">
        <is>
          <t>Hanallx加拿大站</t>
        </is>
      </c>
      <c r="C272" s="4">
        <f>B272&amp;D272</f>
        <v/>
      </c>
      <c r="D272" s="4" t="inlineStr">
        <is>
          <t>HM-8807-BK-zz</t>
        </is>
      </c>
      <c r="E272" s="4" t="inlineStr">
        <is>
          <t>221F0088BK1</t>
        </is>
      </c>
      <c r="F272" s="4" t="inlineStr">
        <is>
          <t>88系列三件套缸边浴缸龙头电泳黑</t>
        </is>
      </c>
      <c r="G272" s="4" t="inlineStr">
        <is>
          <t>朱艺璇</t>
        </is>
      </c>
      <c r="H272" s="4" t="inlineStr">
        <is>
          <t>缸边浴缸</t>
        </is>
      </c>
      <c r="I272" s="12" t="inlineStr">
        <is>
          <t>否</t>
        </is>
      </c>
      <c r="J272" s="34" t="n">
        <v>45488</v>
      </c>
      <c r="K272" s="34" t="n">
        <v>45612</v>
      </c>
      <c r="L272" s="0">
        <f>DATEDIF(J272,$L$1,"M")</f>
        <v/>
      </c>
      <c r="M272" s="0">
        <f>IF(L272&lt;18,"新品期",IF(L272&lt;=36,"老品期","衰退期"))</f>
        <v/>
      </c>
    </row>
    <row r="273" ht="15" customFormat="1" customHeight="1" s="36">
      <c r="A273" s="4" t="inlineStr">
        <is>
          <t>Hanallx-US</t>
        </is>
      </c>
      <c r="B273" s="4" t="inlineStr">
        <is>
          <t>Hanallx美国站</t>
        </is>
      </c>
      <c r="C273" s="4">
        <f>B273&amp;D273</f>
        <v/>
      </c>
      <c r="D273" s="4" t="inlineStr">
        <is>
          <t>HM-8807-BN</t>
        </is>
      </c>
      <c r="E273" s="4" t="inlineStr">
        <is>
          <t>221F0088BN1</t>
        </is>
      </c>
      <c r="F273" s="4" t="inlineStr">
        <is>
          <t>88系列三件套缸边浴缸龙头拉丝封油</t>
        </is>
      </c>
      <c r="G273" s="4" t="inlineStr">
        <is>
          <t>朱艺璇</t>
        </is>
      </c>
      <c r="H273" s="4" t="inlineStr">
        <is>
          <t>缸边浴缸</t>
        </is>
      </c>
      <c r="I273" s="12" t="inlineStr">
        <is>
          <t>否</t>
        </is>
      </c>
      <c r="J273" s="34" t="n">
        <v>45488</v>
      </c>
      <c r="K273" s="34" t="n">
        <v>45612</v>
      </c>
      <c r="L273" s="0">
        <f>DATEDIF(J273,$L$1,"M")</f>
        <v/>
      </c>
      <c r="M273" s="0">
        <f>IF(L273&lt;18,"新品期",IF(L273&lt;=36,"老品期","衰退期"))</f>
        <v/>
      </c>
    </row>
    <row r="274" ht="15" customFormat="1" customHeight="1" s="36">
      <c r="A274" s="4" t="inlineStr">
        <is>
          <t>Hanallx-US</t>
        </is>
      </c>
      <c r="B274" s="4" t="inlineStr">
        <is>
          <t>Hanallx美国站</t>
        </is>
      </c>
      <c r="C274" s="4">
        <f>B274&amp;D274</f>
        <v/>
      </c>
      <c r="D274" s="4" t="inlineStr">
        <is>
          <t>HM-8807-CP</t>
        </is>
      </c>
      <c r="E274" s="4" t="inlineStr">
        <is>
          <t>221F0088CP1</t>
        </is>
      </c>
      <c r="F274" s="4" t="inlineStr">
        <is>
          <t>88系列三件套缸边浴缸龙头铬色</t>
        </is>
      </c>
      <c r="G274" s="4" t="inlineStr">
        <is>
          <t>朱艺璇</t>
        </is>
      </c>
      <c r="H274" s="4" t="inlineStr">
        <is>
          <t>缸边浴缸</t>
        </is>
      </c>
      <c r="I274" s="12" t="inlineStr">
        <is>
          <t>否</t>
        </is>
      </c>
      <c r="J274" s="34" t="n">
        <v>45488</v>
      </c>
      <c r="K274" s="34" t="n">
        <v>45612</v>
      </c>
      <c r="L274" s="0">
        <f>DATEDIF(J274,$L$1,"M")</f>
        <v/>
      </c>
      <c r="M274" s="0">
        <f>IF(L274&lt;18,"新品期",IF(L274&lt;=36,"老品期","衰退期"))</f>
        <v/>
      </c>
    </row>
    <row r="275" ht="15" customFormat="1" customHeight="1" s="36">
      <c r="A275" s="4" t="inlineStr">
        <is>
          <t>Hanallx-US</t>
        </is>
      </c>
      <c r="B275" s="4" t="inlineStr">
        <is>
          <t>Hanallx美国站</t>
        </is>
      </c>
      <c r="C275" s="4">
        <f>B275&amp;D275</f>
        <v/>
      </c>
      <c r="D275" s="4" t="inlineStr">
        <is>
          <t>HM-8807-ORB</t>
        </is>
      </c>
      <c r="E275" s="4" t="inlineStr">
        <is>
          <t>221F0088OB1</t>
        </is>
      </c>
      <c r="F275" s="4" t="inlineStr">
        <is>
          <t>88系列三件套缸边浴缸龙头拉丝红古铜</t>
        </is>
      </c>
      <c r="G275" s="4" t="inlineStr">
        <is>
          <t>朱艺璇</t>
        </is>
      </c>
      <c r="H275" s="4" t="inlineStr">
        <is>
          <t>缸边浴缸</t>
        </is>
      </c>
      <c r="I275" s="12" t="inlineStr">
        <is>
          <t>否</t>
        </is>
      </c>
      <c r="J275" s="34" t="n">
        <v>45488</v>
      </c>
      <c r="K275" s="34" t="n">
        <v>45612</v>
      </c>
      <c r="L275" s="0">
        <f>DATEDIF(J275,$L$1,"M")</f>
        <v/>
      </c>
      <c r="M275" s="0">
        <f>IF(L275&lt;18,"新品期",IF(L275&lt;=36,"老品期","衰退期"))</f>
        <v/>
      </c>
    </row>
    <row r="276" ht="15" customFormat="1" customHeight="1" s="36">
      <c r="A276" s="4" t="inlineStr">
        <is>
          <t>Hanallx-US</t>
        </is>
      </c>
      <c r="B276" s="4" t="inlineStr">
        <is>
          <t>Hanallx美国站</t>
        </is>
      </c>
      <c r="C276" s="4">
        <f>B276&amp;D276</f>
        <v/>
      </c>
      <c r="D276" s="4" t="inlineStr">
        <is>
          <t>HM-8808-BG</t>
        </is>
      </c>
      <c r="E276" s="4" t="inlineStr">
        <is>
          <t>222F0088BG1</t>
        </is>
      </c>
      <c r="F276" s="4" t="inlineStr">
        <is>
          <t>88系列四件套缸边浴缸龙头拉丝钛金封油</t>
        </is>
      </c>
      <c r="G276" s="4" t="inlineStr">
        <is>
          <t>朱艺璇</t>
        </is>
      </c>
      <c r="H276" s="4" t="inlineStr">
        <is>
          <t>缸边浴缸</t>
        </is>
      </c>
      <c r="I276" s="12" t="inlineStr">
        <is>
          <t>否</t>
        </is>
      </c>
      <c r="J276" s="34" t="n">
        <v>45488</v>
      </c>
      <c r="K276" s="34" t="n">
        <v>45675</v>
      </c>
      <c r="L276" s="0">
        <f>DATEDIF(J276,$L$1,"M")</f>
        <v/>
      </c>
      <c r="M276" s="0">
        <f>IF(L276&lt;18,"新品期",IF(L276&lt;=36,"老品期","衰退期"))</f>
        <v/>
      </c>
    </row>
    <row r="277" ht="15" customFormat="1" customHeight="1" s="36">
      <c r="A277" s="4" t="inlineStr">
        <is>
          <t>Hanallx-US</t>
        </is>
      </c>
      <c r="B277" s="4" t="inlineStr">
        <is>
          <t>Hanallx美国站</t>
        </is>
      </c>
      <c r="C277" s="4">
        <f>B277&amp;D277</f>
        <v/>
      </c>
      <c r="D277" s="4" t="inlineStr">
        <is>
          <t>HM-8808-BG-zz</t>
        </is>
      </c>
      <c r="E277" s="4" t="inlineStr">
        <is>
          <t>222F0088BG1</t>
        </is>
      </c>
      <c r="F277" s="4" t="inlineStr">
        <is>
          <t>88系列四件套缸边浴缸龙头拉丝钛金封油</t>
        </is>
      </c>
      <c r="G277" s="4" t="inlineStr">
        <is>
          <t>朱艺璇</t>
        </is>
      </c>
      <c r="H277" s="4" t="inlineStr">
        <is>
          <t>缸边浴缸</t>
        </is>
      </c>
      <c r="I277" s="12" t="inlineStr">
        <is>
          <t>是</t>
        </is>
      </c>
      <c r="J277" s="34" t="n">
        <v>45488</v>
      </c>
      <c r="K277" s="34" t="n">
        <v>45675</v>
      </c>
      <c r="L277" s="0">
        <f>DATEDIF(J277,$L$1,"M")</f>
        <v/>
      </c>
      <c r="M277" s="0">
        <f>IF(L277&lt;18,"新品期",IF(L277&lt;=36,"老品期","衰退期"))</f>
        <v/>
      </c>
    </row>
    <row r="278" ht="15" customFormat="1" customHeight="1" s="36">
      <c r="A278" s="4" t="inlineStr">
        <is>
          <t>Hanallx-US</t>
        </is>
      </c>
      <c r="B278" s="4" t="inlineStr">
        <is>
          <t>Hanallx美国站</t>
        </is>
      </c>
      <c r="C278" s="4">
        <f>B278&amp;D278</f>
        <v/>
      </c>
      <c r="D278" s="4" t="inlineStr">
        <is>
          <t>HM-8808-BK</t>
        </is>
      </c>
      <c r="E278" s="4" t="inlineStr">
        <is>
          <t>222F0088BK1</t>
        </is>
      </c>
      <c r="F278" s="4" t="inlineStr">
        <is>
          <t>88系列四件套缸边浴缸龙头电泳黑</t>
        </is>
      </c>
      <c r="G278" s="4" t="inlineStr">
        <is>
          <t>朱艺璇</t>
        </is>
      </c>
      <c r="H278" s="4" t="inlineStr">
        <is>
          <t>缸边浴缸</t>
        </is>
      </c>
      <c r="I278" s="12" t="inlineStr">
        <is>
          <t>否</t>
        </is>
      </c>
      <c r="J278" s="34" t="n">
        <v>45488</v>
      </c>
      <c r="K278" s="34" t="n">
        <v>45675</v>
      </c>
      <c r="L278" s="0">
        <f>DATEDIF(J278,$L$1,"M")</f>
        <v/>
      </c>
      <c r="M278" s="0">
        <f>IF(L278&lt;18,"新品期",IF(L278&lt;=36,"老品期","衰退期"))</f>
        <v/>
      </c>
    </row>
    <row r="279" ht="15" customFormat="1" customHeight="1" s="36">
      <c r="A279" s="4" t="inlineStr">
        <is>
          <t>Hanallx-US</t>
        </is>
      </c>
      <c r="B279" s="4" t="inlineStr">
        <is>
          <t>Hanallx美国站</t>
        </is>
      </c>
      <c r="C279" s="4">
        <f>B279&amp;D279</f>
        <v/>
      </c>
      <c r="D279" s="4" t="inlineStr">
        <is>
          <t>HM-8808-BK-zz</t>
        </is>
      </c>
      <c r="E279" s="4" t="inlineStr">
        <is>
          <t>222F0088BK1</t>
        </is>
      </c>
      <c r="F279" s="4" t="inlineStr">
        <is>
          <t>88系列四件套缸边浴缸龙头电泳黑</t>
        </is>
      </c>
      <c r="G279" s="4" t="inlineStr">
        <is>
          <t>朱艺璇</t>
        </is>
      </c>
      <c r="H279" s="4" t="inlineStr">
        <is>
          <t>缸边浴缸</t>
        </is>
      </c>
      <c r="I279" s="12" t="inlineStr">
        <is>
          <t>是</t>
        </is>
      </c>
      <c r="J279" s="34" t="n">
        <v>45488</v>
      </c>
      <c r="K279" s="34" t="n">
        <v>45675</v>
      </c>
      <c r="L279" s="0">
        <f>DATEDIF(J279,$L$1,"M")</f>
        <v/>
      </c>
      <c r="M279" s="0">
        <f>IF(L279&lt;18,"新品期",IF(L279&lt;=36,"老品期","衰退期"))</f>
        <v/>
      </c>
    </row>
    <row r="280" ht="15" customFormat="1" customHeight="1" s="36">
      <c r="A280" s="4" t="inlineStr">
        <is>
          <t>Hanallx-US</t>
        </is>
      </c>
      <c r="B280" s="4" t="inlineStr">
        <is>
          <t>Hanallx美国站</t>
        </is>
      </c>
      <c r="C280" s="4">
        <f>B280&amp;D280</f>
        <v/>
      </c>
      <c r="D280" s="4" t="inlineStr">
        <is>
          <t>HM-8808-BN</t>
        </is>
      </c>
      <c r="E280" s="4" t="inlineStr">
        <is>
          <t>222F0088BN1</t>
        </is>
      </c>
      <c r="F280" s="4" t="inlineStr">
        <is>
          <t>88系列四件套缸边浴缸龙头拉丝封油</t>
        </is>
      </c>
      <c r="G280" s="4" t="inlineStr">
        <is>
          <t>朱艺璇</t>
        </is>
      </c>
      <c r="H280" s="4" t="inlineStr">
        <is>
          <t>缸边浴缸</t>
        </is>
      </c>
      <c r="I280" s="12" t="inlineStr">
        <is>
          <t>否</t>
        </is>
      </c>
      <c r="J280" s="34" t="n">
        <v>45488</v>
      </c>
      <c r="K280" s="34" t="n">
        <v>45675</v>
      </c>
      <c r="L280" s="0">
        <f>DATEDIF(J280,$L$1,"M")</f>
        <v/>
      </c>
      <c r="M280" s="0">
        <f>IF(L280&lt;18,"新品期",IF(L280&lt;=36,"老品期","衰退期"))</f>
        <v/>
      </c>
    </row>
    <row r="281" ht="15" customFormat="1" customHeight="1" s="36">
      <c r="A281" s="4" t="inlineStr">
        <is>
          <t>Hanallx-US</t>
        </is>
      </c>
      <c r="B281" s="4" t="inlineStr">
        <is>
          <t>Hanallx美国站</t>
        </is>
      </c>
      <c r="C281" s="4">
        <f>B281&amp;D281</f>
        <v/>
      </c>
      <c r="D281" s="4" t="inlineStr">
        <is>
          <t>HM-8808-CP</t>
        </is>
      </c>
      <c r="E281" s="4" t="inlineStr">
        <is>
          <t>222F0088CP1</t>
        </is>
      </c>
      <c r="F281" s="4" t="inlineStr">
        <is>
          <t>88系列四件套缸边浴缸龙头铬色</t>
        </is>
      </c>
      <c r="G281" s="4" t="inlineStr">
        <is>
          <t>朱艺璇</t>
        </is>
      </c>
      <c r="H281" s="4" t="inlineStr">
        <is>
          <t>缸边浴缸</t>
        </is>
      </c>
      <c r="I281" s="12" t="inlineStr">
        <is>
          <t>否</t>
        </is>
      </c>
      <c r="J281" s="34" t="n">
        <v>45488</v>
      </c>
      <c r="K281" s="34" t="n">
        <v>45675</v>
      </c>
      <c r="L281" s="0">
        <f>DATEDIF(J281,$L$1,"M")</f>
        <v/>
      </c>
      <c r="M281" s="0">
        <f>IF(L281&lt;18,"新品期",IF(L281&lt;=36,"老品期","衰退期"))</f>
        <v/>
      </c>
    </row>
    <row r="282" ht="15" customFormat="1" customHeight="1" s="36">
      <c r="A282" s="4" t="inlineStr">
        <is>
          <t>Hanallx-US</t>
        </is>
      </c>
      <c r="B282" s="4" t="inlineStr">
        <is>
          <t>Hanallx美国站</t>
        </is>
      </c>
      <c r="C282" s="4">
        <f>B282&amp;D282</f>
        <v/>
      </c>
      <c r="D282" s="4" t="inlineStr">
        <is>
          <t>HM-8808-ORB</t>
        </is>
      </c>
      <c r="E282" s="4" t="inlineStr">
        <is>
          <t>222F0088OB1</t>
        </is>
      </c>
      <c r="F282" s="4" t="inlineStr">
        <is>
          <t>88系列四件套缸边浴缸龙头拉丝红古铜</t>
        </is>
      </c>
      <c r="G282" s="4" t="inlineStr">
        <is>
          <t>朱艺璇</t>
        </is>
      </c>
      <c r="H282" s="4" t="inlineStr">
        <is>
          <t>缸边浴缸</t>
        </is>
      </c>
      <c r="I282" s="12" t="inlineStr">
        <is>
          <t>否</t>
        </is>
      </c>
      <c r="J282" s="34" t="n">
        <v>45488</v>
      </c>
      <c r="K282" s="34" t="n">
        <v>45675</v>
      </c>
      <c r="L282" s="0">
        <f>DATEDIF(J282,$L$1,"M")</f>
        <v/>
      </c>
      <c r="M282" s="0">
        <f>IF(L282&lt;18,"新品期",IF(L282&lt;=36,"老品期","衰退期"))</f>
        <v/>
      </c>
    </row>
    <row r="283" ht="15" customFormat="1" customHeight="1" s="36">
      <c r="A283" s="4" t="inlineStr">
        <is>
          <t>Hanallx-US</t>
        </is>
      </c>
      <c r="B283" s="4" t="inlineStr">
        <is>
          <t>Hanallx美国站</t>
        </is>
      </c>
      <c r="C283" s="4">
        <f>B283&amp;D283</f>
        <v/>
      </c>
      <c r="D283" s="4" t="inlineStr">
        <is>
          <t>HM-8808-ORB-zz</t>
        </is>
      </c>
      <c r="E283" s="4" t="inlineStr">
        <is>
          <t>222F0088OB1</t>
        </is>
      </c>
      <c r="F283" s="4" t="inlineStr">
        <is>
          <t>88系列四件套缸边浴缸龙头拉丝红古铜</t>
        </is>
      </c>
      <c r="G283" s="4" t="inlineStr">
        <is>
          <t>朱艺璇</t>
        </is>
      </c>
      <c r="H283" s="4" t="inlineStr">
        <is>
          <t>缸边浴缸</t>
        </is>
      </c>
      <c r="I283" s="12" t="inlineStr">
        <is>
          <t>是</t>
        </is>
      </c>
      <c r="J283" s="34" t="n">
        <v>45488</v>
      </c>
      <c r="K283" s="34" t="n">
        <v>45675</v>
      </c>
      <c r="L283" s="0">
        <f>DATEDIF(J283,$L$1,"M")</f>
        <v/>
      </c>
      <c r="M283" s="0">
        <f>IF(L283&lt;18,"新品期",IF(L283&lt;=36,"老品期","衰退期"))</f>
        <v/>
      </c>
    </row>
    <row r="284" ht="15" customFormat="1" customHeight="1" s="36">
      <c r="A284" s="4" t="inlineStr">
        <is>
          <t>Hanallx-US</t>
        </is>
      </c>
      <c r="B284" s="4" t="inlineStr">
        <is>
          <t>Hanallx美国站</t>
        </is>
      </c>
      <c r="C284" s="4">
        <f>B284&amp;D284</f>
        <v/>
      </c>
      <c r="D284" s="4" t="inlineStr">
        <is>
          <t>HM-8809-BG</t>
        </is>
      </c>
      <c r="E284" s="4" t="inlineStr">
        <is>
          <t>223F0088BG1</t>
        </is>
      </c>
      <c r="F284" s="4" t="inlineStr">
        <is>
          <t>88系列五件套缸边浴缸龙头拉丝钛金封油</t>
        </is>
      </c>
      <c r="G284" s="4" t="inlineStr">
        <is>
          <t>朱艺璇</t>
        </is>
      </c>
      <c r="H284" s="4" t="inlineStr">
        <is>
          <t>缸边浴缸</t>
        </is>
      </c>
      <c r="I284" s="12" t="inlineStr">
        <is>
          <t>是</t>
        </is>
      </c>
      <c r="J284" s="34" t="n">
        <v>45488</v>
      </c>
      <c r="K284" s="34" t="n">
        <v>45698</v>
      </c>
      <c r="L284" s="0">
        <f>DATEDIF(J284,$L$1,"M")</f>
        <v/>
      </c>
      <c r="M284" s="0">
        <f>IF(L284&lt;18,"新品期",IF(L284&lt;=36,"老品期","衰退期"))</f>
        <v/>
      </c>
    </row>
    <row r="285" ht="15" customFormat="1" customHeight="1" s="36">
      <c r="A285" s="4" t="inlineStr">
        <is>
          <t>Hanallx-US</t>
        </is>
      </c>
      <c r="B285" s="4" t="inlineStr">
        <is>
          <t>Hanallx美国站</t>
        </is>
      </c>
      <c r="C285" s="4">
        <f>B285&amp;D285</f>
        <v/>
      </c>
      <c r="D285" s="4" t="inlineStr">
        <is>
          <t>HM-8809-BK</t>
        </is>
      </c>
      <c r="E285" s="4" t="inlineStr">
        <is>
          <t>223F0088BK1</t>
        </is>
      </c>
      <c r="F285" s="4" t="inlineStr">
        <is>
          <t>88系列五件套缸边浴缸龙头电泳黑</t>
        </is>
      </c>
      <c r="G285" s="4" t="inlineStr">
        <is>
          <t>朱艺璇</t>
        </is>
      </c>
      <c r="H285" s="4" t="inlineStr">
        <is>
          <t>缸边浴缸</t>
        </is>
      </c>
      <c r="I285" s="12" t="inlineStr">
        <is>
          <t>是</t>
        </is>
      </c>
      <c r="J285" s="34" t="n">
        <v>45488</v>
      </c>
      <c r="K285" s="34" t="n">
        <v>45698</v>
      </c>
      <c r="L285" s="0">
        <f>DATEDIF(J285,$L$1,"M")</f>
        <v/>
      </c>
      <c r="M285" s="0">
        <f>IF(L285&lt;18,"新品期",IF(L285&lt;=36,"老品期","衰退期"))</f>
        <v/>
      </c>
    </row>
    <row r="286" ht="15" customFormat="1" customHeight="1" s="36">
      <c r="A286" s="4" t="inlineStr">
        <is>
          <t>Hanallx-US</t>
        </is>
      </c>
      <c r="B286" s="4" t="inlineStr">
        <is>
          <t>Hanallx美国站</t>
        </is>
      </c>
      <c r="C286" s="4">
        <f>B286&amp;D286</f>
        <v/>
      </c>
      <c r="D286" s="4" t="inlineStr">
        <is>
          <t>HM-8809-BN</t>
        </is>
      </c>
      <c r="E286" s="4" t="inlineStr">
        <is>
          <t>223F0088BN1</t>
        </is>
      </c>
      <c r="F286" s="4" t="inlineStr">
        <is>
          <t>88系列五件套缸边浴缸龙头拉丝封油</t>
        </is>
      </c>
      <c r="G286" s="4" t="inlineStr">
        <is>
          <t>朱艺璇</t>
        </is>
      </c>
      <c r="H286" s="4" t="inlineStr">
        <is>
          <t>缸边浴缸</t>
        </is>
      </c>
      <c r="I286" s="12" t="inlineStr">
        <is>
          <t>是</t>
        </is>
      </c>
      <c r="J286" s="34" t="n">
        <v>45488</v>
      </c>
      <c r="K286" s="34" t="n">
        <v>45698</v>
      </c>
      <c r="L286" s="0">
        <f>DATEDIF(J286,$L$1,"M")</f>
        <v/>
      </c>
      <c r="M286" s="0">
        <f>IF(L286&lt;18,"新品期",IF(L286&lt;=36,"老品期","衰退期"))</f>
        <v/>
      </c>
    </row>
    <row r="287" ht="15" customFormat="1" customHeight="1" s="36">
      <c r="A287" s="4" t="inlineStr">
        <is>
          <t>Hanallx-US</t>
        </is>
      </c>
      <c r="B287" s="4" t="inlineStr">
        <is>
          <t>Hanallx美国站</t>
        </is>
      </c>
      <c r="C287" s="4">
        <f>B287&amp;D287</f>
        <v/>
      </c>
      <c r="D287" s="4" t="inlineStr">
        <is>
          <t>HM-8809-CP</t>
        </is>
      </c>
      <c r="E287" s="4" t="inlineStr">
        <is>
          <t>223F0088CP1</t>
        </is>
      </c>
      <c r="F287" s="4" t="inlineStr">
        <is>
          <t>88系列五件套缸边浴缸龙头铬色</t>
        </is>
      </c>
      <c r="G287" s="4" t="inlineStr">
        <is>
          <t>朱艺璇</t>
        </is>
      </c>
      <c r="H287" s="4" t="inlineStr">
        <is>
          <t>缸边浴缸</t>
        </is>
      </c>
      <c r="I287" s="12" t="inlineStr">
        <is>
          <t>是</t>
        </is>
      </c>
      <c r="J287" s="34" t="n">
        <v>45488</v>
      </c>
      <c r="K287" s="34" t="n">
        <v>45698</v>
      </c>
      <c r="L287" s="0">
        <f>DATEDIF(J287,$L$1,"M")</f>
        <v/>
      </c>
      <c r="M287" s="0">
        <f>IF(L287&lt;18,"新品期",IF(L287&lt;=36,"老品期","衰退期"))</f>
        <v/>
      </c>
    </row>
    <row r="288" ht="15" customFormat="1" customHeight="1" s="36">
      <c r="A288" s="4" t="inlineStr">
        <is>
          <t>Hanallx-US</t>
        </is>
      </c>
      <c r="B288" s="4" t="inlineStr">
        <is>
          <t>Hanallx美国站</t>
        </is>
      </c>
      <c r="C288" s="4">
        <f>B288&amp;D288</f>
        <v/>
      </c>
      <c r="D288" s="4" t="inlineStr">
        <is>
          <t>HM-8809-ORB</t>
        </is>
      </c>
      <c r="E288" s="4" t="inlineStr">
        <is>
          <t>223F0088OB1</t>
        </is>
      </c>
      <c r="F288" s="4" t="inlineStr">
        <is>
          <t>88系列五件套缸边浴缸龙头拉丝红古铜</t>
        </is>
      </c>
      <c r="G288" s="4" t="inlineStr">
        <is>
          <t>朱艺璇</t>
        </is>
      </c>
      <c r="H288" s="4" t="inlineStr">
        <is>
          <t>缸边浴缸</t>
        </is>
      </c>
      <c r="I288" s="12" t="inlineStr">
        <is>
          <t>是</t>
        </is>
      </c>
      <c r="J288" s="34" t="n">
        <v>45488</v>
      </c>
      <c r="K288" s="34" t="n">
        <v>45698</v>
      </c>
      <c r="L288" s="0">
        <f>DATEDIF(J288,$L$1,"M")</f>
        <v/>
      </c>
      <c r="M288" s="0">
        <f>IF(L288&lt;18,"新品期",IF(L288&lt;=36,"老品期","衰退期"))</f>
        <v/>
      </c>
    </row>
    <row r="289" ht="15" customFormat="1" customHeight="1" s="36">
      <c r="A289" s="4" t="inlineStr">
        <is>
          <t>Hanallx-US</t>
        </is>
      </c>
      <c r="B289" s="4" t="inlineStr">
        <is>
          <t>Hanallx美国站</t>
        </is>
      </c>
      <c r="C289" s="4">
        <f>B289&amp;D289</f>
        <v/>
      </c>
      <c r="D289" s="4" t="inlineStr">
        <is>
          <t>HM-8811-BG</t>
        </is>
      </c>
      <c r="E289" s="4" t="inlineStr">
        <is>
          <t>211F0088BG1</t>
        </is>
      </c>
      <c r="F289" s="4" t="inlineStr">
        <is>
          <t>8811落地浴缸龙头拉丝钛金封油</t>
        </is>
      </c>
      <c r="G289" s="37" t="inlineStr">
        <is>
          <t>刘皓</t>
        </is>
      </c>
      <c r="H289" s="4" t="inlineStr">
        <is>
          <t>落地浴缸</t>
        </is>
      </c>
      <c r="I289" s="12" t="inlineStr">
        <is>
          <t>否</t>
        </is>
      </c>
      <c r="J289" s="34" t="n">
        <v>45706</v>
      </c>
      <c r="K289" s="34" t="n">
        <v>45748</v>
      </c>
      <c r="L289" s="0">
        <f>DATEDIF(J289,$L$1,"M")</f>
        <v/>
      </c>
      <c r="M289" s="0">
        <f>IF(L289&lt;18,"新品期",IF(L289&lt;=36,"老品期","衰退期"))</f>
        <v/>
      </c>
      <c r="N289" s="37" t="inlineStr">
        <is>
          <t>2026年4月17日之前王幸负责</t>
        </is>
      </c>
    </row>
    <row r="290" ht="15" customFormat="1" customHeight="1" s="36">
      <c r="A290" s="4" t="inlineStr">
        <is>
          <t>Hanallx-US</t>
        </is>
      </c>
      <c r="B290" s="4" t="inlineStr">
        <is>
          <t>Hanallx美国站</t>
        </is>
      </c>
      <c r="C290" s="4">
        <f>B290&amp;D290</f>
        <v/>
      </c>
      <c r="D290" s="4" t="inlineStr">
        <is>
          <t>HM-8811-BK</t>
        </is>
      </c>
      <c r="E290" s="4" t="inlineStr">
        <is>
          <t>211F0088BK2</t>
        </is>
      </c>
      <c r="F290" s="4" t="inlineStr">
        <is>
          <t>8811落地浴缸龙头哑黑</t>
        </is>
      </c>
      <c r="G290" s="37" t="inlineStr">
        <is>
          <t>刘皓</t>
        </is>
      </c>
      <c r="H290" s="4" t="inlineStr">
        <is>
          <t>落地浴缸</t>
        </is>
      </c>
      <c r="I290" s="12" t="inlineStr">
        <is>
          <t>否</t>
        </is>
      </c>
      <c r="J290" s="34" t="n">
        <v>45706</v>
      </c>
      <c r="K290" s="34" t="n">
        <v>45748</v>
      </c>
      <c r="L290" s="0">
        <f>DATEDIF(J290,$L$1,"M")</f>
        <v/>
      </c>
      <c r="M290" s="0">
        <f>IF(L290&lt;18,"新品期",IF(L290&lt;=36,"老品期","衰退期"))</f>
        <v/>
      </c>
      <c r="N290" s="37" t="inlineStr">
        <is>
          <t>2026年4月17日之前王幸负责</t>
        </is>
      </c>
    </row>
    <row r="291" ht="15" customFormat="1" customHeight="1" s="36">
      <c r="A291" s="4" t="inlineStr">
        <is>
          <t>Hanallx-US</t>
        </is>
      </c>
      <c r="B291" s="4" t="inlineStr">
        <is>
          <t>Hanallx美国站</t>
        </is>
      </c>
      <c r="C291" s="4">
        <f>B291&amp;D291</f>
        <v/>
      </c>
      <c r="D291" s="4" t="inlineStr">
        <is>
          <t>HM-8811-BK-zz</t>
        </is>
      </c>
      <c r="E291" s="4" t="inlineStr">
        <is>
          <t>211F0088BK2</t>
        </is>
      </c>
      <c r="F291" s="4" t="inlineStr">
        <is>
          <t>8811落地浴缸龙头哑黑</t>
        </is>
      </c>
      <c r="G291" s="37" t="inlineStr">
        <is>
          <t>刘皓</t>
        </is>
      </c>
      <c r="H291" s="4" t="inlineStr">
        <is>
          <t>落地浴缸</t>
        </is>
      </c>
      <c r="I291" s="12" t="inlineStr">
        <is>
          <t>否</t>
        </is>
      </c>
      <c r="J291" s="34" t="n">
        <v>45706</v>
      </c>
      <c r="K291" s="34" t="n">
        <v>45748</v>
      </c>
      <c r="L291" s="0">
        <f>DATEDIF(J291,$L$1,"M")</f>
        <v/>
      </c>
      <c r="M291" s="0">
        <f>IF(L291&lt;18,"新品期",IF(L291&lt;=36,"老品期","衰退期"))</f>
        <v/>
      </c>
      <c r="N291" s="37" t="inlineStr">
        <is>
          <t>2026年4月17日之前王幸负责</t>
        </is>
      </c>
    </row>
    <row r="292" ht="15" customFormat="1" customHeight="1" s="36">
      <c r="A292" s="4" t="inlineStr">
        <is>
          <t>Hanallx-US</t>
        </is>
      </c>
      <c r="B292" s="4" t="inlineStr">
        <is>
          <t>Hanallx美国站</t>
        </is>
      </c>
      <c r="C292" s="4">
        <f>B292&amp;D292</f>
        <v/>
      </c>
      <c r="D292" s="4" t="inlineStr">
        <is>
          <t>HM-8811-BN</t>
        </is>
      </c>
      <c r="E292" s="4" t="inlineStr">
        <is>
          <t>211F0088BN1</t>
        </is>
      </c>
      <c r="F292" s="4" t="inlineStr">
        <is>
          <t>8811落地浴缸龙头拉丝封油</t>
        </is>
      </c>
      <c r="G292" s="37" t="inlineStr">
        <is>
          <t>刘皓</t>
        </is>
      </c>
      <c r="H292" s="4" t="inlineStr">
        <is>
          <t>落地浴缸</t>
        </is>
      </c>
      <c r="I292" s="12" t="inlineStr">
        <is>
          <t>否</t>
        </is>
      </c>
      <c r="J292" s="34" t="n">
        <v>45706</v>
      </c>
      <c r="K292" s="34" t="n">
        <v>45748</v>
      </c>
      <c r="L292" s="0">
        <f>DATEDIF(J292,$L$1,"M")</f>
        <v/>
      </c>
      <c r="M292" s="0">
        <f>IF(L292&lt;18,"新品期",IF(L292&lt;=36,"老品期","衰退期"))</f>
        <v/>
      </c>
      <c r="N292" s="37" t="inlineStr">
        <is>
          <t>2026年4月17日之前王幸负责</t>
        </is>
      </c>
    </row>
    <row r="293" ht="15" customFormat="1" customHeight="1" s="36">
      <c r="A293" s="4" t="inlineStr">
        <is>
          <t>Hanallx-US</t>
        </is>
      </c>
      <c r="B293" s="4" t="inlineStr">
        <is>
          <t>Hanallx美国站</t>
        </is>
      </c>
      <c r="C293" s="4">
        <f>B293&amp;D293</f>
        <v/>
      </c>
      <c r="D293" s="4" t="inlineStr">
        <is>
          <t>HM-8811-CP</t>
        </is>
      </c>
      <c r="E293" s="4" t="inlineStr">
        <is>
          <t>211F0088CP1</t>
        </is>
      </c>
      <c r="F293" s="4" t="inlineStr">
        <is>
          <t>8811落地浴缸龙头铬色</t>
        </is>
      </c>
      <c r="G293" s="37" t="inlineStr">
        <is>
          <t>刘皓</t>
        </is>
      </c>
      <c r="H293" s="4" t="inlineStr">
        <is>
          <t>落地浴缸</t>
        </is>
      </c>
      <c r="I293" s="12" t="inlineStr">
        <is>
          <t>否</t>
        </is>
      </c>
      <c r="J293" s="34" t="n">
        <v>45706</v>
      </c>
      <c r="K293" s="34" t="n">
        <v>45748</v>
      </c>
      <c r="L293" s="0">
        <f>DATEDIF(J293,$L$1,"M")</f>
        <v/>
      </c>
      <c r="M293" s="0">
        <f>IF(L293&lt;18,"新品期",IF(L293&lt;=36,"老品期","衰退期"))</f>
        <v/>
      </c>
      <c r="N293" s="37" t="inlineStr">
        <is>
          <t>2026年4月17日之前王幸负责</t>
        </is>
      </c>
    </row>
    <row r="294" ht="15" customFormat="1" customHeight="1" s="36">
      <c r="A294" s="4" t="inlineStr">
        <is>
          <t>Hanallx-US</t>
        </is>
      </c>
      <c r="B294" s="4" t="inlineStr">
        <is>
          <t>Hanallx美国站</t>
        </is>
      </c>
      <c r="C294" s="4">
        <f>B294&amp;D294</f>
        <v/>
      </c>
      <c r="D294" s="4" t="inlineStr">
        <is>
          <t>HM-8811-CP-zz</t>
        </is>
      </c>
      <c r="E294" s="4" t="inlineStr">
        <is>
          <t>211F0088CP1</t>
        </is>
      </c>
      <c r="F294" s="4" t="inlineStr">
        <is>
          <t>8811落地浴缸龙头铬色</t>
        </is>
      </c>
      <c r="G294" s="37" t="inlineStr">
        <is>
          <t>刘皓</t>
        </is>
      </c>
      <c r="H294" s="4" t="inlineStr">
        <is>
          <t>落地浴缸</t>
        </is>
      </c>
      <c r="I294" s="12" t="inlineStr">
        <is>
          <t>否</t>
        </is>
      </c>
      <c r="J294" s="34" t="n">
        <v>45706</v>
      </c>
      <c r="K294" s="34" t="n">
        <v>45748</v>
      </c>
      <c r="L294" s="0">
        <f>DATEDIF(J294,$L$1,"M")</f>
        <v/>
      </c>
      <c r="M294" s="0">
        <f>IF(L294&lt;18,"新品期",IF(L294&lt;=36,"老品期","衰退期"))</f>
        <v/>
      </c>
      <c r="N294" s="37" t="inlineStr">
        <is>
          <t>2026年4月17日之前王幸负责</t>
        </is>
      </c>
    </row>
    <row r="295" ht="15" customFormat="1" customHeight="1" s="36">
      <c r="A295" s="4" t="inlineStr">
        <is>
          <t>Hanallx-US</t>
        </is>
      </c>
      <c r="B295" s="4" t="inlineStr">
        <is>
          <t>Hanallx美国站</t>
        </is>
      </c>
      <c r="C295" s="4">
        <f>B295&amp;D295</f>
        <v/>
      </c>
      <c r="D295" s="4" t="inlineStr">
        <is>
          <t>HM-8811-ORB</t>
        </is>
      </c>
      <c r="E295" s="4" t="inlineStr">
        <is>
          <t>211F0088OB1</t>
        </is>
      </c>
      <c r="F295" s="4" t="inlineStr">
        <is>
          <t>8811落地浴缸龙头拉丝古铜色</t>
        </is>
      </c>
      <c r="G295" s="37" t="inlineStr">
        <is>
          <t>刘皓</t>
        </is>
      </c>
      <c r="H295" s="4" t="inlineStr">
        <is>
          <t>落地浴缸</t>
        </is>
      </c>
      <c r="I295" s="12" t="inlineStr">
        <is>
          <t>是</t>
        </is>
      </c>
      <c r="J295" s="34" t="n">
        <v>45706</v>
      </c>
      <c r="K295" s="34" t="n">
        <v>45748</v>
      </c>
      <c r="L295" s="0">
        <f>DATEDIF(J295,$L$1,"M")</f>
        <v/>
      </c>
      <c r="M295" s="0">
        <f>IF(L295&lt;18,"新品期",IF(L295&lt;=36,"老品期","衰退期"))</f>
        <v/>
      </c>
      <c r="N295" s="37" t="inlineStr">
        <is>
          <t>2026年4月17日之前王幸负责</t>
        </is>
      </c>
    </row>
    <row r="296" ht="15" customFormat="1" customHeight="1" s="36">
      <c r="A296" s="4" t="inlineStr">
        <is>
          <t>Hanallx-US</t>
        </is>
      </c>
      <c r="B296" s="4" t="inlineStr">
        <is>
          <t>Hanallx美国站</t>
        </is>
      </c>
      <c r="C296" s="4">
        <f>B296&amp;D296</f>
        <v/>
      </c>
      <c r="D296" s="4" t="inlineStr">
        <is>
          <t>HM-9801-BG-ZZ</t>
        </is>
      </c>
      <c r="E296" s="4" t="inlineStr">
        <is>
          <t>110F0098BG1</t>
        </is>
      </c>
      <c r="F296" s="4" t="inlineStr">
        <is>
          <t>98系列矮身单孔正开面盆龙头拉丝钛金封油</t>
        </is>
      </c>
      <c r="G296" s="4" t="inlineStr">
        <is>
          <t>曾志发</t>
        </is>
      </c>
      <c r="H296" s="4" t="inlineStr">
        <is>
          <t>面盆</t>
        </is>
      </c>
      <c r="I296" s="12" t="inlineStr">
        <is>
          <t>是</t>
        </is>
      </c>
      <c r="J296" s="34" t="n">
        <v>45616</v>
      </c>
      <c r="K296" s="34" t="n">
        <v>45616</v>
      </c>
      <c r="L296" s="0">
        <f>DATEDIF(J296,$L$1,"M")</f>
        <v/>
      </c>
      <c r="M296" s="0">
        <f>IF(L296&lt;18,"新品期",IF(L296&lt;=36,"老品期","衰退期"))</f>
        <v/>
      </c>
      <c r="N296" s="36" t="inlineStr">
        <is>
          <t>种子链接，2025年9月1号以前梁丽梅负责</t>
        </is>
      </c>
    </row>
    <row r="297" ht="15" customFormat="1" customHeight="1" s="36">
      <c r="A297" s="4" t="inlineStr">
        <is>
          <t>Hanallx-US</t>
        </is>
      </c>
      <c r="B297" s="4" t="inlineStr">
        <is>
          <t>Hanallx美国站</t>
        </is>
      </c>
      <c r="C297" s="4">
        <f>B297&amp;D297</f>
        <v/>
      </c>
      <c r="D297" s="4" t="inlineStr">
        <is>
          <t>HM-9801-BK-ZZ</t>
        </is>
      </c>
      <c r="E297" s="4" t="inlineStr">
        <is>
          <t>110F0098BK1</t>
        </is>
      </c>
      <c r="F297" s="4" t="inlineStr">
        <is>
          <t>98系列矮身单孔正开面盆龙头电泳黑</t>
        </is>
      </c>
      <c r="G297" s="4" t="inlineStr">
        <is>
          <t>曾志发</t>
        </is>
      </c>
      <c r="H297" s="4" t="inlineStr">
        <is>
          <t>面盆</t>
        </is>
      </c>
      <c r="I297" s="12" t="inlineStr">
        <is>
          <t>是</t>
        </is>
      </c>
      <c r="J297" s="34" t="n">
        <v>45616</v>
      </c>
      <c r="K297" s="34" t="n">
        <v>45616</v>
      </c>
      <c r="L297" s="0">
        <f>DATEDIF(J297,$L$1,"M")</f>
        <v/>
      </c>
      <c r="M297" s="0">
        <f>IF(L297&lt;18,"新品期",IF(L297&lt;=36,"老品期","衰退期"))</f>
        <v/>
      </c>
      <c r="N297" s="36" t="inlineStr">
        <is>
          <t>种子链接，2025年9月1号以前梁丽梅负责</t>
        </is>
      </c>
    </row>
    <row r="298" ht="15" customFormat="1" customHeight="1" s="36">
      <c r="A298" s="4" t="inlineStr">
        <is>
          <t>Hanallx-US</t>
        </is>
      </c>
      <c r="B298" s="4" t="inlineStr">
        <is>
          <t>Hanallx美国站</t>
        </is>
      </c>
      <c r="C298" s="4">
        <f>B298&amp;D298</f>
        <v/>
      </c>
      <c r="D298" s="4" t="inlineStr">
        <is>
          <t>HM-9801-BN-ZZ</t>
        </is>
      </c>
      <c r="E298" s="4" t="inlineStr">
        <is>
          <t>110F0098BN1</t>
        </is>
      </c>
      <c r="F298" s="4" t="inlineStr">
        <is>
          <t>98系列矮身单孔正开面盆龙头拉丝封油</t>
        </is>
      </c>
      <c r="G298" s="4" t="inlineStr">
        <is>
          <t>曾志发</t>
        </is>
      </c>
      <c r="H298" s="4" t="inlineStr">
        <is>
          <t>面盆</t>
        </is>
      </c>
      <c r="I298" s="12" t="inlineStr">
        <is>
          <t>是</t>
        </is>
      </c>
      <c r="J298" s="34" t="n">
        <v>45616</v>
      </c>
      <c r="K298" s="34" t="n">
        <v>45616</v>
      </c>
      <c r="L298" s="0">
        <f>DATEDIF(J298,$L$1,"M")</f>
        <v/>
      </c>
      <c r="M298" s="0">
        <f>IF(L298&lt;18,"新品期",IF(L298&lt;=36,"老品期","衰退期"))</f>
        <v/>
      </c>
      <c r="N298" s="36" t="inlineStr">
        <is>
          <t>种子链接，2025年9月1号以前梁丽梅负责</t>
        </is>
      </c>
    </row>
    <row r="299" ht="15" customFormat="1" customHeight="1" s="36">
      <c r="A299" s="4" t="inlineStr">
        <is>
          <t>Hanallx-US</t>
        </is>
      </c>
      <c r="B299" s="4" t="inlineStr">
        <is>
          <t>Hanallx美国站</t>
        </is>
      </c>
      <c r="C299" s="4">
        <f>B299&amp;D299</f>
        <v/>
      </c>
      <c r="D299" s="4" t="inlineStr">
        <is>
          <t>HM-9801-CP-ZZ</t>
        </is>
      </c>
      <c r="E299" s="4" t="inlineStr">
        <is>
          <t>110F0098CP1</t>
        </is>
      </c>
      <c r="F299" s="4" t="inlineStr">
        <is>
          <t>98系列矮身单孔正开面盆龙头铬</t>
        </is>
      </c>
      <c r="G299" s="4" t="inlineStr">
        <is>
          <t>曾志发</t>
        </is>
      </c>
      <c r="H299" s="4" t="inlineStr">
        <is>
          <t>面盆</t>
        </is>
      </c>
      <c r="I299" s="12" t="inlineStr">
        <is>
          <t>是</t>
        </is>
      </c>
      <c r="J299" s="34" t="n">
        <v>45616</v>
      </c>
      <c r="K299" s="34" t="n">
        <v>45616</v>
      </c>
      <c r="L299" s="0">
        <f>DATEDIF(J299,$L$1,"M")</f>
        <v/>
      </c>
      <c r="M299" s="0">
        <f>IF(L299&lt;18,"新品期",IF(L299&lt;=36,"老品期","衰退期"))</f>
        <v/>
      </c>
      <c r="N299" s="36" t="inlineStr">
        <is>
          <t>种子链接，2025年9月1号以前梁丽梅负责</t>
        </is>
      </c>
    </row>
    <row r="300" ht="15" customFormat="1" customHeight="1" s="36">
      <c r="A300" s="4" t="inlineStr">
        <is>
          <t>Hanallx-US</t>
        </is>
      </c>
      <c r="B300" s="4" t="inlineStr">
        <is>
          <t>Hanallx美国站</t>
        </is>
      </c>
      <c r="C300" s="4">
        <f>B300&amp;D300</f>
        <v/>
      </c>
      <c r="D300" s="4" t="inlineStr">
        <is>
          <t>HM-9804-BG-ZZ</t>
        </is>
      </c>
      <c r="E300" s="4" t="inlineStr">
        <is>
          <t>140F0098BG1</t>
        </is>
      </c>
      <c r="F300" s="4" t="inlineStr">
        <is>
          <t>98系列分体面盆龙头拉丝钛金封油</t>
        </is>
      </c>
      <c r="G300" s="4" t="inlineStr">
        <is>
          <t>曾志发</t>
        </is>
      </c>
      <c r="H300" s="4" t="inlineStr">
        <is>
          <t>面盆</t>
        </is>
      </c>
      <c r="I300" s="12" t="inlineStr">
        <is>
          <t>是</t>
        </is>
      </c>
      <c r="J300" s="34" t="n">
        <v>45555</v>
      </c>
      <c r="K300" s="34" t="n">
        <v>45555</v>
      </c>
      <c r="L300" s="0">
        <f>DATEDIF(J300,$L$1,"M")</f>
        <v/>
      </c>
      <c r="M300" s="0">
        <f>IF(L300&lt;18,"新品期",IF(L300&lt;=36,"老品期","衰退期"))</f>
        <v/>
      </c>
      <c r="N300" s="36" t="inlineStr">
        <is>
          <t>种子链接，2025年9月1号以前梁丽梅负责</t>
        </is>
      </c>
    </row>
    <row r="301" ht="15" customFormat="1" customHeight="1" s="36">
      <c r="A301" s="4" t="inlineStr">
        <is>
          <t>Hanallx-US</t>
        </is>
      </c>
      <c r="B301" s="4" t="inlineStr">
        <is>
          <t>Hanallx美国站</t>
        </is>
      </c>
      <c r="C301" s="4">
        <f>B301&amp;D301</f>
        <v/>
      </c>
      <c r="D301" s="4" t="inlineStr">
        <is>
          <t>HM-9804-BK-ZZ</t>
        </is>
      </c>
      <c r="E301" s="4" t="inlineStr">
        <is>
          <t>140F0098BK1</t>
        </is>
      </c>
      <c r="F301" s="4" t="inlineStr">
        <is>
          <t>98系列分体面盆龙头电泳黑</t>
        </is>
      </c>
      <c r="G301" s="4" t="inlineStr">
        <is>
          <t>曾志发</t>
        </is>
      </c>
      <c r="H301" s="4" t="inlineStr">
        <is>
          <t>面盆</t>
        </is>
      </c>
      <c r="I301" s="12" t="inlineStr">
        <is>
          <t>是</t>
        </is>
      </c>
      <c r="J301" s="34" t="n">
        <v>45555</v>
      </c>
      <c r="K301" s="34" t="n">
        <v>45555</v>
      </c>
      <c r="L301" s="0">
        <f>DATEDIF(J301,$L$1,"M")</f>
        <v/>
      </c>
      <c r="M301" s="0">
        <f>IF(L301&lt;18,"新品期",IF(L301&lt;=36,"老品期","衰退期"))</f>
        <v/>
      </c>
      <c r="N301" s="36" t="inlineStr">
        <is>
          <t>种子链接，2025年9月1号以前梁丽梅负责</t>
        </is>
      </c>
    </row>
    <row r="302" ht="15" customFormat="1" customHeight="1" s="36">
      <c r="A302" s="4" t="inlineStr">
        <is>
          <t>Hanallx-US</t>
        </is>
      </c>
      <c r="B302" s="4" t="inlineStr">
        <is>
          <t>Hanallx美国站</t>
        </is>
      </c>
      <c r="C302" s="4">
        <f>B302&amp;D302</f>
        <v/>
      </c>
      <c r="D302" s="4" t="inlineStr">
        <is>
          <t>HM-9804-BN-ZZ</t>
        </is>
      </c>
      <c r="E302" s="4" t="inlineStr">
        <is>
          <t>140F0098BN1</t>
        </is>
      </c>
      <c r="F302" s="4" t="inlineStr">
        <is>
          <t>98系列分体面盆龙头拉丝封油</t>
        </is>
      </c>
      <c r="G302" s="4" t="inlineStr">
        <is>
          <t>曾志发</t>
        </is>
      </c>
      <c r="H302" s="4" t="inlineStr">
        <is>
          <t>面盆</t>
        </is>
      </c>
      <c r="I302" s="12" t="inlineStr">
        <is>
          <t>是</t>
        </is>
      </c>
      <c r="J302" s="34" t="n">
        <v>45555</v>
      </c>
      <c r="K302" s="34" t="n">
        <v>45555</v>
      </c>
      <c r="L302" s="0">
        <f>DATEDIF(J302,$L$1,"M")</f>
        <v/>
      </c>
      <c r="M302" s="0">
        <f>IF(L302&lt;18,"新品期",IF(L302&lt;=36,"老品期","衰退期"))</f>
        <v/>
      </c>
      <c r="N302" s="36" t="inlineStr">
        <is>
          <t>种子链接，2025年9月1号以前梁丽梅负责</t>
        </is>
      </c>
    </row>
    <row r="303" ht="15" customFormat="1" customHeight="1" s="36">
      <c r="A303" s="4" t="inlineStr">
        <is>
          <t>Hanallx-US</t>
        </is>
      </c>
      <c r="B303" s="4" t="inlineStr">
        <is>
          <t>Hanallx美国站</t>
        </is>
      </c>
      <c r="C303" s="4">
        <f>B303&amp;D303</f>
        <v/>
      </c>
      <c r="D303" s="4" t="inlineStr">
        <is>
          <t>HM-9804-CP-ZZ</t>
        </is>
      </c>
      <c r="E303" s="4" t="inlineStr">
        <is>
          <t>140F0098CP1</t>
        </is>
      </c>
      <c r="F303" s="4" t="inlineStr">
        <is>
          <t>98系列分体面盆龙头铬</t>
        </is>
      </c>
      <c r="G303" s="4" t="inlineStr">
        <is>
          <t>曾志发</t>
        </is>
      </c>
      <c r="H303" s="4" t="inlineStr">
        <is>
          <t>面盆</t>
        </is>
      </c>
      <c r="I303" s="12" t="inlineStr">
        <is>
          <t>是</t>
        </is>
      </c>
      <c r="J303" s="34" t="n">
        <v>45555</v>
      </c>
      <c r="K303" s="34" t="n">
        <v>45555</v>
      </c>
      <c r="L303" s="0">
        <f>DATEDIF(J303,$L$1,"M")</f>
        <v/>
      </c>
      <c r="M303" s="0">
        <f>IF(L303&lt;18,"新品期",IF(L303&lt;=36,"老品期","衰退期"))</f>
        <v/>
      </c>
      <c r="N303" s="36" t="inlineStr">
        <is>
          <t>种子链接，2025年9月1号以前梁丽梅负责</t>
        </is>
      </c>
    </row>
    <row r="304" ht="15" customFormat="1" customHeight="1" s="36">
      <c r="A304" s="4" t="inlineStr">
        <is>
          <t>Jabbol-US</t>
        </is>
      </c>
      <c r="B304" s="4" t="inlineStr">
        <is>
          <t>Jabbol美国站</t>
        </is>
      </c>
      <c r="C304" s="4">
        <f>B304&amp;D304</f>
        <v/>
      </c>
      <c r="D304" s="4" t="inlineStr">
        <is>
          <t>JB-101CP</t>
        </is>
      </c>
      <c r="E304" s="4" t="inlineStr">
        <is>
          <t>110F0101CP1</t>
        </is>
      </c>
      <c r="F304" s="4" t="inlineStr">
        <is>
          <t>0101矮身单孔正开面盆龙头铬</t>
        </is>
      </c>
      <c r="G304" s="4" t="inlineStr">
        <is>
          <t>曾志发</t>
        </is>
      </c>
      <c r="H304" s="4" t="inlineStr">
        <is>
          <t>面盆</t>
        </is>
      </c>
      <c r="I304" s="12" t="inlineStr">
        <is>
          <t>否</t>
        </is>
      </c>
      <c r="J304" s="34" t="n">
        <v>45506</v>
      </c>
      <c r="K304" s="34" t="n">
        <v>45506</v>
      </c>
      <c r="L304" s="0">
        <f>DATEDIF(J304,$L$1,"M")</f>
        <v/>
      </c>
      <c r="M304" s="0">
        <f>IF(L304&lt;18,"新品期",IF(L304&lt;=36,"老品期","衰退期"))</f>
        <v/>
      </c>
      <c r="N304" s="36" t="inlineStr">
        <is>
          <t>清完不卖，2025年9月1号以前梁丽梅负责</t>
        </is>
      </c>
    </row>
    <row r="305" ht="15" customFormat="1" customHeight="1" s="36">
      <c r="A305" s="4" t="inlineStr">
        <is>
          <t>Lexdale-US</t>
        </is>
      </c>
      <c r="B305" s="4" t="inlineStr">
        <is>
          <t>Lexdale美国站</t>
        </is>
      </c>
      <c r="C305" s="4">
        <f>B305&amp;D305</f>
        <v/>
      </c>
      <c r="D305" s="4" t="inlineStr">
        <is>
          <t>LD-2311CP-ZZ</t>
        </is>
      </c>
      <c r="E305" s="4" t="inlineStr">
        <is>
          <t>211F0023CP1</t>
        </is>
      </c>
      <c r="F305" s="4" t="inlineStr">
        <is>
          <t>22系列二功能落地浴缸龙头铬</t>
        </is>
      </c>
      <c r="G305" s="4" t="inlineStr">
        <is>
          <t>刘皓</t>
        </is>
      </c>
      <c r="H305" s="4" t="inlineStr">
        <is>
          <t>落地浴缸</t>
        </is>
      </c>
      <c r="I305" s="12" t="inlineStr">
        <is>
          <t>是</t>
        </is>
      </c>
      <c r="J305" s="34" t="n">
        <v>45595</v>
      </c>
      <c r="K305" s="34" t="n">
        <v>45689</v>
      </c>
      <c r="L305" s="0">
        <f>DATEDIF(J305,$L$1,"M")</f>
        <v/>
      </c>
      <c r="M305" s="0">
        <f>IF(L305&lt;18,"新品期",IF(L305&lt;=36,"老品期","衰退期"))</f>
        <v/>
      </c>
    </row>
    <row r="306" ht="15" customFormat="1" customHeight="1" s="36">
      <c r="A306" s="4" t="inlineStr">
        <is>
          <t>Lexdale-US</t>
        </is>
      </c>
      <c r="B306" s="4" t="inlineStr">
        <is>
          <t>Lexdale美国站</t>
        </is>
      </c>
      <c r="C306" s="4">
        <f>B306&amp;D306</f>
        <v/>
      </c>
      <c r="D306" s="4" t="inlineStr">
        <is>
          <t>LD-8907BGZZ</t>
        </is>
      </c>
      <c r="E306" s="4" t="inlineStr">
        <is>
          <t>221F0089BG1</t>
        </is>
      </c>
      <c r="F306" s="4" t="inlineStr">
        <is>
          <t>89系列三件套缸边浴缸龙头拉丝钛金封油</t>
        </is>
      </c>
      <c r="G306" s="4" t="inlineStr">
        <is>
          <t>陈巧娴</t>
        </is>
      </c>
      <c r="H306" s="4" t="inlineStr">
        <is>
          <t>缸边浴缸</t>
        </is>
      </c>
      <c r="I306" s="12" t="inlineStr">
        <is>
          <t>是</t>
        </is>
      </c>
      <c r="J306" s="34" t="n">
        <v>45685</v>
      </c>
      <c r="K306" s="34" t="n">
        <v>45685</v>
      </c>
      <c r="L306" s="0">
        <f>DATEDIF(J306,$L$1,"M")</f>
        <v/>
      </c>
      <c r="M306" s="0">
        <f>IF(L306&lt;18,"新品期",IF(L306&lt;=36,"老品期","衰退期"))</f>
        <v/>
      </c>
      <c r="N306" s="36" t="inlineStr">
        <is>
          <t>2025年6月（含6月）前艺璇负责</t>
        </is>
      </c>
    </row>
    <row r="307" ht="15" customFormat="1" customHeight="1" s="36">
      <c r="A307" s="4" t="inlineStr">
        <is>
          <t>Lexdale-US</t>
        </is>
      </c>
      <c r="B307" s="4" t="inlineStr">
        <is>
          <t>Lexdale美国站</t>
        </is>
      </c>
      <c r="C307" s="4">
        <f>B307&amp;D307</f>
        <v/>
      </c>
      <c r="D307" s="4" t="inlineStr">
        <is>
          <t>LD-8907BKZZ</t>
        </is>
      </c>
      <c r="E307" s="4" t="inlineStr">
        <is>
          <t>221F0089BK1</t>
        </is>
      </c>
      <c r="F307" s="4" t="inlineStr">
        <is>
          <t>89系列三件套缸边浴缸龙头电泳黑</t>
        </is>
      </c>
      <c r="G307" s="4" t="inlineStr">
        <is>
          <t>陈巧娴</t>
        </is>
      </c>
      <c r="H307" s="4" t="inlineStr">
        <is>
          <t>缸边浴缸</t>
        </is>
      </c>
      <c r="I307" s="12" t="inlineStr">
        <is>
          <t>是</t>
        </is>
      </c>
      <c r="J307" s="34" t="n">
        <v>45685</v>
      </c>
      <c r="K307" s="34" t="n">
        <v>45685</v>
      </c>
      <c r="L307" s="0">
        <f>DATEDIF(J307,$L$1,"M")</f>
        <v/>
      </c>
      <c r="M307" s="0">
        <f>IF(L307&lt;18,"新品期",IF(L307&lt;=36,"老品期","衰退期"))</f>
        <v/>
      </c>
      <c r="N307" s="36" t="inlineStr">
        <is>
          <t>2025年6月（含6月）前艺璇负责</t>
        </is>
      </c>
    </row>
    <row r="308" ht="15" customFormat="1" customHeight="1" s="36">
      <c r="A308" s="4" t="inlineStr">
        <is>
          <t>Lexdale-US</t>
        </is>
      </c>
      <c r="B308" s="4" t="inlineStr">
        <is>
          <t>Lexdale美国站</t>
        </is>
      </c>
      <c r="C308" s="4">
        <f>B308&amp;D308</f>
        <v/>
      </c>
      <c r="D308" s="4" t="inlineStr">
        <is>
          <t>LD-8907BNZZ</t>
        </is>
      </c>
      <c r="E308" s="4" t="inlineStr">
        <is>
          <t>221F0089BN1</t>
        </is>
      </c>
      <c r="F308" s="4" t="inlineStr">
        <is>
          <t>89系列三件套缸边浴缸龙头拉丝封油</t>
        </is>
      </c>
      <c r="G308" s="4" t="inlineStr">
        <is>
          <t>陈巧娴</t>
        </is>
      </c>
      <c r="H308" s="4" t="inlineStr">
        <is>
          <t>缸边浴缸</t>
        </is>
      </c>
      <c r="I308" s="12" t="inlineStr">
        <is>
          <t>是</t>
        </is>
      </c>
      <c r="J308" s="34" t="n">
        <v>45685</v>
      </c>
      <c r="K308" s="34" t="n">
        <v>45685</v>
      </c>
      <c r="L308" s="0">
        <f>DATEDIF(J308,$L$1,"M")</f>
        <v/>
      </c>
      <c r="M308" s="0">
        <f>IF(L308&lt;18,"新品期",IF(L308&lt;=36,"老品期","衰退期"))</f>
        <v/>
      </c>
      <c r="N308" s="36" t="inlineStr">
        <is>
          <t>2025年6月（含6月）前艺璇负责</t>
        </is>
      </c>
    </row>
    <row r="309" ht="15" customFormat="1" customHeight="1" s="36">
      <c r="A309" s="4" t="inlineStr">
        <is>
          <t>Lexdale-US</t>
        </is>
      </c>
      <c r="B309" s="4" t="inlineStr">
        <is>
          <t>Lexdale美国站</t>
        </is>
      </c>
      <c r="C309" s="4">
        <f>B309&amp;D309</f>
        <v/>
      </c>
      <c r="D309" s="4" t="inlineStr">
        <is>
          <t>LD-8907CPZZ</t>
        </is>
      </c>
      <c r="E309" s="4" t="inlineStr">
        <is>
          <t>221F0089CP1</t>
        </is>
      </c>
      <c r="F309" s="4" t="inlineStr">
        <is>
          <t>89系列三件套缸边浴缸龙头铬色</t>
        </is>
      </c>
      <c r="G309" s="4" t="inlineStr">
        <is>
          <t>陈巧娴</t>
        </is>
      </c>
      <c r="H309" s="4" t="inlineStr">
        <is>
          <t>缸边浴缸</t>
        </is>
      </c>
      <c r="I309" s="12" t="inlineStr">
        <is>
          <t>是</t>
        </is>
      </c>
      <c r="J309" s="34" t="n">
        <v>45685</v>
      </c>
      <c r="K309" s="34" t="n">
        <v>45685</v>
      </c>
      <c r="L309" s="0">
        <f>DATEDIF(J309,$L$1,"M")</f>
        <v/>
      </c>
      <c r="M309" s="0">
        <f>IF(L309&lt;18,"新品期",IF(L309&lt;=36,"老品期","衰退期"))</f>
        <v/>
      </c>
      <c r="N309" s="36" t="inlineStr">
        <is>
          <t>2025年6月（含6月）前艺璇负责</t>
        </is>
      </c>
    </row>
    <row r="310" ht="15" customFormat="1" customHeight="1" s="36">
      <c r="A310" s="4" t="inlineStr">
        <is>
          <t>Lexdale-US</t>
        </is>
      </c>
      <c r="B310" s="4" t="inlineStr">
        <is>
          <t>Lexdale美国站</t>
        </is>
      </c>
      <c r="C310" s="4">
        <f>B310&amp;D310</f>
        <v/>
      </c>
      <c r="D310" s="4" t="inlineStr">
        <is>
          <t>LD-8907ORBZZ</t>
        </is>
      </c>
      <c r="E310" s="4" t="inlineStr">
        <is>
          <t>221F0089OB1</t>
        </is>
      </c>
      <c r="F310" s="4" t="inlineStr">
        <is>
          <t>89系列三件套缸边浴缸龙头拉丝红古铜</t>
        </is>
      </c>
      <c r="G310" s="4" t="inlineStr">
        <is>
          <t>陈巧娴</t>
        </is>
      </c>
      <c r="H310" s="4" t="inlineStr">
        <is>
          <t>缸边浴缸</t>
        </is>
      </c>
      <c r="I310" s="12" t="inlineStr">
        <is>
          <t>是</t>
        </is>
      </c>
      <c r="J310" s="34" t="n">
        <v>45685</v>
      </c>
      <c r="K310" s="34" t="n">
        <v>45685</v>
      </c>
      <c r="L310" s="0">
        <f>DATEDIF(J310,$L$1,"M")</f>
        <v/>
      </c>
      <c r="M310" s="0">
        <f>IF(L310&lt;18,"新品期",IF(L310&lt;=36,"老品期","衰退期"))</f>
        <v/>
      </c>
      <c r="N310" s="36" t="inlineStr">
        <is>
          <t>2025年6月（含6月）前艺璇负责</t>
        </is>
      </c>
    </row>
    <row r="311" ht="15" customFormat="1" customHeight="1" s="36">
      <c r="A311" s="4" t="inlineStr">
        <is>
          <t>Lexdale-US</t>
        </is>
      </c>
      <c r="B311" s="4" t="inlineStr">
        <is>
          <t>Lexdale美国站</t>
        </is>
      </c>
      <c r="C311" s="4">
        <f>B311&amp;D311</f>
        <v/>
      </c>
      <c r="D311" s="4" t="inlineStr">
        <is>
          <t>LD-8908BGZZ</t>
        </is>
      </c>
      <c r="E311" s="4" t="inlineStr">
        <is>
          <t>222F0089BG1</t>
        </is>
      </c>
      <c r="F311" s="4" t="inlineStr">
        <is>
          <t>89系列四件套缸边浴缸龙头拉丝钛金封油</t>
        </is>
      </c>
      <c r="G311" s="4" t="inlineStr">
        <is>
          <t>陈巧娴</t>
        </is>
      </c>
      <c r="H311" s="4" t="inlineStr">
        <is>
          <t>缸边浴缸</t>
        </is>
      </c>
      <c r="I311" s="12" t="inlineStr">
        <is>
          <t>是</t>
        </is>
      </c>
      <c r="J311" s="34" t="n">
        <v>45590</v>
      </c>
      <c r="K311" s="34" t="n">
        <v>45735</v>
      </c>
      <c r="L311" s="0">
        <f>DATEDIF(J311,$L$1,"M")</f>
        <v/>
      </c>
      <c r="M311" s="0">
        <f>IF(L311&lt;18,"新品期",IF(L311&lt;=36,"老品期","衰退期"))</f>
        <v/>
      </c>
      <c r="N311" s="36" t="inlineStr">
        <is>
          <t>2025年6月（含6月）前艺璇负责</t>
        </is>
      </c>
    </row>
    <row r="312" ht="15" customFormat="1" customHeight="1" s="36">
      <c r="A312" s="4" t="inlineStr">
        <is>
          <t>Lexdale-US</t>
        </is>
      </c>
      <c r="B312" s="4" t="inlineStr">
        <is>
          <t>Lexdale美国站</t>
        </is>
      </c>
      <c r="C312" s="4">
        <f>B312&amp;D312</f>
        <v/>
      </c>
      <c r="D312" s="4" t="inlineStr">
        <is>
          <t>LD-8908BKZZ</t>
        </is>
      </c>
      <c r="E312" s="4" t="inlineStr">
        <is>
          <t>222F0089BK1</t>
        </is>
      </c>
      <c r="F312" s="4" t="inlineStr">
        <is>
          <t>89系列四件套缸边浴缸龙头电泳黑</t>
        </is>
      </c>
      <c r="G312" s="4" t="inlineStr">
        <is>
          <t>陈巧娴</t>
        </is>
      </c>
      <c r="H312" s="4" t="inlineStr">
        <is>
          <t>缸边浴缸</t>
        </is>
      </c>
      <c r="I312" s="12" t="inlineStr">
        <is>
          <t>是</t>
        </is>
      </c>
      <c r="J312" s="34" t="n">
        <v>45590</v>
      </c>
      <c r="K312" s="34" t="n">
        <v>45735</v>
      </c>
      <c r="L312" s="0">
        <f>DATEDIF(J312,$L$1,"M")</f>
        <v/>
      </c>
      <c r="M312" s="0">
        <f>IF(L312&lt;18,"新品期",IF(L312&lt;=36,"老品期","衰退期"))</f>
        <v/>
      </c>
      <c r="N312" s="36" t="inlineStr">
        <is>
          <t>2025年6月（含6月）前艺璇负责</t>
        </is>
      </c>
    </row>
    <row r="313" ht="15" customFormat="1" customHeight="1" s="36">
      <c r="A313" s="4" t="inlineStr">
        <is>
          <t>Lexdale-US</t>
        </is>
      </c>
      <c r="B313" s="4" t="inlineStr">
        <is>
          <t>Lexdale美国站</t>
        </is>
      </c>
      <c r="C313" s="4">
        <f>B313&amp;D313</f>
        <v/>
      </c>
      <c r="D313" s="4" t="inlineStr">
        <is>
          <t>LD-8908BNZZ</t>
        </is>
      </c>
      <c r="E313" s="4" t="inlineStr">
        <is>
          <t>222F0089BN1</t>
        </is>
      </c>
      <c r="F313" s="4" t="inlineStr">
        <is>
          <t>89系列四件套缸边浴缸龙头拉丝封油</t>
        </is>
      </c>
      <c r="G313" s="4" t="inlineStr">
        <is>
          <t>陈巧娴</t>
        </is>
      </c>
      <c r="H313" s="4" t="inlineStr">
        <is>
          <t>缸边浴缸</t>
        </is>
      </c>
      <c r="I313" s="12" t="inlineStr">
        <is>
          <t>是</t>
        </is>
      </c>
      <c r="J313" s="34" t="n">
        <v>45590</v>
      </c>
      <c r="K313" s="34" t="n">
        <v>45735</v>
      </c>
      <c r="L313" s="0">
        <f>DATEDIF(J313,$L$1,"M")</f>
        <v/>
      </c>
      <c r="M313" s="0">
        <f>IF(L313&lt;18,"新品期",IF(L313&lt;=36,"老品期","衰退期"))</f>
        <v/>
      </c>
      <c r="N313" s="36" t="inlineStr">
        <is>
          <t>2025年6月（含6月）前艺璇负责</t>
        </is>
      </c>
    </row>
    <row r="314" ht="15" customFormat="1" customHeight="1" s="36">
      <c r="A314" s="4" t="inlineStr">
        <is>
          <t>Lexdale-US</t>
        </is>
      </c>
      <c r="B314" s="4" t="inlineStr">
        <is>
          <t>Lexdale美国站</t>
        </is>
      </c>
      <c r="C314" s="4">
        <f>B314&amp;D314</f>
        <v/>
      </c>
      <c r="D314" s="4" t="inlineStr">
        <is>
          <t>LD-8908CPZZ</t>
        </is>
      </c>
      <c r="E314" s="4" t="inlineStr">
        <is>
          <t>222F0089CP1</t>
        </is>
      </c>
      <c r="F314" s="4" t="inlineStr">
        <is>
          <t>89系列四件套缸边浴缸龙头铬色</t>
        </is>
      </c>
      <c r="G314" s="4" t="inlineStr">
        <is>
          <t>陈巧娴</t>
        </is>
      </c>
      <c r="H314" s="4" t="inlineStr">
        <is>
          <t>缸边浴缸</t>
        </is>
      </c>
      <c r="I314" s="12" t="inlineStr">
        <is>
          <t>是</t>
        </is>
      </c>
      <c r="J314" s="34" t="n">
        <v>45590</v>
      </c>
      <c r="K314" s="34" t="n">
        <v>45735</v>
      </c>
      <c r="L314" s="0">
        <f>DATEDIF(J314,$L$1,"M")</f>
        <v/>
      </c>
      <c r="M314" s="0">
        <f>IF(L314&lt;18,"新品期",IF(L314&lt;=36,"老品期","衰退期"))</f>
        <v/>
      </c>
      <c r="N314" s="36" t="inlineStr">
        <is>
          <t>2025年6月（含6月）前艺璇负责</t>
        </is>
      </c>
    </row>
    <row r="315" ht="15" customFormat="1" customHeight="1" s="36">
      <c r="A315" s="4" t="inlineStr">
        <is>
          <t>Lexdale-US</t>
        </is>
      </c>
      <c r="B315" s="4" t="inlineStr">
        <is>
          <t>Lexdale美国站</t>
        </is>
      </c>
      <c r="C315" s="4">
        <f>B315&amp;D315</f>
        <v/>
      </c>
      <c r="D315" s="4" t="inlineStr">
        <is>
          <t>LD-8908ORBZZ</t>
        </is>
      </c>
      <c r="E315" s="4" t="inlineStr">
        <is>
          <t>222F0089OB1</t>
        </is>
      </c>
      <c r="F315" s="4" t="inlineStr">
        <is>
          <t>89系列四件套缸边浴缸龙头拉丝红古铜</t>
        </is>
      </c>
      <c r="G315" s="4" t="inlineStr">
        <is>
          <t>陈巧娴</t>
        </is>
      </c>
      <c r="H315" s="4" t="inlineStr">
        <is>
          <t>缸边浴缸</t>
        </is>
      </c>
      <c r="I315" s="12" t="inlineStr">
        <is>
          <t>是</t>
        </is>
      </c>
      <c r="J315" s="34" t="n">
        <v>45590</v>
      </c>
      <c r="K315" s="34" t="n">
        <v>45735</v>
      </c>
      <c r="L315" s="0">
        <f>DATEDIF(J315,$L$1,"M")</f>
        <v/>
      </c>
      <c r="M315" s="0">
        <f>IF(L315&lt;18,"新品期",IF(L315&lt;=36,"老品期","衰退期"))</f>
        <v/>
      </c>
      <c r="N315" s="36" t="inlineStr">
        <is>
          <t>2025年6月（含6月）前艺璇负责</t>
        </is>
      </c>
    </row>
    <row r="316" ht="15" customFormat="1" customHeight="1" s="36">
      <c r="A316" s="4" t="inlineStr">
        <is>
          <t>Lexdale-US</t>
        </is>
      </c>
      <c r="B316" s="4" t="inlineStr">
        <is>
          <t>Lexdale美国站</t>
        </is>
      </c>
      <c r="C316" s="4">
        <f>B316&amp;D316</f>
        <v/>
      </c>
      <c r="D316" s="4" t="inlineStr">
        <is>
          <t>LD-8909BGZZ</t>
        </is>
      </c>
      <c r="E316" s="4" t="inlineStr">
        <is>
          <t>223F0089BG1</t>
        </is>
      </c>
      <c r="F316" s="4" t="inlineStr">
        <is>
          <t>89系列五件套缸边浴缸龙头拉丝钛金封油</t>
        </is>
      </c>
      <c r="G316" s="4" t="inlineStr">
        <is>
          <t>陈巧娴</t>
        </is>
      </c>
      <c r="H316" s="4" t="inlineStr">
        <is>
          <t>缸边浴缸</t>
        </is>
      </c>
      <c r="I316" s="12" t="inlineStr">
        <is>
          <t>是</t>
        </is>
      </c>
      <c r="J316" s="34" t="n">
        <v>45417</v>
      </c>
      <c r="K316" s="34" t="n">
        <v>45751</v>
      </c>
      <c r="L316" s="0">
        <f>DATEDIF(J316,$L$1,"M")</f>
        <v/>
      </c>
      <c r="M316" s="0">
        <f>IF(L316&lt;18,"新品期",IF(L316&lt;=36,"老品期","衰退期"))</f>
        <v/>
      </c>
      <c r="N316" s="36" t="inlineStr">
        <is>
          <t>2025年6月（含6月）前艺璇负责</t>
        </is>
      </c>
    </row>
    <row r="317" ht="15" customFormat="1" customHeight="1" s="36">
      <c r="A317" s="4" t="inlineStr">
        <is>
          <t>Lexdale-US</t>
        </is>
      </c>
      <c r="B317" s="4" t="inlineStr">
        <is>
          <t>Lexdale美国站</t>
        </is>
      </c>
      <c r="C317" s="4">
        <f>B317&amp;D317</f>
        <v/>
      </c>
      <c r="D317" s="4" t="inlineStr">
        <is>
          <t>LD-8909BKZZ</t>
        </is>
      </c>
      <c r="E317" s="4" t="inlineStr">
        <is>
          <t>223F0089BK1</t>
        </is>
      </c>
      <c r="F317" s="4" t="inlineStr">
        <is>
          <t>89系列五件套缸边浴缸龙头电泳黑</t>
        </is>
      </c>
      <c r="G317" s="4" t="inlineStr">
        <is>
          <t>陈巧娴</t>
        </is>
      </c>
      <c r="H317" s="4" t="inlineStr">
        <is>
          <t>缸边浴缸</t>
        </is>
      </c>
      <c r="I317" s="12" t="inlineStr">
        <is>
          <t>是</t>
        </is>
      </c>
      <c r="J317" s="34" t="n">
        <v>45417</v>
      </c>
      <c r="K317" s="34" t="n">
        <v>45751</v>
      </c>
      <c r="L317" s="0">
        <f>DATEDIF(J317,$L$1,"M")</f>
        <v/>
      </c>
      <c r="M317" s="0">
        <f>IF(L317&lt;18,"新品期",IF(L317&lt;=36,"老品期","衰退期"))</f>
        <v/>
      </c>
      <c r="N317" s="36" t="inlineStr">
        <is>
          <t>2025年6月（含6月）前艺璇负责</t>
        </is>
      </c>
    </row>
    <row r="318" ht="15" customFormat="1" customHeight="1" s="36">
      <c r="A318" s="4" t="inlineStr">
        <is>
          <t>Lexdale-US</t>
        </is>
      </c>
      <c r="B318" s="4" t="inlineStr">
        <is>
          <t>Lexdale美国站</t>
        </is>
      </c>
      <c r="C318" s="4">
        <f>B318&amp;D318</f>
        <v/>
      </c>
      <c r="D318" s="4" t="inlineStr">
        <is>
          <t>LD-8909BNZZ</t>
        </is>
      </c>
      <c r="E318" s="4" t="inlineStr">
        <is>
          <t>223F0089BN1</t>
        </is>
      </c>
      <c r="F318" s="4" t="inlineStr">
        <is>
          <t>89系列五件套缸边浴缸龙头拉丝封油</t>
        </is>
      </c>
      <c r="G318" s="4" t="inlineStr">
        <is>
          <t>陈巧娴</t>
        </is>
      </c>
      <c r="H318" s="4" t="inlineStr">
        <is>
          <t>缸边浴缸</t>
        </is>
      </c>
      <c r="I318" s="12" t="inlineStr">
        <is>
          <t>是</t>
        </is>
      </c>
      <c r="J318" s="34" t="n">
        <v>45417</v>
      </c>
      <c r="K318" s="34" t="n">
        <v>45751</v>
      </c>
      <c r="L318" s="0">
        <f>DATEDIF(J318,$L$1,"M")</f>
        <v/>
      </c>
      <c r="M318" s="0">
        <f>IF(L318&lt;18,"新品期",IF(L318&lt;=36,"老品期","衰退期"))</f>
        <v/>
      </c>
      <c r="N318" s="36" t="inlineStr">
        <is>
          <t>2025年6月（含6月）前艺璇负责</t>
        </is>
      </c>
    </row>
    <row r="319" ht="15" customFormat="1" customHeight="1" s="36">
      <c r="A319" s="4" t="inlineStr">
        <is>
          <t>Lexdale-US</t>
        </is>
      </c>
      <c r="B319" s="4" t="inlineStr">
        <is>
          <t>Lexdale美国站</t>
        </is>
      </c>
      <c r="C319" s="4">
        <f>B319&amp;D319</f>
        <v/>
      </c>
      <c r="D319" s="4" t="inlineStr">
        <is>
          <t>LD-8909CPZZ</t>
        </is>
      </c>
      <c r="E319" s="4" t="inlineStr">
        <is>
          <t>223F0089CP1</t>
        </is>
      </c>
      <c r="F319" s="4" t="inlineStr">
        <is>
          <t>89系列五件套缸边浴缸龙头铬色</t>
        </is>
      </c>
      <c r="G319" s="4" t="inlineStr">
        <is>
          <t>陈巧娴</t>
        </is>
      </c>
      <c r="H319" s="4" t="inlineStr">
        <is>
          <t>缸边浴缸</t>
        </is>
      </c>
      <c r="I319" s="12" t="inlineStr">
        <is>
          <t>是</t>
        </is>
      </c>
      <c r="J319" s="34" t="n">
        <v>45417</v>
      </c>
      <c r="K319" s="34" t="n">
        <v>45751</v>
      </c>
      <c r="L319" s="0">
        <f>DATEDIF(J319,$L$1,"M")</f>
        <v/>
      </c>
      <c r="M319" s="0">
        <f>IF(L319&lt;18,"新品期",IF(L319&lt;=36,"老品期","衰退期"))</f>
        <v/>
      </c>
      <c r="N319" s="36" t="inlineStr">
        <is>
          <t>2025年6月（含6月）前艺璇负责</t>
        </is>
      </c>
    </row>
    <row r="320" ht="15" customFormat="1" customHeight="1" s="36">
      <c r="A320" s="4" t="inlineStr">
        <is>
          <t>Lexdale-US</t>
        </is>
      </c>
      <c r="B320" s="4" t="inlineStr">
        <is>
          <t>Lexdale美国站</t>
        </is>
      </c>
      <c r="C320" s="4">
        <f>B320&amp;D320</f>
        <v/>
      </c>
      <c r="D320" s="4" t="inlineStr">
        <is>
          <t>LD-8909ORBZZ</t>
        </is>
      </c>
      <c r="E320" s="4" t="inlineStr">
        <is>
          <t>223F0089OB1</t>
        </is>
      </c>
      <c r="F320" s="4" t="inlineStr">
        <is>
          <t>89系列五件套缸边浴缸龙头拉丝红古铜</t>
        </is>
      </c>
      <c r="G320" s="4" t="inlineStr">
        <is>
          <t>陈巧娴</t>
        </is>
      </c>
      <c r="H320" s="4" t="inlineStr">
        <is>
          <t>缸边浴缸</t>
        </is>
      </c>
      <c r="I320" s="12" t="inlineStr">
        <is>
          <t>是</t>
        </is>
      </c>
      <c r="J320" s="34" t="n">
        <v>45417</v>
      </c>
      <c r="K320" s="34" t="n">
        <v>45751</v>
      </c>
      <c r="L320" s="0">
        <f>DATEDIF(J320,$L$1,"M")</f>
        <v/>
      </c>
      <c r="M320" s="0">
        <f>IF(L320&lt;18,"新品期",IF(L320&lt;=36,"老品期","衰退期"))</f>
        <v/>
      </c>
      <c r="N320" s="36" t="inlineStr">
        <is>
          <t>2025年6月（含6月）前艺璇负责</t>
        </is>
      </c>
    </row>
    <row r="321" ht="15" customFormat="1" customHeight="1" s="36">
      <c r="A321" s="4" t="inlineStr">
        <is>
          <t>HANGORO-US</t>
        </is>
      </c>
      <c r="B321" s="4" t="inlineStr">
        <is>
          <t>Hangoro美国站</t>
        </is>
      </c>
      <c r="C321" s="4">
        <f>B321&amp;D321</f>
        <v/>
      </c>
      <c r="D321" s="4" t="inlineStr">
        <is>
          <t>AP041BG</t>
        </is>
      </c>
      <c r="E321" s="4" t="inlineStr">
        <is>
          <t>AP041BG1</t>
        </is>
      </c>
      <c r="F321" s="4" t="inlineStr">
        <is>
          <t>AP041弹跳下水器拉丝钛金封油</t>
        </is>
      </c>
      <c r="G321" s="4" t="inlineStr">
        <is>
          <t>童劲威</t>
        </is>
      </c>
      <c r="H321" s="4" t="inlineStr">
        <is>
          <t>面盆</t>
        </is>
      </c>
      <c r="I321" s="12" t="inlineStr">
        <is>
          <t>否</t>
        </is>
      </c>
      <c r="J321" s="34" t="n">
        <v>44786</v>
      </c>
      <c r="K321" s="34" t="n">
        <v>44786</v>
      </c>
      <c r="L321" s="0">
        <f>DATEDIF(J321,$L$1,"M")</f>
        <v/>
      </c>
      <c r="M321" s="0">
        <f>IF(L321&lt;18,"新品期",IF(L321&lt;=36,"老品期","衰退期"))</f>
        <v/>
      </c>
      <c r="N321" s="36" t="inlineStr">
        <is>
          <t>配件</t>
        </is>
      </c>
    </row>
    <row r="322" ht="15" customFormat="1" customHeight="1" s="36">
      <c r="A322" s="4" t="inlineStr">
        <is>
          <t>HANGORO-US</t>
        </is>
      </c>
      <c r="B322" s="4" t="inlineStr">
        <is>
          <t>Hangoro美国站</t>
        </is>
      </c>
      <c r="C322" s="4">
        <f>B322&amp;D322</f>
        <v/>
      </c>
      <c r="D322" s="4" t="inlineStr">
        <is>
          <t>AP041BK</t>
        </is>
      </c>
      <c r="E322" s="4" t="inlineStr">
        <is>
          <t>AP041BK1</t>
        </is>
      </c>
      <c r="F322" s="4" t="inlineStr">
        <is>
          <t>AP041弹跳下水器电泳黑</t>
        </is>
      </c>
      <c r="G322" s="4" t="inlineStr">
        <is>
          <t>童劲威</t>
        </is>
      </c>
      <c r="H322" s="4" t="inlineStr">
        <is>
          <t>面盆</t>
        </is>
      </c>
      <c r="I322" s="12" t="inlineStr">
        <is>
          <t>否</t>
        </is>
      </c>
      <c r="J322" s="34" t="n">
        <v>44786</v>
      </c>
      <c r="K322" s="34" t="n">
        <v>44786</v>
      </c>
      <c r="L322" s="0">
        <f>DATEDIF(J322,$L$1,"M")</f>
        <v/>
      </c>
      <c r="M322" s="0">
        <f>IF(L322&lt;18,"新品期",IF(L322&lt;=36,"老品期","衰退期"))</f>
        <v/>
      </c>
      <c r="N322" s="36" t="inlineStr">
        <is>
          <t>配件</t>
        </is>
      </c>
    </row>
    <row r="323" ht="15" customFormat="1" customHeight="1" s="36">
      <c r="A323" s="4" t="inlineStr">
        <is>
          <t>HANGORO-US</t>
        </is>
      </c>
      <c r="B323" s="4" t="inlineStr">
        <is>
          <t>Hangoro美国站</t>
        </is>
      </c>
      <c r="C323" s="4">
        <f>B323&amp;D323</f>
        <v/>
      </c>
      <c r="D323" s="4" t="inlineStr">
        <is>
          <t>AP041BN</t>
        </is>
      </c>
      <c r="E323" s="4" t="inlineStr">
        <is>
          <t>AP041BN1</t>
        </is>
      </c>
      <c r="F323" s="4" t="inlineStr">
        <is>
          <t>AP041弹跳下水器拉丝封油</t>
        </is>
      </c>
      <c r="G323" s="4" t="inlineStr">
        <is>
          <t>童劲威</t>
        </is>
      </c>
      <c r="H323" s="4" t="inlineStr">
        <is>
          <t>面盆</t>
        </is>
      </c>
      <c r="I323" s="12" t="inlineStr">
        <is>
          <t>否</t>
        </is>
      </c>
      <c r="J323" s="34" t="n">
        <v>44786</v>
      </c>
      <c r="K323" s="34" t="n">
        <v>44786</v>
      </c>
      <c r="L323" s="0">
        <f>DATEDIF(J323,$L$1,"M")</f>
        <v/>
      </c>
      <c r="M323" s="0">
        <f>IF(L323&lt;18,"新品期",IF(L323&lt;=36,"老品期","衰退期"))</f>
        <v/>
      </c>
      <c r="N323" s="36" t="inlineStr">
        <is>
          <t>配件</t>
        </is>
      </c>
    </row>
    <row r="324" ht="15" customFormat="1" customHeight="1" s="36">
      <c r="A324" s="4" t="inlineStr">
        <is>
          <t>HANGORO-US</t>
        </is>
      </c>
      <c r="B324" s="4" t="inlineStr">
        <is>
          <t>Hangoro美国站</t>
        </is>
      </c>
      <c r="C324" s="4">
        <f>B324&amp;D324</f>
        <v/>
      </c>
      <c r="D324" s="4" t="inlineStr">
        <is>
          <t>AP041CP</t>
        </is>
      </c>
      <c r="E324" s="4" t="inlineStr">
        <is>
          <t>AP041CP1</t>
        </is>
      </c>
      <c r="F324" s="4" t="inlineStr">
        <is>
          <t>AP041弹跳下水器铬</t>
        </is>
      </c>
      <c r="G324" s="4" t="inlineStr">
        <is>
          <t>童劲威</t>
        </is>
      </c>
      <c r="H324" s="4" t="inlineStr">
        <is>
          <t>面盆</t>
        </is>
      </c>
      <c r="I324" s="12" t="inlineStr">
        <is>
          <t>否</t>
        </is>
      </c>
      <c r="J324" s="34" t="n">
        <v>44786</v>
      </c>
      <c r="K324" s="34" t="n">
        <v>44786</v>
      </c>
      <c r="L324" s="0">
        <f>DATEDIF(J324,$L$1,"M")</f>
        <v/>
      </c>
      <c r="M324" s="0">
        <f>IF(L324&lt;18,"新品期",IF(L324&lt;=36,"老品期","衰退期"))</f>
        <v/>
      </c>
      <c r="N324" s="36" t="inlineStr">
        <is>
          <t>配件</t>
        </is>
      </c>
    </row>
    <row r="325" ht="15" customFormat="1" customHeight="1" s="36">
      <c r="A325" s="4" t="inlineStr">
        <is>
          <t>Lexdale-US</t>
        </is>
      </c>
      <c r="B325" s="4" t="inlineStr">
        <is>
          <t>Lexdale美国站</t>
        </is>
      </c>
      <c r="C325" s="4">
        <f>B325&amp;D325</f>
        <v/>
      </c>
      <c r="D325" s="4" t="inlineStr">
        <is>
          <t>LD8904BG</t>
        </is>
      </c>
      <c r="E325" s="4" t="inlineStr">
        <is>
          <t>140F0089BG1</t>
        </is>
      </c>
      <c r="F325" s="4" t="inlineStr">
        <is>
          <t>89系列分体面盆龙头拉丝钛金封油</t>
        </is>
      </c>
      <c r="G325" s="4" t="inlineStr">
        <is>
          <t>曾志发</t>
        </is>
      </c>
      <c r="H325" s="4" t="inlineStr">
        <is>
          <t>面盆</t>
        </is>
      </c>
      <c r="I325" s="12" t="inlineStr">
        <is>
          <t>是</t>
        </is>
      </c>
      <c r="J325" s="34" t="n">
        <v>45641</v>
      </c>
      <c r="K325" s="34" t="n">
        <v>45641</v>
      </c>
      <c r="L325" s="0">
        <f>DATEDIF(J325,$L$1,"M")</f>
        <v/>
      </c>
      <c r="M325" s="0">
        <f>IF(L325&lt;18,"新品期",IF(L325&lt;=36,"老品期","衰退期"))</f>
        <v/>
      </c>
      <c r="N325" s="36" t="inlineStr">
        <is>
          <t>2025年9月1号以前梁丽梅负责</t>
        </is>
      </c>
    </row>
    <row r="326" ht="15" customFormat="1" customHeight="1" s="36">
      <c r="A326" s="4" t="inlineStr">
        <is>
          <t>Lexdale-US</t>
        </is>
      </c>
      <c r="B326" s="4" t="inlineStr">
        <is>
          <t>Lexdale美国站</t>
        </is>
      </c>
      <c r="C326" s="4">
        <f>B326&amp;D326</f>
        <v/>
      </c>
      <c r="D326" s="4" t="inlineStr">
        <is>
          <t>LD8904BK</t>
        </is>
      </c>
      <c r="E326" s="4" t="inlineStr">
        <is>
          <t>140F0089BK1</t>
        </is>
      </c>
      <c r="F326" s="4" t="inlineStr">
        <is>
          <t>89系列分体面盆龙头电泳黑</t>
        </is>
      </c>
      <c r="G326" s="4" t="inlineStr">
        <is>
          <t>曾志发</t>
        </is>
      </c>
      <c r="H326" s="4" t="inlineStr">
        <is>
          <t>面盆</t>
        </is>
      </c>
      <c r="I326" s="12" t="inlineStr">
        <is>
          <t>是</t>
        </is>
      </c>
      <c r="J326" s="34" t="n">
        <v>45641</v>
      </c>
      <c r="K326" s="34" t="n">
        <v>45641</v>
      </c>
      <c r="L326" s="0">
        <f>DATEDIF(J326,$L$1,"M")</f>
        <v/>
      </c>
      <c r="M326" s="0">
        <f>IF(L326&lt;18,"新品期",IF(L326&lt;=36,"老品期","衰退期"))</f>
        <v/>
      </c>
      <c r="N326" s="36" t="inlineStr">
        <is>
          <t>2025年9月1号以前梁丽梅负责</t>
        </is>
      </c>
    </row>
    <row r="327" ht="15" customFormat="1" customHeight="1" s="36">
      <c r="A327" s="4" t="inlineStr">
        <is>
          <t>Lexdale-US</t>
        </is>
      </c>
      <c r="B327" s="4" t="inlineStr">
        <is>
          <t>Lexdale美国站</t>
        </is>
      </c>
      <c r="C327" s="4">
        <f>B327&amp;D327</f>
        <v/>
      </c>
      <c r="D327" s="4" t="inlineStr">
        <is>
          <t>LD8904BN</t>
        </is>
      </c>
      <c r="E327" s="4" t="inlineStr">
        <is>
          <t>140F0089BN1</t>
        </is>
      </c>
      <c r="F327" s="4" t="inlineStr">
        <is>
          <t>89系列分体面盆龙头拉丝封油</t>
        </is>
      </c>
      <c r="G327" s="4" t="inlineStr">
        <is>
          <t>曾志发</t>
        </is>
      </c>
      <c r="H327" s="4" t="inlineStr">
        <is>
          <t>面盆</t>
        </is>
      </c>
      <c r="I327" s="12" t="inlineStr">
        <is>
          <t>是</t>
        </is>
      </c>
      <c r="J327" s="34" t="n">
        <v>45641</v>
      </c>
      <c r="K327" s="34" t="n">
        <v>45641</v>
      </c>
      <c r="L327" s="0">
        <f>DATEDIF(J327,$L$1,"M")</f>
        <v/>
      </c>
      <c r="M327" s="0">
        <f>IF(L327&lt;18,"新品期",IF(L327&lt;=36,"老品期","衰退期"))</f>
        <v/>
      </c>
      <c r="N327" s="36" t="inlineStr">
        <is>
          <t>2025年9月1号以前梁丽梅负责</t>
        </is>
      </c>
    </row>
    <row r="328" ht="15" customFormat="1" customHeight="1" s="36">
      <c r="A328" s="4" t="inlineStr">
        <is>
          <t>Lexdale-US</t>
        </is>
      </c>
      <c r="B328" s="4" t="inlineStr">
        <is>
          <t>Lexdale美国站</t>
        </is>
      </c>
      <c r="C328" s="4">
        <f>B328&amp;D328</f>
        <v/>
      </c>
      <c r="D328" s="4" t="inlineStr">
        <is>
          <t>LD8904CP</t>
        </is>
      </c>
      <c r="E328" s="4" t="inlineStr">
        <is>
          <t>140F0089CP1</t>
        </is>
      </c>
      <c r="F328" s="4" t="inlineStr">
        <is>
          <t>89系列分体面盆龙头铬色</t>
        </is>
      </c>
      <c r="G328" s="4" t="inlineStr">
        <is>
          <t>曾志发</t>
        </is>
      </c>
      <c r="H328" s="4" t="inlineStr">
        <is>
          <t>面盆</t>
        </is>
      </c>
      <c r="I328" s="12" t="inlineStr">
        <is>
          <t>是</t>
        </is>
      </c>
      <c r="J328" s="34" t="n">
        <v>45641</v>
      </c>
      <c r="K328" s="34" t="n">
        <v>45641</v>
      </c>
      <c r="L328" s="0">
        <f>DATEDIF(J328,$L$1,"M")</f>
        <v/>
      </c>
      <c r="M328" s="0">
        <f>IF(L328&lt;18,"新品期",IF(L328&lt;=36,"老品期","衰退期"))</f>
        <v/>
      </c>
      <c r="N328" s="36" t="inlineStr">
        <is>
          <t>2025年9月1号以前梁丽梅负责</t>
        </is>
      </c>
    </row>
    <row r="329" ht="15" customFormat="1" customHeight="1" s="36">
      <c r="A329" s="4" t="inlineStr">
        <is>
          <t>Lexdale-US</t>
        </is>
      </c>
      <c r="B329" s="4" t="inlineStr">
        <is>
          <t>Lexdale美国站</t>
        </is>
      </c>
      <c r="C329" s="4">
        <f>B329&amp;D329</f>
        <v/>
      </c>
      <c r="D329" s="4" t="inlineStr">
        <is>
          <t>LD8904ORB</t>
        </is>
      </c>
      <c r="E329" s="4" t="inlineStr">
        <is>
          <t>140F0089OB1</t>
        </is>
      </c>
      <c r="F329" s="4" t="inlineStr">
        <is>
          <t>89系列分体面盆龙头拉丝红古铜</t>
        </is>
      </c>
      <c r="G329" s="4" t="inlineStr">
        <is>
          <t>曾志发</t>
        </is>
      </c>
      <c r="H329" s="4" t="inlineStr">
        <is>
          <t>面盆</t>
        </is>
      </c>
      <c r="I329" s="12" t="inlineStr">
        <is>
          <t>是</t>
        </is>
      </c>
      <c r="J329" s="34" t="n">
        <v>45641</v>
      </c>
      <c r="K329" s="34" t="n">
        <v>45641</v>
      </c>
      <c r="L329" s="0">
        <f>DATEDIF(J329,$L$1,"M")</f>
        <v/>
      </c>
      <c r="M329" s="0">
        <f>IF(L329&lt;18,"新品期",IF(L329&lt;=36,"老品期","衰退期"))</f>
        <v/>
      </c>
      <c r="N329" s="36" t="inlineStr">
        <is>
          <t>2025年9月1号以前梁丽梅负责</t>
        </is>
      </c>
    </row>
    <row r="330" ht="15" customFormat="1" customHeight="1" s="36">
      <c r="A330" s="4" t="inlineStr">
        <is>
          <t>Lexdale-US</t>
        </is>
      </c>
      <c r="B330" s="4" t="inlineStr">
        <is>
          <t>Lexdale美国站</t>
        </is>
      </c>
      <c r="C330" s="4">
        <f>B330&amp;D330</f>
        <v/>
      </c>
      <c r="D330" s="4" t="inlineStr">
        <is>
          <t>LD8907BG</t>
        </is>
      </c>
      <c r="E330" s="4" t="inlineStr">
        <is>
          <t>221F0089BG1</t>
        </is>
      </c>
      <c r="F330" s="4" t="inlineStr">
        <is>
          <t>89系列三件套缸边浴缸龙头拉丝钛金封油</t>
        </is>
      </c>
      <c r="G330" s="4" t="inlineStr">
        <is>
          <t>陈巧娴</t>
        </is>
      </c>
      <c r="H330" s="4" t="inlineStr">
        <is>
          <t>缸边浴缸</t>
        </is>
      </c>
      <c r="I330" s="12" t="inlineStr">
        <is>
          <t>是</t>
        </is>
      </c>
      <c r="J330" s="34" t="n">
        <v>45417</v>
      </c>
      <c r="K330" s="34" t="n">
        <v>45685</v>
      </c>
      <c r="L330" s="0">
        <f>DATEDIF(J330,$L$1,"M")</f>
        <v/>
      </c>
      <c r="M330" s="0">
        <f>IF(L330&lt;18,"新品期",IF(L330&lt;=36,"老品期","衰退期"))</f>
        <v/>
      </c>
      <c r="N330" s="36" t="inlineStr">
        <is>
          <t>2025年6月（含6月）前艺璇负责</t>
        </is>
      </c>
    </row>
    <row r="331" ht="15" customFormat="1" customHeight="1" s="36">
      <c r="A331" s="4" t="inlineStr">
        <is>
          <t>Lexdale-US</t>
        </is>
      </c>
      <c r="B331" s="4" t="inlineStr">
        <is>
          <t>Lexdale美国站</t>
        </is>
      </c>
      <c r="C331" s="4">
        <f>B331&amp;D331</f>
        <v/>
      </c>
      <c r="D331" s="4" t="inlineStr">
        <is>
          <t>LD8907BK</t>
        </is>
      </c>
      <c r="E331" s="4" t="inlineStr">
        <is>
          <t>221F0089BK1</t>
        </is>
      </c>
      <c r="F331" s="4" t="inlineStr">
        <is>
          <t>89系列三件套缸边浴缸龙头电泳黑</t>
        </is>
      </c>
      <c r="G331" s="4" t="inlineStr">
        <is>
          <t>陈巧娴</t>
        </is>
      </c>
      <c r="H331" s="4" t="inlineStr">
        <is>
          <t>缸边浴缸</t>
        </is>
      </c>
      <c r="I331" s="12" t="inlineStr">
        <is>
          <t>是</t>
        </is>
      </c>
      <c r="J331" s="34" t="n">
        <v>45417</v>
      </c>
      <c r="K331" s="34" t="n">
        <v>45685</v>
      </c>
      <c r="L331" s="0">
        <f>DATEDIF(J331,$L$1,"M")</f>
        <v/>
      </c>
      <c r="M331" s="0">
        <f>IF(L331&lt;18,"新品期",IF(L331&lt;=36,"老品期","衰退期"))</f>
        <v/>
      </c>
      <c r="N331" s="36" t="inlineStr">
        <is>
          <t>2025年6月（含6月）前艺璇负责</t>
        </is>
      </c>
    </row>
    <row r="332" ht="15" customFormat="1" customHeight="1" s="36">
      <c r="A332" s="4" t="inlineStr">
        <is>
          <t>Lexdale-US</t>
        </is>
      </c>
      <c r="B332" s="4" t="inlineStr">
        <is>
          <t>Lexdale美国站</t>
        </is>
      </c>
      <c r="C332" s="4">
        <f>B332&amp;D332</f>
        <v/>
      </c>
      <c r="D332" s="4" t="inlineStr">
        <is>
          <t>LD8907BN</t>
        </is>
      </c>
      <c r="E332" s="4" t="inlineStr">
        <is>
          <t>221F0089BN1</t>
        </is>
      </c>
      <c r="F332" s="4" t="inlineStr">
        <is>
          <t>89系列三件套缸边浴缸龙头拉丝封油</t>
        </is>
      </c>
      <c r="G332" s="4" t="inlineStr">
        <is>
          <t>陈巧娴</t>
        </is>
      </c>
      <c r="H332" s="4" t="inlineStr">
        <is>
          <t>缸边浴缸</t>
        </is>
      </c>
      <c r="I332" s="12" t="inlineStr">
        <is>
          <t>是</t>
        </is>
      </c>
      <c r="J332" s="34" t="n">
        <v>45417</v>
      </c>
      <c r="K332" s="34" t="n">
        <v>45685</v>
      </c>
      <c r="L332" s="0">
        <f>DATEDIF(J332,$L$1,"M")</f>
        <v/>
      </c>
      <c r="M332" s="0">
        <f>IF(L332&lt;18,"新品期",IF(L332&lt;=36,"老品期","衰退期"))</f>
        <v/>
      </c>
      <c r="N332" s="36" t="inlineStr">
        <is>
          <t>2025年6月（含6月）前艺璇负责</t>
        </is>
      </c>
    </row>
    <row r="333" ht="15" customFormat="1" customHeight="1" s="36">
      <c r="A333" s="4" t="inlineStr">
        <is>
          <t>Lexdale-US</t>
        </is>
      </c>
      <c r="B333" s="4" t="inlineStr">
        <is>
          <t>Lexdale美国站</t>
        </is>
      </c>
      <c r="C333" s="4">
        <f>B333&amp;D333</f>
        <v/>
      </c>
      <c r="D333" s="4" t="inlineStr">
        <is>
          <t>LD8907CP</t>
        </is>
      </c>
      <c r="E333" s="4" t="inlineStr">
        <is>
          <t>221F0089CP1</t>
        </is>
      </c>
      <c r="F333" s="4" t="inlineStr">
        <is>
          <t>89系列三件套缸边浴缸龙头铬色</t>
        </is>
      </c>
      <c r="G333" s="4" t="inlineStr">
        <is>
          <t>陈巧娴</t>
        </is>
      </c>
      <c r="H333" s="4" t="inlineStr">
        <is>
          <t>缸边浴缸</t>
        </is>
      </c>
      <c r="I333" s="12" t="inlineStr">
        <is>
          <t>是</t>
        </is>
      </c>
      <c r="J333" s="34" t="n">
        <v>45417</v>
      </c>
      <c r="K333" s="34" t="n">
        <v>45685</v>
      </c>
      <c r="L333" s="0">
        <f>DATEDIF(J333,$L$1,"M")</f>
        <v/>
      </c>
      <c r="M333" s="0">
        <f>IF(L333&lt;18,"新品期",IF(L333&lt;=36,"老品期","衰退期"))</f>
        <v/>
      </c>
      <c r="N333" s="36" t="inlineStr">
        <is>
          <t>2025年6月（含6月）前艺璇负责</t>
        </is>
      </c>
    </row>
    <row r="334" ht="15" customFormat="1" customHeight="1" s="36">
      <c r="A334" s="4" t="inlineStr">
        <is>
          <t>Lexdale-US</t>
        </is>
      </c>
      <c r="B334" s="4" t="inlineStr">
        <is>
          <t>Lexdale美国站</t>
        </is>
      </c>
      <c r="C334" s="4">
        <f>B334&amp;D334</f>
        <v/>
      </c>
      <c r="D334" s="4" t="inlineStr">
        <is>
          <t>LD8907ORB</t>
        </is>
      </c>
      <c r="E334" s="4" t="inlineStr">
        <is>
          <t>221F0089OB1</t>
        </is>
      </c>
      <c r="F334" s="4" t="inlineStr">
        <is>
          <t>89系列三件套缸边浴缸龙头拉丝红古铜</t>
        </is>
      </c>
      <c r="G334" s="4" t="inlineStr">
        <is>
          <t>陈巧娴</t>
        </is>
      </c>
      <c r="H334" s="4" t="inlineStr">
        <is>
          <t>缸边浴缸</t>
        </is>
      </c>
      <c r="I334" s="12" t="inlineStr">
        <is>
          <t>是</t>
        </is>
      </c>
      <c r="J334" s="34" t="n">
        <v>45417</v>
      </c>
      <c r="K334" s="34" t="n">
        <v>45685</v>
      </c>
      <c r="L334" s="0">
        <f>DATEDIF(J334,$L$1,"M")</f>
        <v/>
      </c>
      <c r="M334" s="0">
        <f>IF(L334&lt;18,"新品期",IF(L334&lt;=36,"老品期","衰退期"))</f>
        <v/>
      </c>
      <c r="N334" s="36" t="inlineStr">
        <is>
          <t>2025年6月（含6月）前艺璇负责</t>
        </is>
      </c>
    </row>
    <row r="335" ht="15" customFormat="1" customHeight="1" s="36">
      <c r="A335" s="4" t="inlineStr">
        <is>
          <t>Lexdale-US</t>
        </is>
      </c>
      <c r="B335" s="4" t="inlineStr">
        <is>
          <t>Lexdale美国站</t>
        </is>
      </c>
      <c r="C335" s="4">
        <f>B335&amp;D335</f>
        <v/>
      </c>
      <c r="D335" s="4" t="inlineStr">
        <is>
          <t>LD8908BG</t>
        </is>
      </c>
      <c r="E335" s="4" t="inlineStr">
        <is>
          <t>222F0089BG1</t>
        </is>
      </c>
      <c r="F335" s="4" t="inlineStr">
        <is>
          <t>89系列四件套缸边浴缸龙头拉丝钛金封油</t>
        </is>
      </c>
      <c r="G335" s="4" t="inlineStr">
        <is>
          <t>陈巧娴</t>
        </is>
      </c>
      <c r="H335" s="4" t="inlineStr">
        <is>
          <t>缸边浴缸</t>
        </is>
      </c>
      <c r="I335" s="12" t="inlineStr">
        <is>
          <t>是</t>
        </is>
      </c>
      <c r="J335" s="34" t="n">
        <v>45590</v>
      </c>
      <c r="K335" s="34" t="n">
        <v>45735</v>
      </c>
      <c r="L335" s="0">
        <f>DATEDIF(J335,$L$1,"M")</f>
        <v/>
      </c>
      <c r="M335" s="0">
        <f>IF(L335&lt;18,"新品期",IF(L335&lt;=36,"老品期","衰退期"))</f>
        <v/>
      </c>
      <c r="N335" s="36" t="inlineStr">
        <is>
          <t>2025年6月（含6月）前艺璇负责</t>
        </is>
      </c>
    </row>
    <row r="336" ht="15" customFormat="1" customHeight="1" s="36">
      <c r="A336" s="4" t="inlineStr">
        <is>
          <t>Lexdale-US</t>
        </is>
      </c>
      <c r="B336" s="4" t="inlineStr">
        <is>
          <t>Lexdale美国站</t>
        </is>
      </c>
      <c r="C336" s="4">
        <f>B336&amp;D336</f>
        <v/>
      </c>
      <c r="D336" s="4" t="inlineStr">
        <is>
          <t>LD8908BK</t>
        </is>
      </c>
      <c r="E336" s="4" t="inlineStr">
        <is>
          <t>222F0089BK1</t>
        </is>
      </c>
      <c r="F336" s="4" t="inlineStr">
        <is>
          <t>89系列四件套缸边浴缸龙头电泳黑</t>
        </is>
      </c>
      <c r="G336" s="4" t="inlineStr">
        <is>
          <t>陈巧娴</t>
        </is>
      </c>
      <c r="H336" s="4" t="inlineStr">
        <is>
          <t>缸边浴缸</t>
        </is>
      </c>
      <c r="I336" s="12" t="inlineStr">
        <is>
          <t>是</t>
        </is>
      </c>
      <c r="J336" s="34" t="n">
        <v>45590</v>
      </c>
      <c r="K336" s="34" t="n">
        <v>45735</v>
      </c>
      <c r="L336" s="0">
        <f>DATEDIF(J336,$L$1,"M")</f>
        <v/>
      </c>
      <c r="M336" s="0">
        <f>IF(L336&lt;18,"新品期",IF(L336&lt;=36,"老品期","衰退期"))</f>
        <v/>
      </c>
      <c r="N336" s="36" t="inlineStr">
        <is>
          <t>2025年6月（含6月）前艺璇负责</t>
        </is>
      </c>
    </row>
    <row r="337" ht="15" customFormat="1" customHeight="1" s="36">
      <c r="A337" s="4" t="inlineStr">
        <is>
          <t>Lexdale-US</t>
        </is>
      </c>
      <c r="B337" s="4" t="inlineStr">
        <is>
          <t>Lexdale美国站</t>
        </is>
      </c>
      <c r="C337" s="4">
        <f>B337&amp;D337</f>
        <v/>
      </c>
      <c r="D337" s="4" t="inlineStr">
        <is>
          <t>LD8908BN</t>
        </is>
      </c>
      <c r="E337" s="4" t="inlineStr">
        <is>
          <t>222F0089BN1</t>
        </is>
      </c>
      <c r="F337" s="4" t="inlineStr">
        <is>
          <t>89系列四件套缸边浴缸龙头拉丝封油</t>
        </is>
      </c>
      <c r="G337" s="4" t="inlineStr">
        <is>
          <t>陈巧娴</t>
        </is>
      </c>
      <c r="H337" s="4" t="inlineStr">
        <is>
          <t>缸边浴缸</t>
        </is>
      </c>
      <c r="I337" s="12" t="inlineStr">
        <is>
          <t>是</t>
        </is>
      </c>
      <c r="J337" s="34" t="n">
        <v>45590</v>
      </c>
      <c r="K337" s="34" t="n">
        <v>45735</v>
      </c>
      <c r="L337" s="0">
        <f>DATEDIF(J337,$L$1,"M")</f>
        <v/>
      </c>
      <c r="M337" s="0">
        <f>IF(L337&lt;18,"新品期",IF(L337&lt;=36,"老品期","衰退期"))</f>
        <v/>
      </c>
      <c r="N337" s="36" t="inlineStr">
        <is>
          <t>2025年6月（含6月）前艺璇负责</t>
        </is>
      </c>
    </row>
    <row r="338" ht="15" customFormat="1" customHeight="1" s="36">
      <c r="A338" s="4" t="inlineStr">
        <is>
          <t>Lexdale-US</t>
        </is>
      </c>
      <c r="B338" s="4" t="inlineStr">
        <is>
          <t>Lexdale美国站</t>
        </is>
      </c>
      <c r="C338" s="4">
        <f>B338&amp;D338</f>
        <v/>
      </c>
      <c r="D338" s="4" t="inlineStr">
        <is>
          <t>LD8908CP</t>
        </is>
      </c>
      <c r="E338" s="4" t="inlineStr">
        <is>
          <t>222F0089CP1</t>
        </is>
      </c>
      <c r="F338" s="4" t="inlineStr">
        <is>
          <t>89系列四件套缸边浴缸龙头铬色</t>
        </is>
      </c>
      <c r="G338" s="4" t="inlineStr">
        <is>
          <t>陈巧娴</t>
        </is>
      </c>
      <c r="H338" s="4" t="inlineStr">
        <is>
          <t>缸边浴缸</t>
        </is>
      </c>
      <c r="I338" s="12" t="inlineStr">
        <is>
          <t>是</t>
        </is>
      </c>
      <c r="J338" s="34" t="n">
        <v>45590</v>
      </c>
      <c r="K338" s="34" t="n">
        <v>45735</v>
      </c>
      <c r="L338" s="0">
        <f>DATEDIF(J338,$L$1,"M")</f>
        <v/>
      </c>
      <c r="M338" s="0">
        <f>IF(L338&lt;18,"新品期",IF(L338&lt;=36,"老品期","衰退期"))</f>
        <v/>
      </c>
      <c r="N338" s="36" t="inlineStr">
        <is>
          <t>2025年6月（含6月）前艺璇负责</t>
        </is>
      </c>
    </row>
    <row r="339" ht="15" customFormat="1" customHeight="1" s="36">
      <c r="A339" s="4" t="inlineStr">
        <is>
          <t>Lexdale-US</t>
        </is>
      </c>
      <c r="B339" s="4" t="inlineStr">
        <is>
          <t>Lexdale美国站</t>
        </is>
      </c>
      <c r="C339" s="4">
        <f>B339&amp;D339</f>
        <v/>
      </c>
      <c r="D339" s="4" t="inlineStr">
        <is>
          <t>LD8908ORB</t>
        </is>
      </c>
      <c r="E339" s="4" t="inlineStr">
        <is>
          <t>222F0089OB1</t>
        </is>
      </c>
      <c r="F339" s="4" t="inlineStr">
        <is>
          <t>89系列四件套缸边浴缸龙头拉丝红古铜</t>
        </is>
      </c>
      <c r="G339" s="4" t="inlineStr">
        <is>
          <t>陈巧娴</t>
        </is>
      </c>
      <c r="H339" s="4" t="inlineStr">
        <is>
          <t>缸边浴缸</t>
        </is>
      </c>
      <c r="I339" s="12" t="inlineStr">
        <is>
          <t>是</t>
        </is>
      </c>
      <c r="J339" s="34" t="n">
        <v>45590</v>
      </c>
      <c r="K339" s="34" t="n">
        <v>45735</v>
      </c>
      <c r="L339" s="0">
        <f>DATEDIF(J339,$L$1,"M")</f>
        <v/>
      </c>
      <c r="M339" s="0">
        <f>IF(L339&lt;18,"新品期",IF(L339&lt;=36,"老品期","衰退期"))</f>
        <v/>
      </c>
      <c r="N339" s="36" t="inlineStr">
        <is>
          <t>2025年6月（含6月）前艺璇负责</t>
        </is>
      </c>
    </row>
    <row r="340" ht="15" customFormat="1" customHeight="1" s="36">
      <c r="A340" s="4" t="inlineStr">
        <is>
          <t>Lexdale-US</t>
        </is>
      </c>
      <c r="B340" s="4" t="inlineStr">
        <is>
          <t>Lexdale美国站</t>
        </is>
      </c>
      <c r="C340" s="4">
        <f>B340&amp;D340</f>
        <v/>
      </c>
      <c r="D340" s="4" t="inlineStr">
        <is>
          <t>LD8909BG</t>
        </is>
      </c>
      <c r="E340" s="4" t="inlineStr">
        <is>
          <t>223F0089BG1</t>
        </is>
      </c>
      <c r="F340" s="4" t="inlineStr">
        <is>
          <t>89系列五件套缸边浴缸龙头拉丝钛金封油</t>
        </is>
      </c>
      <c r="G340" s="4" t="inlineStr">
        <is>
          <t>陈巧娴</t>
        </is>
      </c>
      <c r="H340" s="4" t="inlineStr">
        <is>
          <t>缸边浴缸</t>
        </is>
      </c>
      <c r="I340" s="12" t="inlineStr">
        <is>
          <t>是</t>
        </is>
      </c>
      <c r="J340" s="34" t="n">
        <v>45417</v>
      </c>
      <c r="K340" s="34" t="n">
        <v>45751</v>
      </c>
      <c r="L340" s="0">
        <f>DATEDIF(J340,$L$1,"M")</f>
        <v/>
      </c>
      <c r="M340" s="0">
        <f>IF(L340&lt;18,"新品期",IF(L340&lt;=36,"老品期","衰退期"))</f>
        <v/>
      </c>
      <c r="N340" s="36" t="inlineStr">
        <is>
          <t>2025年6月（含6月）前艺璇负责</t>
        </is>
      </c>
    </row>
    <row r="341" ht="15" customFormat="1" customHeight="1" s="36">
      <c r="A341" s="4" t="inlineStr">
        <is>
          <t>Lexdale-US</t>
        </is>
      </c>
      <c r="B341" s="4" t="inlineStr">
        <is>
          <t>Lexdale美国站</t>
        </is>
      </c>
      <c r="C341" s="4">
        <f>B341&amp;D341</f>
        <v/>
      </c>
      <c r="D341" s="4" t="inlineStr">
        <is>
          <t>LD8909BK</t>
        </is>
      </c>
      <c r="E341" s="4" t="inlineStr">
        <is>
          <t>223F0089BK1</t>
        </is>
      </c>
      <c r="F341" s="4" t="inlineStr">
        <is>
          <t>89系列五件套缸边浴缸龙头电泳黑</t>
        </is>
      </c>
      <c r="G341" s="4" t="inlineStr">
        <is>
          <t>陈巧娴</t>
        </is>
      </c>
      <c r="H341" s="4" t="inlineStr">
        <is>
          <t>缸边浴缸</t>
        </is>
      </c>
      <c r="I341" s="12" t="inlineStr">
        <is>
          <t>是</t>
        </is>
      </c>
      <c r="J341" s="34" t="n">
        <v>45417</v>
      </c>
      <c r="K341" s="34" t="n">
        <v>45751</v>
      </c>
      <c r="L341" s="0">
        <f>DATEDIF(J341,$L$1,"M")</f>
        <v/>
      </c>
      <c r="M341" s="0">
        <f>IF(L341&lt;18,"新品期",IF(L341&lt;=36,"老品期","衰退期"))</f>
        <v/>
      </c>
      <c r="N341" s="36" t="inlineStr">
        <is>
          <t>2025年6月（含6月）前艺璇负责</t>
        </is>
      </c>
    </row>
    <row r="342" ht="15" customFormat="1" customHeight="1" s="36">
      <c r="A342" s="4" t="inlineStr">
        <is>
          <t>Lexdale-US</t>
        </is>
      </c>
      <c r="B342" s="4" t="inlineStr">
        <is>
          <t>Lexdale美国站</t>
        </is>
      </c>
      <c r="C342" s="4">
        <f>B342&amp;D342</f>
        <v/>
      </c>
      <c r="D342" s="4" t="inlineStr">
        <is>
          <t>LD8909BN</t>
        </is>
      </c>
      <c r="E342" s="4" t="inlineStr">
        <is>
          <t>223F0089BN1</t>
        </is>
      </c>
      <c r="F342" s="4" t="inlineStr">
        <is>
          <t>89系列五件套缸边浴缸龙头拉丝封油</t>
        </is>
      </c>
      <c r="G342" s="4" t="inlineStr">
        <is>
          <t>陈巧娴</t>
        </is>
      </c>
      <c r="H342" s="4" t="inlineStr">
        <is>
          <t>缸边浴缸</t>
        </is>
      </c>
      <c r="I342" s="12" t="inlineStr">
        <is>
          <t>是</t>
        </is>
      </c>
      <c r="J342" s="34" t="n">
        <v>45417</v>
      </c>
      <c r="K342" s="34" t="n">
        <v>45751</v>
      </c>
      <c r="L342" s="0">
        <f>DATEDIF(J342,$L$1,"M")</f>
        <v/>
      </c>
      <c r="M342" s="0">
        <f>IF(L342&lt;18,"新品期",IF(L342&lt;=36,"老品期","衰退期"))</f>
        <v/>
      </c>
      <c r="N342" s="36" t="inlineStr">
        <is>
          <t>2025年6月（含6月）前艺璇负责</t>
        </is>
      </c>
    </row>
    <row r="343" ht="15" customFormat="1" customHeight="1" s="36">
      <c r="A343" s="4" t="inlineStr">
        <is>
          <t>Lexdale-US</t>
        </is>
      </c>
      <c r="B343" s="4" t="inlineStr">
        <is>
          <t>Lexdale美国站</t>
        </is>
      </c>
      <c r="C343" s="4">
        <f>B343&amp;D343</f>
        <v/>
      </c>
      <c r="D343" s="4" t="inlineStr">
        <is>
          <t>LD8909CP</t>
        </is>
      </c>
      <c r="E343" s="4" t="inlineStr">
        <is>
          <t>223F0089CP1</t>
        </is>
      </c>
      <c r="F343" s="4" t="inlineStr">
        <is>
          <t>89系列五件套缸边浴缸龙头铬色</t>
        </is>
      </c>
      <c r="G343" s="4" t="inlineStr">
        <is>
          <t>陈巧娴</t>
        </is>
      </c>
      <c r="H343" s="4" t="inlineStr">
        <is>
          <t>缸边浴缸</t>
        </is>
      </c>
      <c r="I343" s="12" t="inlineStr">
        <is>
          <t>是</t>
        </is>
      </c>
      <c r="J343" s="34" t="n">
        <v>45417</v>
      </c>
      <c r="K343" s="34" t="n">
        <v>45751</v>
      </c>
      <c r="L343" s="0">
        <f>DATEDIF(J343,$L$1,"M")</f>
        <v/>
      </c>
      <c r="M343" s="0">
        <f>IF(L343&lt;18,"新品期",IF(L343&lt;=36,"老品期","衰退期"))</f>
        <v/>
      </c>
      <c r="N343" s="36" t="inlineStr">
        <is>
          <t>2025年6月（含6月）前艺璇负责</t>
        </is>
      </c>
    </row>
    <row r="344" ht="15" customFormat="1" customHeight="1" s="36">
      <c r="A344" s="4" t="inlineStr">
        <is>
          <t>Lexdale-US</t>
        </is>
      </c>
      <c r="B344" s="4" t="inlineStr">
        <is>
          <t>Lexdale美国站</t>
        </is>
      </c>
      <c r="C344" s="4">
        <f>B344&amp;D344</f>
        <v/>
      </c>
      <c r="D344" s="4" t="inlineStr">
        <is>
          <t>LD8909ORB</t>
        </is>
      </c>
      <c r="E344" s="4" t="inlineStr">
        <is>
          <t>223F0089OB1</t>
        </is>
      </c>
      <c r="F344" s="4" t="inlineStr">
        <is>
          <t>89系列五件套缸边浴缸龙头拉丝红古铜</t>
        </is>
      </c>
      <c r="G344" s="4" t="inlineStr">
        <is>
          <t>陈巧娴</t>
        </is>
      </c>
      <c r="H344" s="4" t="inlineStr">
        <is>
          <t>缸边浴缸</t>
        </is>
      </c>
      <c r="I344" s="12" t="inlineStr">
        <is>
          <t>是</t>
        </is>
      </c>
      <c r="J344" s="34" t="n">
        <v>45417</v>
      </c>
      <c r="K344" s="34" t="n">
        <v>45751</v>
      </c>
      <c r="L344" s="0">
        <f>DATEDIF(J344,$L$1,"M")</f>
        <v/>
      </c>
      <c r="M344" s="0">
        <f>IF(L344&lt;18,"新品期",IF(L344&lt;=36,"老品期","衰退期"))</f>
        <v/>
      </c>
      <c r="N344" s="36" t="inlineStr">
        <is>
          <t>2025年6月（含6月）前艺璇负责</t>
        </is>
      </c>
    </row>
    <row r="345" ht="15" customFormat="1" customHeight="1" s="36">
      <c r="A345" s="4" t="inlineStr">
        <is>
          <t>HANGORO-US</t>
        </is>
      </c>
      <c r="B345" s="4" t="inlineStr">
        <is>
          <t>Hangoro美国站</t>
        </is>
      </c>
      <c r="C345" s="4">
        <f>B345&amp;D345</f>
        <v/>
      </c>
      <c r="D345" s="4" t="inlineStr">
        <is>
          <t>AP041ORB</t>
        </is>
      </c>
      <c r="E345" s="4" t="inlineStr">
        <is>
          <t>AP041OB1</t>
        </is>
      </c>
      <c r="F345" s="4" t="inlineStr">
        <is>
          <t>AP041弹跳下水器拉丝古铜色</t>
        </is>
      </c>
      <c r="G345" s="4" t="inlineStr">
        <is>
          <t>童劲威</t>
        </is>
      </c>
      <c r="H345" s="4" t="inlineStr">
        <is>
          <t>面盆</t>
        </is>
      </c>
      <c r="I345" s="12" t="inlineStr">
        <is>
          <t>否</t>
        </is>
      </c>
      <c r="J345" s="34" t="n">
        <v>44786</v>
      </c>
      <c r="K345" s="34" t="n">
        <v>44786</v>
      </c>
      <c r="L345" s="0">
        <f>DATEDIF(J345,$L$1,"M")</f>
        <v/>
      </c>
      <c r="M345" s="0">
        <f>IF(L345&lt;18,"新品期",IF(L345&lt;=36,"老品期","衰退期"))</f>
        <v/>
      </c>
      <c r="N345" s="36" t="inlineStr">
        <is>
          <t>配件</t>
        </is>
      </c>
    </row>
    <row r="346" ht="15" customFormat="1" customHeight="1" s="36">
      <c r="A346" s="4" t="inlineStr">
        <is>
          <t>Lexdale-US</t>
        </is>
      </c>
      <c r="B346" s="4" t="inlineStr">
        <is>
          <t>Lexdale美国站</t>
        </is>
      </c>
      <c r="C346" s="4">
        <f>B346&amp;D346</f>
        <v/>
      </c>
      <c r="D346" s="4" t="inlineStr">
        <is>
          <t>LD-9901BG-ZZ</t>
        </is>
      </c>
      <c r="E346" s="4" t="inlineStr">
        <is>
          <t>110F0099BG1</t>
        </is>
      </c>
      <c r="F346" s="4" t="inlineStr">
        <is>
          <t>99系列矮身单孔正开面盆龙头拉丝钛金封油</t>
        </is>
      </c>
      <c r="G346" s="4" t="inlineStr">
        <is>
          <t>童劲威</t>
        </is>
      </c>
      <c r="H346" s="4" t="inlineStr">
        <is>
          <t>面盆</t>
        </is>
      </c>
      <c r="I346" s="12" t="inlineStr">
        <is>
          <t>是</t>
        </is>
      </c>
      <c r="J346" s="34" t="n">
        <v>45402</v>
      </c>
      <c r="K346" s="34" t="n">
        <v>45402</v>
      </c>
      <c r="L346" s="0">
        <f>DATEDIF(J346,$L$1,"M")</f>
        <v/>
      </c>
      <c r="M346" s="0">
        <f>IF(L346&lt;18,"新品期",IF(L346&lt;=36,"老品期","衰退期"))</f>
        <v/>
      </c>
      <c r="N346" s="36" t="inlineStr">
        <is>
          <t>种子链接</t>
        </is>
      </c>
    </row>
    <row r="347" ht="15" customFormat="1" customHeight="1" s="36">
      <c r="A347" s="4" t="inlineStr">
        <is>
          <t>Lexdale-US</t>
        </is>
      </c>
      <c r="B347" s="4" t="inlineStr">
        <is>
          <t>Lexdale美国站</t>
        </is>
      </c>
      <c r="C347" s="4">
        <f>B347&amp;D347</f>
        <v/>
      </c>
      <c r="D347" s="4" t="inlineStr">
        <is>
          <t>LD-9901BK1-ZZ</t>
        </is>
      </c>
      <c r="E347" s="4" t="inlineStr">
        <is>
          <t>110F0099BK1</t>
        </is>
      </c>
      <c r="F347" s="4" t="inlineStr">
        <is>
          <t>99系列矮身单孔正开面盆龙头电泳黑</t>
        </is>
      </c>
      <c r="G347" s="4" t="inlineStr">
        <is>
          <t>童劲威</t>
        </is>
      </c>
      <c r="H347" s="4" t="inlineStr">
        <is>
          <t>面盆</t>
        </is>
      </c>
      <c r="I347" s="12" t="inlineStr">
        <is>
          <t>是</t>
        </is>
      </c>
      <c r="J347" s="34" t="n">
        <v>45402</v>
      </c>
      <c r="K347" s="34" t="n">
        <v>45402</v>
      </c>
      <c r="L347" s="0">
        <f>DATEDIF(J347,$L$1,"M")</f>
        <v/>
      </c>
      <c r="M347" s="0">
        <f>IF(L347&lt;18,"新品期",IF(L347&lt;=36,"老品期","衰退期"))</f>
        <v/>
      </c>
      <c r="N347" s="36" t="inlineStr">
        <is>
          <t>种子链接</t>
        </is>
      </c>
    </row>
    <row r="348" ht="15" customFormat="1" customHeight="1" s="36">
      <c r="A348" s="4" t="inlineStr">
        <is>
          <t>Lexdale-US</t>
        </is>
      </c>
      <c r="B348" s="4" t="inlineStr">
        <is>
          <t>Lexdale美国站</t>
        </is>
      </c>
      <c r="C348" s="4">
        <f>B348&amp;D348</f>
        <v/>
      </c>
      <c r="D348" s="4" t="inlineStr">
        <is>
          <t>LD-9901BK2-ZZ</t>
        </is>
      </c>
      <c r="E348" s="4" t="inlineStr">
        <is>
          <t>110F0099BK1</t>
        </is>
      </c>
      <c r="F348" s="4" t="inlineStr">
        <is>
          <t>99系列矮身单孔正开面盆龙头电泳黑</t>
        </is>
      </c>
      <c r="G348" s="4" t="inlineStr">
        <is>
          <t>童劲威</t>
        </is>
      </c>
      <c r="H348" s="4" t="inlineStr">
        <is>
          <t>面盆</t>
        </is>
      </c>
      <c r="I348" s="12" t="inlineStr">
        <is>
          <t>是</t>
        </is>
      </c>
      <c r="J348" s="34" t="n">
        <v>45402</v>
      </c>
      <c r="K348" s="34" t="n">
        <v>45402</v>
      </c>
      <c r="L348" s="0">
        <f>DATEDIF(J348,$L$1,"M")</f>
        <v/>
      </c>
      <c r="M348" s="0">
        <f>IF(L348&lt;18,"新品期",IF(L348&lt;=36,"老品期","衰退期"))</f>
        <v/>
      </c>
      <c r="N348" s="36" t="inlineStr">
        <is>
          <t>种子链接</t>
        </is>
      </c>
    </row>
    <row r="349" ht="15" customFormat="1" customHeight="1" s="36">
      <c r="A349" s="4" t="inlineStr">
        <is>
          <t>Lexdale-US</t>
        </is>
      </c>
      <c r="B349" s="4" t="inlineStr">
        <is>
          <t>Lexdale美国站</t>
        </is>
      </c>
      <c r="C349" s="4">
        <f>B349&amp;D349</f>
        <v/>
      </c>
      <c r="D349" s="4" t="inlineStr">
        <is>
          <t>LD-9901ORB-ZZ</t>
        </is>
      </c>
      <c r="E349" s="4" t="inlineStr">
        <is>
          <t>110F0099OB1</t>
        </is>
      </c>
      <c r="F349" s="4" t="inlineStr">
        <is>
          <t>99系列矮身单孔正开面盆龙头 拉丝古铜色</t>
        </is>
      </c>
      <c r="G349" s="4" t="inlineStr">
        <is>
          <t>童劲威</t>
        </is>
      </c>
      <c r="H349" s="4" t="inlineStr">
        <is>
          <t>面盆</t>
        </is>
      </c>
      <c r="I349" s="12" t="inlineStr">
        <is>
          <t>是</t>
        </is>
      </c>
      <c r="J349" s="34" t="n">
        <v>45402</v>
      </c>
      <c r="K349" s="34" t="n">
        <v>45402</v>
      </c>
      <c r="L349" s="0">
        <f>DATEDIF(J349,$L$1,"M")</f>
        <v/>
      </c>
      <c r="M349" s="0">
        <f>IF(L349&lt;18,"新品期",IF(L349&lt;=36,"老品期","衰退期"))</f>
        <v/>
      </c>
      <c r="N349" s="36" t="inlineStr">
        <is>
          <t>种子链接</t>
        </is>
      </c>
    </row>
    <row r="350" ht="15" customFormat="1" customHeight="1" s="36">
      <c r="A350" s="4" t="inlineStr">
        <is>
          <t>Lexdale-US</t>
        </is>
      </c>
      <c r="B350" s="4" t="inlineStr">
        <is>
          <t>Lexdale美国站</t>
        </is>
      </c>
      <c r="C350" s="4">
        <f>B350&amp;D350</f>
        <v/>
      </c>
      <c r="D350" s="4" t="inlineStr">
        <is>
          <t>LD8911BG</t>
        </is>
      </c>
      <c r="E350" s="4" t="inlineStr">
        <is>
          <t>211F0089BG1</t>
        </is>
      </c>
      <c r="F350" s="4" t="inlineStr">
        <is>
          <t>8911落地浴缸龙头拉丝钛金封油</t>
        </is>
      </c>
      <c r="G350" s="4" t="inlineStr">
        <is>
          <t>刘皓</t>
        </is>
      </c>
      <c r="H350" s="4" t="inlineStr">
        <is>
          <t>落地浴缸</t>
        </is>
      </c>
      <c r="I350" s="12" t="inlineStr">
        <is>
          <t>否</t>
        </is>
      </c>
      <c r="J350" s="34" t="n">
        <v>45717</v>
      </c>
      <c r="K350" s="13" t="n">
        <v>45806</v>
      </c>
      <c r="L350" s="0">
        <f>DATEDIF(J350,$L$1,"M")</f>
        <v/>
      </c>
      <c r="M350" s="0">
        <f>IF(L350&lt;18,"新品期",IF(L350&lt;=36,"老品期","衰退期"))</f>
        <v/>
      </c>
      <c r="N350" s="36" t="inlineStr">
        <is>
          <t>2026年4月17日之前王幸负责</t>
        </is>
      </c>
    </row>
    <row r="351" ht="15" customFormat="1" customHeight="1" s="36">
      <c r="A351" s="4" t="inlineStr">
        <is>
          <t>Lexdale-US</t>
        </is>
      </c>
      <c r="B351" s="4" t="inlineStr">
        <is>
          <t>Lexdale美国站</t>
        </is>
      </c>
      <c r="C351" s="4">
        <f>B351&amp;D351</f>
        <v/>
      </c>
      <c r="D351" s="4" t="inlineStr">
        <is>
          <t>LD8911BK</t>
        </is>
      </c>
      <c r="E351" s="4" t="inlineStr">
        <is>
          <t>211F0089BK1</t>
        </is>
      </c>
      <c r="F351" s="4" t="inlineStr">
        <is>
          <t>8911落地浴缸龙头哑黑</t>
        </is>
      </c>
      <c r="G351" s="4" t="inlineStr">
        <is>
          <t>刘皓</t>
        </is>
      </c>
      <c r="H351" s="4" t="inlineStr">
        <is>
          <t>落地浴缸</t>
        </is>
      </c>
      <c r="I351" s="12" t="inlineStr">
        <is>
          <t>否</t>
        </is>
      </c>
      <c r="J351" s="34" t="n">
        <v>45717</v>
      </c>
      <c r="K351" s="13" t="n">
        <v>45806</v>
      </c>
      <c r="L351" s="0">
        <f>DATEDIF(J351,$L$1,"M")</f>
        <v/>
      </c>
      <c r="M351" s="0">
        <f>IF(L351&lt;18,"新品期",IF(L351&lt;=36,"老品期","衰退期"))</f>
        <v/>
      </c>
      <c r="N351" s="36" t="inlineStr">
        <is>
          <t>2026年4月17日之前王幸负责</t>
        </is>
      </c>
    </row>
    <row r="352" ht="15" customFormat="1" customHeight="1" s="36">
      <c r="A352" s="4" t="inlineStr">
        <is>
          <t>Lexdale-CA</t>
        </is>
      </c>
      <c r="B352" s="4" t="inlineStr">
        <is>
          <t>Lexdale加拿大站</t>
        </is>
      </c>
      <c r="C352" s="4">
        <f>B352&amp;D352</f>
        <v/>
      </c>
      <c r="D352" s="4" t="inlineStr">
        <is>
          <t>LD8911BN</t>
        </is>
      </c>
      <c r="E352" s="4" t="inlineStr">
        <is>
          <t>211F0089BN1</t>
        </is>
      </c>
      <c r="F352" s="4" t="inlineStr">
        <is>
          <t>8911落地浴缸龙头拉丝封油</t>
        </is>
      </c>
      <c r="G352" s="4" t="inlineStr">
        <is>
          <t>刘皓</t>
        </is>
      </c>
      <c r="H352" s="4" t="inlineStr">
        <is>
          <t>落地浴缸</t>
        </is>
      </c>
      <c r="I352" s="12" t="inlineStr">
        <is>
          <t>否</t>
        </is>
      </c>
      <c r="J352" s="34" t="n">
        <v>45717</v>
      </c>
      <c r="K352" s="13" t="n">
        <v>45806</v>
      </c>
      <c r="L352" s="0">
        <f>DATEDIF(J352,$L$1,"M")</f>
        <v/>
      </c>
      <c r="M352" s="0">
        <f>IF(L352&lt;18,"新品期",IF(L352&lt;=36,"老品期","衰退期"))</f>
        <v/>
      </c>
      <c r="N352" s="36" t="inlineStr">
        <is>
          <t>2026年4月17日之前王幸负责</t>
        </is>
      </c>
    </row>
    <row r="353" ht="15" customFormat="1" customHeight="1" s="36">
      <c r="A353" s="4" t="inlineStr">
        <is>
          <t>Lexdale-US</t>
        </is>
      </c>
      <c r="B353" s="4" t="inlineStr">
        <is>
          <t>Lexdale美国站</t>
        </is>
      </c>
      <c r="C353" s="4">
        <f>B353&amp;D353</f>
        <v/>
      </c>
      <c r="D353" s="4" t="inlineStr">
        <is>
          <t>LD8911CP</t>
        </is>
      </c>
      <c r="E353" s="4" t="inlineStr">
        <is>
          <t>211F0089CP1</t>
        </is>
      </c>
      <c r="F353" s="4" t="inlineStr">
        <is>
          <t>8911落地浴缸龙头铬色</t>
        </is>
      </c>
      <c r="G353" s="4" t="inlineStr">
        <is>
          <t>刘皓</t>
        </is>
      </c>
      <c r="H353" s="4" t="inlineStr">
        <is>
          <t>落地浴缸</t>
        </is>
      </c>
      <c r="I353" s="12" t="inlineStr">
        <is>
          <t>否</t>
        </is>
      </c>
      <c r="J353" s="34" t="n">
        <v>45717</v>
      </c>
      <c r="K353" s="13" t="n">
        <v>45806</v>
      </c>
      <c r="L353" s="0">
        <f>DATEDIF(J353,$L$1,"M")</f>
        <v/>
      </c>
      <c r="M353" s="0">
        <f>IF(L353&lt;18,"新品期",IF(L353&lt;=36,"老品期","衰退期"))</f>
        <v/>
      </c>
      <c r="N353" s="36" t="inlineStr">
        <is>
          <t>2026年4月17日之前王幸负责</t>
        </is>
      </c>
    </row>
    <row r="354" ht="15" customFormat="1" customHeight="1" s="36">
      <c r="A354" s="4" t="inlineStr">
        <is>
          <t>Lexdale-US</t>
        </is>
      </c>
      <c r="B354" s="4" t="inlineStr">
        <is>
          <t>Lexdale美国站</t>
        </is>
      </c>
      <c r="C354" s="4">
        <f>B354&amp;D354</f>
        <v/>
      </c>
      <c r="D354" s="4" t="inlineStr">
        <is>
          <t>LD8911ORB</t>
        </is>
      </c>
      <c r="E354" s="4" t="inlineStr">
        <is>
          <t>211F0089OB1</t>
        </is>
      </c>
      <c r="F354" s="4" t="inlineStr">
        <is>
          <t>8911落地浴缸龙头拉丝古铜色</t>
        </is>
      </c>
      <c r="G354" s="4" t="inlineStr">
        <is>
          <t>刘皓</t>
        </is>
      </c>
      <c r="H354" s="4" t="inlineStr">
        <is>
          <t>落地浴缸</t>
        </is>
      </c>
      <c r="I354" s="12" t="inlineStr">
        <is>
          <t>否</t>
        </is>
      </c>
      <c r="J354" s="34" t="n">
        <v>45717</v>
      </c>
      <c r="K354" s="13" t="n">
        <v>45806</v>
      </c>
      <c r="L354" s="0">
        <f>DATEDIF(J354,$L$1,"M")</f>
        <v/>
      </c>
      <c r="M354" s="0">
        <f>IF(L354&lt;18,"新品期",IF(L354&lt;=36,"老品期","衰退期"))</f>
        <v/>
      </c>
      <c r="N354" s="36" t="inlineStr">
        <is>
          <t>2026年4月17日之前王幸负责</t>
        </is>
      </c>
    </row>
    <row r="355" ht="15" customFormat="1" customHeight="1" s="36">
      <c r="A355" s="4" t="inlineStr">
        <is>
          <t>Lexdale-US</t>
        </is>
      </c>
      <c r="B355" s="4" t="inlineStr">
        <is>
          <t>Lexdale美国站</t>
        </is>
      </c>
      <c r="C355" s="4">
        <f>B355&amp;D355</f>
        <v/>
      </c>
      <c r="D355" s="4" t="inlineStr">
        <is>
          <t>MP101BG LD1</t>
        </is>
      </c>
      <c r="E355" s="4" t="inlineStr">
        <is>
          <t>110F0101BG1</t>
        </is>
      </c>
      <c r="F355" s="4" t="inlineStr">
        <is>
          <t>0101矮身单孔正开面盆龙头拉丝钛金封油</t>
        </is>
      </c>
      <c r="G355" s="4" t="inlineStr">
        <is>
          <t>曾志发</t>
        </is>
      </c>
      <c r="H355" s="4" t="inlineStr">
        <is>
          <t>面盆</t>
        </is>
      </c>
      <c r="I355" s="12" t="inlineStr">
        <is>
          <t>是</t>
        </is>
      </c>
      <c r="J355" s="34" t="n">
        <v>44560</v>
      </c>
      <c r="K355" s="34" t="n">
        <v>44560</v>
      </c>
      <c r="L355" s="0">
        <f>DATEDIF(J355,$L$1,"M")</f>
        <v/>
      </c>
      <c r="M355" s="0">
        <f>IF(L355&lt;18,"新品期",IF(L355&lt;=36,"老品期","衰退期"))</f>
        <v/>
      </c>
      <c r="N355" s="36" t="inlineStr">
        <is>
          <t>清完不卖，2025年9月1号以前梁丽梅负责</t>
        </is>
      </c>
    </row>
    <row r="356" ht="15" customFormat="1" customHeight="1" s="36">
      <c r="A356" s="4" t="inlineStr">
        <is>
          <t>Lexdale-US</t>
        </is>
      </c>
      <c r="B356" s="4" t="inlineStr">
        <is>
          <t>Lexdale美国站</t>
        </is>
      </c>
      <c r="C356" s="4">
        <f>B356&amp;D356</f>
        <v/>
      </c>
      <c r="D356" s="4" t="inlineStr">
        <is>
          <t>MP101BK LD1</t>
        </is>
      </c>
      <c r="E356" s="4" t="inlineStr">
        <is>
          <t>110F0101BK1</t>
        </is>
      </c>
      <c r="F356" s="4" t="inlineStr">
        <is>
          <t>0101矮身单孔正开面盆龙头电泳黑</t>
        </is>
      </c>
      <c r="G356" s="4" t="inlineStr">
        <is>
          <t>曾志发</t>
        </is>
      </c>
      <c r="H356" s="4" t="inlineStr">
        <is>
          <t>面盆</t>
        </is>
      </c>
      <c r="I356" s="12" t="inlineStr">
        <is>
          <t>是</t>
        </is>
      </c>
      <c r="J356" s="34" t="n">
        <v>44560</v>
      </c>
      <c r="K356" s="34" t="n">
        <v>44560</v>
      </c>
      <c r="L356" s="0">
        <f>DATEDIF(J356,$L$1,"M")</f>
        <v/>
      </c>
      <c r="M356" s="0">
        <f>IF(L356&lt;18,"新品期",IF(L356&lt;=36,"老品期","衰退期"))</f>
        <v/>
      </c>
      <c r="N356" s="36" t="inlineStr">
        <is>
          <t>清完不卖，2025年9月1号以前梁丽梅负责</t>
        </is>
      </c>
    </row>
    <row r="357" ht="15" customFormat="1" customHeight="1" s="36">
      <c r="A357" s="4" t="inlineStr">
        <is>
          <t>Lexdale-US</t>
        </is>
      </c>
      <c r="B357" s="4" t="inlineStr">
        <is>
          <t>Lexdale美国站</t>
        </is>
      </c>
      <c r="C357" s="4">
        <f>B357&amp;D357</f>
        <v/>
      </c>
      <c r="D357" s="4" t="inlineStr">
        <is>
          <t>MP101BN LD1</t>
        </is>
      </c>
      <c r="E357" s="4" t="inlineStr">
        <is>
          <t>110F0101BN2</t>
        </is>
      </c>
      <c r="F357" s="4" t="inlineStr">
        <is>
          <t>0101矮身单孔正开面盆龙头拉丝封半哑油</t>
        </is>
      </c>
      <c r="G357" s="4" t="inlineStr">
        <is>
          <t>曾志发</t>
        </is>
      </c>
      <c r="H357" s="4" t="inlineStr">
        <is>
          <t>面盆</t>
        </is>
      </c>
      <c r="I357" s="12" t="inlineStr">
        <is>
          <t>是</t>
        </is>
      </c>
      <c r="J357" s="34" t="n">
        <v>44560</v>
      </c>
      <c r="K357" s="34" t="n">
        <v>44560</v>
      </c>
      <c r="L357" s="0">
        <f>DATEDIF(J357,$L$1,"M")</f>
        <v/>
      </c>
      <c r="M357" s="0">
        <f>IF(L357&lt;18,"新品期",IF(L357&lt;=36,"老品期","衰退期"))</f>
        <v/>
      </c>
      <c r="N357" s="36" t="inlineStr">
        <is>
          <t>清完不卖，2025年9月1号以前梁丽梅负责</t>
        </is>
      </c>
    </row>
    <row r="358" ht="15" customFormat="1" customHeight="1" s="36">
      <c r="A358" s="4" t="inlineStr">
        <is>
          <t>Lexdale-US</t>
        </is>
      </c>
      <c r="B358" s="4" t="inlineStr">
        <is>
          <t>Lexdale美国站</t>
        </is>
      </c>
      <c r="C358" s="4">
        <f>B358&amp;D358</f>
        <v/>
      </c>
      <c r="D358" s="4" t="inlineStr">
        <is>
          <t>MP101CP LD1</t>
        </is>
      </c>
      <c r="E358" s="4" t="inlineStr">
        <is>
          <t>110F0101CP1</t>
        </is>
      </c>
      <c r="F358" s="4" t="inlineStr">
        <is>
          <t>0101矮身单孔正开面盆龙头铬</t>
        </is>
      </c>
      <c r="G358" s="4" t="inlineStr">
        <is>
          <t>曾志发</t>
        </is>
      </c>
      <c r="H358" s="4" t="inlineStr">
        <is>
          <t>面盆</t>
        </is>
      </c>
      <c r="I358" s="12" t="inlineStr">
        <is>
          <t>是</t>
        </is>
      </c>
      <c r="J358" s="34" t="n">
        <v>44560</v>
      </c>
      <c r="K358" s="34" t="n">
        <v>44560</v>
      </c>
      <c r="L358" s="0">
        <f>DATEDIF(J358,$L$1,"M")</f>
        <v/>
      </c>
      <c r="M358" s="0">
        <f>IF(L358&lt;18,"新品期",IF(L358&lt;=36,"老品期","衰退期"))</f>
        <v/>
      </c>
      <c r="N358" s="36" t="inlineStr">
        <is>
          <t>清完不卖，2025年9月1号以前梁丽梅负责</t>
        </is>
      </c>
    </row>
    <row r="359" ht="15" customFormat="1" customHeight="1" s="36">
      <c r="A359" s="4" t="inlineStr">
        <is>
          <t>Lexdale-US</t>
        </is>
      </c>
      <c r="B359" s="4" t="inlineStr">
        <is>
          <t>Lexdale美国站</t>
        </is>
      </c>
      <c r="C359" s="4">
        <f>B359&amp;D359</f>
        <v/>
      </c>
      <c r="D359" s="4" t="inlineStr">
        <is>
          <t>MP101ORB LD1</t>
        </is>
      </c>
      <c r="E359" s="4" t="inlineStr">
        <is>
          <t>110F0101OB1</t>
        </is>
      </c>
      <c r="F359" s="4" t="inlineStr">
        <is>
          <t>0101矮身单孔正开面盆龙头拉丝古铜色</t>
        </is>
      </c>
      <c r="G359" s="4" t="inlineStr">
        <is>
          <t>曾志发</t>
        </is>
      </c>
      <c r="H359" s="4" t="inlineStr">
        <is>
          <t>面盆</t>
        </is>
      </c>
      <c r="I359" s="12" t="inlineStr">
        <is>
          <t>是</t>
        </is>
      </c>
      <c r="J359" s="34" t="n">
        <v>44560</v>
      </c>
      <c r="K359" s="34" t="n">
        <v>44560</v>
      </c>
      <c r="L359" s="0">
        <f>DATEDIF(J359,$L$1,"M")</f>
        <v/>
      </c>
      <c r="M359" s="0">
        <f>IF(L359&lt;18,"新品期",IF(L359&lt;=36,"老品期","衰退期"))</f>
        <v/>
      </c>
      <c r="N359" s="36" t="inlineStr">
        <is>
          <t>清完不卖，2025年9月1号以前梁丽梅负责</t>
        </is>
      </c>
    </row>
    <row r="360" ht="15" customFormat="1" customHeight="1" s="36">
      <c r="A360" s="4" t="inlineStr">
        <is>
          <t>Lexdale-US</t>
        </is>
      </c>
      <c r="B360" s="4" t="inlineStr">
        <is>
          <t>Lexdale美国站</t>
        </is>
      </c>
      <c r="C360" s="4">
        <f>B360&amp;D360</f>
        <v/>
      </c>
      <c r="D360" s="4" t="inlineStr">
        <is>
          <t>MP102BG LD1</t>
        </is>
      </c>
      <c r="E360" s="4" t="inlineStr">
        <is>
          <t>120F0102BG1</t>
        </is>
      </c>
      <c r="F360" s="4" t="inlineStr">
        <is>
          <t>0102高身单孔正开面盆龙头拉丝钛金封油</t>
        </is>
      </c>
      <c r="G360" s="4" t="inlineStr">
        <is>
          <t>曾志发</t>
        </is>
      </c>
      <c r="H360" s="4" t="inlineStr">
        <is>
          <t>面盆</t>
        </is>
      </c>
      <c r="I360" s="12" t="inlineStr">
        <is>
          <t>是</t>
        </is>
      </c>
      <c r="J360" s="34" t="n">
        <v>44319</v>
      </c>
      <c r="K360" s="34" t="n">
        <v>44319</v>
      </c>
      <c r="L360" s="0">
        <f>DATEDIF(J360,$L$1,"M")</f>
        <v/>
      </c>
      <c r="M360" s="0">
        <f>IF(L360&lt;18,"新品期",IF(L360&lt;=36,"老品期","衰退期"))</f>
        <v/>
      </c>
      <c r="N360" s="36" t="inlineStr">
        <is>
          <t>清完不卖，2025年9月1号以前梁丽梅负责</t>
        </is>
      </c>
    </row>
    <row r="361" ht="15" customFormat="1" customHeight="1" s="36">
      <c r="A361" s="4" t="inlineStr">
        <is>
          <t>Lexdale-US</t>
        </is>
      </c>
      <c r="B361" s="4" t="inlineStr">
        <is>
          <t>Lexdale美国站</t>
        </is>
      </c>
      <c r="C361" s="4">
        <f>B361&amp;D361</f>
        <v/>
      </c>
      <c r="D361" s="4" t="inlineStr">
        <is>
          <t>MP102BK LD1</t>
        </is>
      </c>
      <c r="E361" s="4" t="inlineStr">
        <is>
          <t>120F0102BK1</t>
        </is>
      </c>
      <c r="F361" s="4" t="inlineStr">
        <is>
          <t>0102高身单孔正开面盆龙头电泳黑</t>
        </is>
      </c>
      <c r="G361" s="4" t="inlineStr">
        <is>
          <t>曾志发</t>
        </is>
      </c>
      <c r="H361" s="4" t="inlineStr">
        <is>
          <t>面盆</t>
        </is>
      </c>
      <c r="I361" s="12" t="inlineStr">
        <is>
          <t>是</t>
        </is>
      </c>
      <c r="J361" s="34" t="n">
        <v>44319</v>
      </c>
      <c r="K361" s="34" t="n">
        <v>44319</v>
      </c>
      <c r="L361" s="0">
        <f>DATEDIF(J361,$L$1,"M")</f>
        <v/>
      </c>
      <c r="M361" s="0">
        <f>IF(L361&lt;18,"新品期",IF(L361&lt;=36,"老品期","衰退期"))</f>
        <v/>
      </c>
      <c r="N361" s="36" t="inlineStr">
        <is>
          <t>清完不卖，2025年9月1号以前梁丽梅负责</t>
        </is>
      </c>
    </row>
    <row r="362" ht="15" customFormat="1" customHeight="1" s="36">
      <c r="A362" s="4" t="inlineStr">
        <is>
          <t>Lexdale-US</t>
        </is>
      </c>
      <c r="B362" s="4" t="inlineStr">
        <is>
          <t>Lexdale美国站</t>
        </is>
      </c>
      <c r="C362" s="4">
        <f>B362&amp;D362</f>
        <v/>
      </c>
      <c r="D362" s="4" t="inlineStr">
        <is>
          <t>MP102BN LD1</t>
        </is>
      </c>
      <c r="E362" s="4" t="inlineStr">
        <is>
          <t>120F0102BN2</t>
        </is>
      </c>
      <c r="F362" s="4" t="inlineStr">
        <is>
          <t>0102高身单孔正开面盆龙头拉丝封半哑油</t>
        </is>
      </c>
      <c r="G362" s="4" t="inlineStr">
        <is>
          <t>曾志发</t>
        </is>
      </c>
      <c r="H362" s="4" t="inlineStr">
        <is>
          <t>面盆</t>
        </is>
      </c>
      <c r="I362" s="12" t="inlineStr">
        <is>
          <t>是</t>
        </is>
      </c>
      <c r="J362" s="34" t="n">
        <v>44319</v>
      </c>
      <c r="K362" s="34" t="n">
        <v>44319</v>
      </c>
      <c r="L362" s="0">
        <f>DATEDIF(J362,$L$1,"M")</f>
        <v/>
      </c>
      <c r="M362" s="0">
        <f>IF(L362&lt;18,"新品期",IF(L362&lt;=36,"老品期","衰退期"))</f>
        <v/>
      </c>
      <c r="N362" s="36" t="inlineStr">
        <is>
          <t>清完不卖，2025年9月1号以前梁丽梅负责</t>
        </is>
      </c>
    </row>
    <row r="363" ht="15" customFormat="1" customHeight="1" s="36">
      <c r="A363" s="4" t="inlineStr">
        <is>
          <t>Lexdale-US</t>
        </is>
      </c>
      <c r="B363" s="4" t="inlineStr">
        <is>
          <t>Lexdale美国站</t>
        </is>
      </c>
      <c r="C363" s="4">
        <f>B363&amp;D363</f>
        <v/>
      </c>
      <c r="D363" s="4" t="inlineStr">
        <is>
          <t>MP102CP LD1</t>
        </is>
      </c>
      <c r="E363" s="4" t="inlineStr">
        <is>
          <t>120F0102CP1</t>
        </is>
      </c>
      <c r="F363" s="4" t="inlineStr">
        <is>
          <t>0102高身单孔正开面盆龙头铬</t>
        </is>
      </c>
      <c r="G363" s="4" t="inlineStr">
        <is>
          <t>曾志发</t>
        </is>
      </c>
      <c r="H363" s="4" t="inlineStr">
        <is>
          <t>面盆</t>
        </is>
      </c>
      <c r="I363" s="12" t="inlineStr">
        <is>
          <t>是</t>
        </is>
      </c>
      <c r="J363" s="34" t="n">
        <v>44319</v>
      </c>
      <c r="K363" s="34" t="n">
        <v>44319</v>
      </c>
      <c r="L363" s="0">
        <f>DATEDIF(J363,$L$1,"M")</f>
        <v/>
      </c>
      <c r="M363" s="0">
        <f>IF(L363&lt;18,"新品期",IF(L363&lt;=36,"老品期","衰退期"))</f>
        <v/>
      </c>
      <c r="N363" s="36" t="inlineStr">
        <is>
          <t>清完不卖，2025年9月1号以前梁丽梅负责</t>
        </is>
      </c>
    </row>
    <row r="364" ht="15" customFormat="1" customHeight="1" s="36">
      <c r="A364" s="4" t="inlineStr">
        <is>
          <t>Lexdale-US</t>
        </is>
      </c>
      <c r="B364" s="4" t="inlineStr">
        <is>
          <t>Lexdale美国站</t>
        </is>
      </c>
      <c r="C364" s="4">
        <f>B364&amp;D364</f>
        <v/>
      </c>
      <c r="D364" s="4" t="inlineStr">
        <is>
          <t>MP102ORB LD1</t>
        </is>
      </c>
      <c r="E364" s="4" t="inlineStr">
        <is>
          <t>120F0102OB1</t>
        </is>
      </c>
      <c r="F364" s="4" t="inlineStr">
        <is>
          <t>0102高身单孔正开面盆龙头拉丝古铜色</t>
        </is>
      </c>
      <c r="G364" s="4" t="inlineStr">
        <is>
          <t>曾志发</t>
        </is>
      </c>
      <c r="H364" s="4" t="inlineStr">
        <is>
          <t>面盆</t>
        </is>
      </c>
      <c r="I364" s="12" t="inlineStr">
        <is>
          <t>是</t>
        </is>
      </c>
      <c r="J364" s="34" t="n">
        <v>44319</v>
      </c>
      <c r="K364" s="34" t="n">
        <v>44319</v>
      </c>
      <c r="L364" s="0">
        <f>DATEDIF(J364,$L$1,"M")</f>
        <v/>
      </c>
      <c r="M364" s="0">
        <f>IF(L364&lt;18,"新品期",IF(L364&lt;=36,"老品期","衰退期"))</f>
        <v/>
      </c>
      <c r="N364" s="36" t="inlineStr">
        <is>
          <t>清完不卖，2025年9月1号以前梁丽梅负责</t>
        </is>
      </c>
    </row>
    <row r="365" ht="15" customFormat="1" customHeight="1" s="36">
      <c r="A365" s="4" t="inlineStr">
        <is>
          <t>Lexdale-US</t>
        </is>
      </c>
      <c r="B365" s="4" t="inlineStr">
        <is>
          <t>Lexdale美国站</t>
        </is>
      </c>
      <c r="C365" s="4">
        <f>B365&amp;D365</f>
        <v/>
      </c>
      <c r="D365" s="4" t="inlineStr">
        <is>
          <t>MP103BG LD1</t>
        </is>
      </c>
      <c r="E365" s="4" t="inlineStr">
        <is>
          <t>130F0103BG1</t>
        </is>
      </c>
      <c r="F365" s="4" t="inlineStr">
        <is>
          <t>0103四寸连体面盆龙头拉丝钛金封油</t>
        </is>
      </c>
      <c r="G365" s="4" t="inlineStr">
        <is>
          <t>曾志发</t>
        </is>
      </c>
      <c r="H365" s="4" t="inlineStr">
        <is>
          <t>面盆</t>
        </is>
      </c>
      <c r="I365" s="12" t="inlineStr">
        <is>
          <t>是</t>
        </is>
      </c>
      <c r="J365" s="34" t="n">
        <v>44285</v>
      </c>
      <c r="K365" s="34" t="n">
        <v>44285</v>
      </c>
      <c r="L365" s="0">
        <f>DATEDIF(J365,$L$1,"M")</f>
        <v/>
      </c>
      <c r="M365" s="0">
        <f>IF(L365&lt;18,"新品期",IF(L365&lt;=36,"老品期","衰退期"))</f>
        <v/>
      </c>
      <c r="N365" s="36" t="inlineStr">
        <is>
          <t>清完不卖，2025年9月1号以前梁丽梅负责</t>
        </is>
      </c>
    </row>
    <row r="366" ht="15" customFormat="1" customHeight="1" s="36">
      <c r="A366" s="4" t="inlineStr">
        <is>
          <t>Lexdale-US</t>
        </is>
      </c>
      <c r="B366" s="4" t="inlineStr">
        <is>
          <t>Lexdale美国站</t>
        </is>
      </c>
      <c r="C366" s="4">
        <f>B366&amp;D366</f>
        <v/>
      </c>
      <c r="D366" s="4" t="inlineStr">
        <is>
          <t>MP103BK LD1</t>
        </is>
      </c>
      <c r="E366" s="4" t="inlineStr">
        <is>
          <t>130F0103BK1</t>
        </is>
      </c>
      <c r="F366" s="4" t="inlineStr">
        <is>
          <t>0103四寸连体面盆龙头电泳黑</t>
        </is>
      </c>
      <c r="G366" s="4" t="inlineStr">
        <is>
          <t>曾志发</t>
        </is>
      </c>
      <c r="H366" s="4" t="inlineStr">
        <is>
          <t>面盆</t>
        </is>
      </c>
      <c r="I366" s="12" t="inlineStr">
        <is>
          <t>是</t>
        </is>
      </c>
      <c r="J366" s="34" t="n">
        <v>44285</v>
      </c>
      <c r="K366" s="34" t="n">
        <v>44285</v>
      </c>
      <c r="L366" s="0">
        <f>DATEDIF(J366,$L$1,"M")</f>
        <v/>
      </c>
      <c r="M366" s="0">
        <f>IF(L366&lt;18,"新品期",IF(L366&lt;=36,"老品期","衰退期"))</f>
        <v/>
      </c>
      <c r="N366" s="36" t="inlineStr">
        <is>
          <t>清完不卖，2025年9月1号以前梁丽梅负责</t>
        </is>
      </c>
    </row>
    <row r="367" ht="15" customFormat="1" customHeight="1" s="36">
      <c r="A367" s="4" t="inlineStr">
        <is>
          <t>Lexdale-US</t>
        </is>
      </c>
      <c r="B367" s="4" t="inlineStr">
        <is>
          <t>Lexdale美国站</t>
        </is>
      </c>
      <c r="C367" s="4">
        <f>B367&amp;D367</f>
        <v/>
      </c>
      <c r="D367" s="4" t="inlineStr">
        <is>
          <t>MP103BN LD1</t>
        </is>
      </c>
      <c r="E367" s="4" t="inlineStr">
        <is>
          <t>130F0103BN1</t>
        </is>
      </c>
      <c r="F367" s="4" t="inlineStr">
        <is>
          <t>0103四寸连体面盆龙头拉丝封油</t>
        </is>
      </c>
      <c r="G367" s="4" t="inlineStr">
        <is>
          <t>曾志发</t>
        </is>
      </c>
      <c r="H367" s="4" t="inlineStr">
        <is>
          <t>面盆</t>
        </is>
      </c>
      <c r="I367" s="12" t="inlineStr">
        <is>
          <t>是</t>
        </is>
      </c>
      <c r="J367" s="34" t="n">
        <v>44285</v>
      </c>
      <c r="K367" s="34" t="n">
        <v>44285</v>
      </c>
      <c r="L367" s="0">
        <f>DATEDIF(J367,$L$1,"M")</f>
        <v/>
      </c>
      <c r="M367" s="0">
        <f>IF(L367&lt;18,"新品期",IF(L367&lt;=36,"老品期","衰退期"))</f>
        <v/>
      </c>
      <c r="N367" s="36" t="inlineStr">
        <is>
          <t>清完不卖，2025年9月1号以前梁丽梅负责</t>
        </is>
      </c>
    </row>
    <row r="368" ht="15" customFormat="1" customHeight="1" s="36">
      <c r="A368" s="4" t="inlineStr">
        <is>
          <t>Lexdale-US</t>
        </is>
      </c>
      <c r="B368" s="4" t="inlineStr">
        <is>
          <t>Lexdale美国站</t>
        </is>
      </c>
      <c r="C368" s="4">
        <f>B368&amp;D368</f>
        <v/>
      </c>
      <c r="D368" s="36" t="inlineStr">
        <is>
          <t>MP103CP  LD1</t>
        </is>
      </c>
      <c r="E368" s="4" t="inlineStr">
        <is>
          <t>130F0103CP1</t>
        </is>
      </c>
      <c r="F368" s="4" t="inlineStr">
        <is>
          <t>0103四寸连体面盆龙头铬</t>
        </is>
      </c>
      <c r="G368" s="4" t="inlineStr">
        <is>
          <t>曾志发</t>
        </is>
      </c>
      <c r="H368" s="4" t="inlineStr">
        <is>
          <t>面盆</t>
        </is>
      </c>
      <c r="I368" s="12" t="inlineStr">
        <is>
          <t>是</t>
        </is>
      </c>
      <c r="J368" s="34" t="n">
        <v>44285</v>
      </c>
      <c r="K368" s="34" t="n">
        <v>44285</v>
      </c>
      <c r="L368" s="0">
        <f>DATEDIF(J368,$L$1,"M")</f>
        <v/>
      </c>
      <c r="M368" s="0">
        <f>IF(L368&lt;18,"新品期",IF(L368&lt;=36,"老品期","衰退期"))</f>
        <v/>
      </c>
      <c r="N368" s="36" t="inlineStr">
        <is>
          <t>清完不卖，2025年9月1号以前梁丽梅负责</t>
        </is>
      </c>
    </row>
    <row r="369" ht="15" customFormat="1" customHeight="1" s="36">
      <c r="A369" s="4" t="inlineStr">
        <is>
          <t>Lexdale-US</t>
        </is>
      </c>
      <c r="B369" s="4" t="inlineStr">
        <is>
          <t>Lexdale美国站</t>
        </is>
      </c>
      <c r="C369" s="4">
        <f>B369&amp;D369</f>
        <v/>
      </c>
      <c r="D369" s="4" t="inlineStr">
        <is>
          <t>MP103ORB LD1</t>
        </is>
      </c>
      <c r="E369" s="4" t="inlineStr">
        <is>
          <t>130F0103OB1</t>
        </is>
      </c>
      <c r="F369" s="4" t="inlineStr">
        <is>
          <t>0103四寸连体面盆龙头拉丝古铜色</t>
        </is>
      </c>
      <c r="G369" s="4" t="inlineStr">
        <is>
          <t>曾志发</t>
        </is>
      </c>
      <c r="H369" s="4" t="inlineStr">
        <is>
          <t>面盆</t>
        </is>
      </c>
      <c r="I369" s="12" t="inlineStr">
        <is>
          <t>是</t>
        </is>
      </c>
      <c r="J369" s="34" t="n">
        <v>44285</v>
      </c>
      <c r="K369" s="34" t="n">
        <v>44285</v>
      </c>
      <c r="L369" s="0">
        <f>DATEDIF(J369,$L$1,"M")</f>
        <v/>
      </c>
      <c r="M369" s="0">
        <f>IF(L369&lt;18,"新品期",IF(L369&lt;=36,"老品期","衰退期"))</f>
        <v/>
      </c>
      <c r="N369" s="36" t="inlineStr">
        <is>
          <t>清完不卖，2025年9月1号以前梁丽梅负责</t>
        </is>
      </c>
    </row>
    <row r="370" ht="15" customFormat="1" customHeight="1" s="36">
      <c r="A370" s="4" t="inlineStr">
        <is>
          <t>Lexdale-US</t>
        </is>
      </c>
      <c r="B370" s="4" t="inlineStr">
        <is>
          <t>Lexdale美国站</t>
        </is>
      </c>
      <c r="C370" s="4">
        <f>B370&amp;D370</f>
        <v/>
      </c>
      <c r="D370" s="4" t="inlineStr">
        <is>
          <t>MP104BG LD1</t>
        </is>
      </c>
      <c r="E370" s="4" t="inlineStr">
        <is>
          <t>130F0104BG1</t>
        </is>
      </c>
      <c r="F370" s="4" t="inlineStr">
        <is>
          <t>0104四寸连体面盆龙头拉丝钛金封油</t>
        </is>
      </c>
      <c r="G370" s="4" t="inlineStr">
        <is>
          <t>曾志发</t>
        </is>
      </c>
      <c r="H370" s="4" t="inlineStr">
        <is>
          <t>面盆</t>
        </is>
      </c>
      <c r="I370" s="12" t="inlineStr">
        <is>
          <t>是</t>
        </is>
      </c>
      <c r="J370" s="34" t="n">
        <v>44284</v>
      </c>
      <c r="K370" s="34" t="n">
        <v>44284</v>
      </c>
      <c r="L370" s="0">
        <f>DATEDIF(J370,$L$1,"M")</f>
        <v/>
      </c>
      <c r="M370" s="0">
        <f>IF(L370&lt;18,"新品期",IF(L370&lt;=36,"老品期","衰退期"))</f>
        <v/>
      </c>
      <c r="N370" s="36" t="inlineStr">
        <is>
          <t>清完不卖，2025年9月1号以前梁丽梅负责</t>
        </is>
      </c>
    </row>
    <row r="371" ht="15" customFormat="1" customHeight="1" s="36">
      <c r="A371" s="4" t="inlineStr">
        <is>
          <t>Jabbol-US</t>
        </is>
      </c>
      <c r="B371" s="4" t="inlineStr">
        <is>
          <t>Jabbol美国站</t>
        </is>
      </c>
      <c r="C371" s="4">
        <f>B371&amp;D371</f>
        <v/>
      </c>
      <c r="D371" s="4" t="inlineStr">
        <is>
          <t>MP104BK JB1</t>
        </is>
      </c>
      <c r="E371" s="4" t="inlineStr">
        <is>
          <t>130F0104BK1</t>
        </is>
      </c>
      <c r="F371" s="4" t="inlineStr">
        <is>
          <t>0104四寸连体面盆龙头电泳黑</t>
        </is>
      </c>
      <c r="G371" s="4" t="inlineStr">
        <is>
          <t>曾志发</t>
        </is>
      </c>
      <c r="H371" s="4" t="inlineStr">
        <is>
          <t>面盆</t>
        </is>
      </c>
      <c r="I371" s="12" t="inlineStr">
        <is>
          <t>是</t>
        </is>
      </c>
      <c r="J371" s="34" t="n">
        <v>44917</v>
      </c>
      <c r="K371" s="34" t="n">
        <v>44917</v>
      </c>
      <c r="L371" s="0">
        <f>DATEDIF(J371,$L$1,"M")</f>
        <v/>
      </c>
      <c r="M371" s="0">
        <f>IF(L371&lt;18,"新品期",IF(L371&lt;=36,"老品期","衰退期"))</f>
        <v/>
      </c>
      <c r="N371" s="36" t="inlineStr">
        <is>
          <t>清完不卖，2025年9月1号以前梁丽梅负责</t>
        </is>
      </c>
    </row>
    <row r="372" ht="15" customFormat="1" customHeight="1" s="36">
      <c r="A372" s="4" t="inlineStr">
        <is>
          <t>Lexdale-US</t>
        </is>
      </c>
      <c r="B372" s="4" t="inlineStr">
        <is>
          <t>Lexdale美国站</t>
        </is>
      </c>
      <c r="C372" s="4">
        <f>B372&amp;D372</f>
        <v/>
      </c>
      <c r="D372" s="4" t="inlineStr">
        <is>
          <t>MP104BK LD1</t>
        </is>
      </c>
      <c r="E372" s="4" t="inlineStr">
        <is>
          <t>130F0104BK1</t>
        </is>
      </c>
      <c r="F372" s="4" t="inlineStr">
        <is>
          <t>0104四寸连体面盆龙头电泳黑</t>
        </is>
      </c>
      <c r="G372" s="4" t="inlineStr">
        <is>
          <t>曾志发</t>
        </is>
      </c>
      <c r="H372" s="4" t="inlineStr">
        <is>
          <t>面盆</t>
        </is>
      </c>
      <c r="I372" s="12" t="inlineStr">
        <is>
          <t>是</t>
        </is>
      </c>
      <c r="J372" s="34" t="n">
        <v>44284</v>
      </c>
      <c r="K372" s="34" t="n">
        <v>44284</v>
      </c>
      <c r="L372" s="0">
        <f>DATEDIF(J372,$L$1,"M")</f>
        <v/>
      </c>
      <c r="M372" s="0">
        <f>IF(L372&lt;18,"新品期",IF(L372&lt;=36,"老品期","衰退期"))</f>
        <v/>
      </c>
      <c r="N372" s="36" t="inlineStr">
        <is>
          <t>清完不卖，2025年9月1号以前梁丽梅负责</t>
        </is>
      </c>
    </row>
    <row r="373" ht="15" customFormat="1" customHeight="1" s="36">
      <c r="A373" s="4" t="inlineStr">
        <is>
          <t>Jabbol-US</t>
        </is>
      </c>
      <c r="B373" s="4" t="inlineStr">
        <is>
          <t>Jabbol美国站</t>
        </is>
      </c>
      <c r="C373" s="4">
        <f>B373&amp;D373</f>
        <v/>
      </c>
      <c r="D373" s="4" t="inlineStr">
        <is>
          <t>MP104BN JB1</t>
        </is>
      </c>
      <c r="E373" s="4" t="inlineStr">
        <is>
          <t>130F0104BN1</t>
        </is>
      </c>
      <c r="F373" s="4" t="inlineStr">
        <is>
          <t>0104四寸连体面盆龙头拉丝封油</t>
        </is>
      </c>
      <c r="G373" s="4" t="inlineStr">
        <is>
          <t>曾志发</t>
        </is>
      </c>
      <c r="H373" s="4" t="inlineStr">
        <is>
          <t>面盆</t>
        </is>
      </c>
      <c r="I373" s="12" t="inlineStr">
        <is>
          <t>是</t>
        </is>
      </c>
      <c r="J373" s="34" t="n">
        <v>44917</v>
      </c>
      <c r="K373" s="34" t="n">
        <v>44917</v>
      </c>
      <c r="L373" s="0">
        <f>DATEDIF(J373,$L$1,"M")</f>
        <v/>
      </c>
      <c r="M373" s="0">
        <f>IF(L373&lt;18,"新品期",IF(L373&lt;=36,"老品期","衰退期"))</f>
        <v/>
      </c>
      <c r="N373" s="36" t="inlineStr">
        <is>
          <t>清完不卖，2025年9月1号以前梁丽梅负责</t>
        </is>
      </c>
    </row>
    <row r="374" ht="15" customFormat="1" customHeight="1" s="36">
      <c r="A374" s="4" t="inlineStr">
        <is>
          <t>Lexdale-US</t>
        </is>
      </c>
      <c r="B374" s="4" t="inlineStr">
        <is>
          <t>Lexdale美国站</t>
        </is>
      </c>
      <c r="C374" s="4">
        <f>B374&amp;D374</f>
        <v/>
      </c>
      <c r="D374" s="4" t="inlineStr">
        <is>
          <t>MP104BN LD1</t>
        </is>
      </c>
      <c r="E374" s="4" t="inlineStr">
        <is>
          <t>130F0104BN1</t>
        </is>
      </c>
      <c r="F374" s="4" t="inlineStr">
        <is>
          <t>0104四寸连体面盆龙头拉丝封油</t>
        </is>
      </c>
      <c r="G374" s="4" t="inlineStr">
        <is>
          <t>曾志发</t>
        </is>
      </c>
      <c r="H374" s="4" t="inlineStr">
        <is>
          <t>面盆</t>
        </is>
      </c>
      <c r="I374" s="12" t="inlineStr">
        <is>
          <t>是</t>
        </is>
      </c>
      <c r="J374" s="34" t="n">
        <v>44284</v>
      </c>
      <c r="K374" s="34" t="n">
        <v>44284</v>
      </c>
      <c r="L374" s="0">
        <f>DATEDIF(J374,$L$1,"M")</f>
        <v/>
      </c>
      <c r="M374" s="0">
        <f>IF(L374&lt;18,"新品期",IF(L374&lt;=36,"老品期","衰退期"))</f>
        <v/>
      </c>
      <c r="N374" s="36" t="inlineStr">
        <is>
          <t>清完不卖，2025年9月1号以前梁丽梅负责</t>
        </is>
      </c>
    </row>
    <row r="375" ht="15" customFormat="1" customHeight="1" s="36">
      <c r="A375" s="4" t="inlineStr">
        <is>
          <t>Jabbol-US</t>
        </is>
      </c>
      <c r="B375" s="4" t="inlineStr">
        <is>
          <t>Jabbol美国站</t>
        </is>
      </c>
      <c r="C375" s="4">
        <f>B375&amp;D375</f>
        <v/>
      </c>
      <c r="D375" s="4" t="inlineStr">
        <is>
          <t>MP104CP JB1</t>
        </is>
      </c>
      <c r="E375" s="4" t="inlineStr">
        <is>
          <t>130F0104CP1</t>
        </is>
      </c>
      <c r="F375" s="4" t="inlineStr">
        <is>
          <t>0104四寸连体面盆龙头铬</t>
        </is>
      </c>
      <c r="G375" s="4" t="inlineStr">
        <is>
          <t>曾志发</t>
        </is>
      </c>
      <c r="H375" s="4" t="inlineStr">
        <is>
          <t>面盆</t>
        </is>
      </c>
      <c r="I375" s="12" t="inlineStr">
        <is>
          <t>是</t>
        </is>
      </c>
      <c r="J375" s="34" t="n">
        <v>44917</v>
      </c>
      <c r="K375" s="34" t="n">
        <v>44917</v>
      </c>
      <c r="L375" s="0">
        <f>DATEDIF(J375,$L$1,"M")</f>
        <v/>
      </c>
      <c r="M375" s="0">
        <f>IF(L375&lt;18,"新品期",IF(L375&lt;=36,"老品期","衰退期"))</f>
        <v/>
      </c>
      <c r="N375" s="36" t="inlineStr">
        <is>
          <t>清完不卖，2025年9月1号以前梁丽梅负责</t>
        </is>
      </c>
    </row>
    <row r="376" ht="15" customFormat="1" customHeight="1" s="36">
      <c r="A376" s="4" t="inlineStr">
        <is>
          <t>Lexdale-US</t>
        </is>
      </c>
      <c r="B376" s="4" t="inlineStr">
        <is>
          <t>Lexdale美国站</t>
        </is>
      </c>
      <c r="C376" s="4">
        <f>B376&amp;D376</f>
        <v/>
      </c>
      <c r="D376" s="4" t="inlineStr">
        <is>
          <t>MP104CP LD1</t>
        </is>
      </c>
      <c r="E376" s="4" t="inlineStr">
        <is>
          <t>130F0104CP1</t>
        </is>
      </c>
      <c r="F376" s="4" t="inlineStr">
        <is>
          <t>0104四寸连体面盆龙头铬</t>
        </is>
      </c>
      <c r="G376" s="4" t="inlineStr">
        <is>
          <t>曾志发</t>
        </is>
      </c>
      <c r="H376" s="4" t="inlineStr">
        <is>
          <t>面盆</t>
        </is>
      </c>
      <c r="I376" s="12" t="inlineStr">
        <is>
          <t>是</t>
        </is>
      </c>
      <c r="J376" s="34" t="n">
        <v>44284</v>
      </c>
      <c r="K376" s="34" t="n">
        <v>44284</v>
      </c>
      <c r="L376" s="0">
        <f>DATEDIF(J376,$L$1,"M")</f>
        <v/>
      </c>
      <c r="M376" s="0">
        <f>IF(L376&lt;18,"新品期",IF(L376&lt;=36,"老品期","衰退期"))</f>
        <v/>
      </c>
      <c r="N376" s="36" t="inlineStr">
        <is>
          <t>清完不卖，2025年9月1号以前梁丽梅负责</t>
        </is>
      </c>
    </row>
    <row r="377" ht="15" customFormat="1" customHeight="1" s="36">
      <c r="A377" s="4" t="inlineStr">
        <is>
          <t>Lexdale-US</t>
        </is>
      </c>
      <c r="B377" s="4" t="inlineStr">
        <is>
          <t>Lexdale美国站</t>
        </is>
      </c>
      <c r="C377" s="4">
        <f>B377&amp;D377</f>
        <v/>
      </c>
      <c r="D377" s="4" t="inlineStr">
        <is>
          <t>MP104ORB LD1</t>
        </is>
      </c>
      <c r="E377" s="4" t="inlineStr">
        <is>
          <t>130F0104OB1</t>
        </is>
      </c>
      <c r="F377" s="4" t="inlineStr">
        <is>
          <t>0104四寸连体面盆龙头拉丝古铜色</t>
        </is>
      </c>
      <c r="G377" s="4" t="inlineStr">
        <is>
          <t>曾志发</t>
        </is>
      </c>
      <c r="H377" s="4" t="inlineStr">
        <is>
          <t>面盆</t>
        </is>
      </c>
      <c r="I377" s="12" t="inlineStr">
        <is>
          <t>是</t>
        </is>
      </c>
      <c r="J377" s="34" t="n">
        <v>44284</v>
      </c>
      <c r="K377" s="34" t="n">
        <v>44284</v>
      </c>
      <c r="L377" s="0">
        <f>DATEDIF(J377,$L$1,"M")</f>
        <v/>
      </c>
      <c r="M377" s="0">
        <f>IF(L377&lt;18,"新品期",IF(L377&lt;=36,"老品期","衰退期"))</f>
        <v/>
      </c>
      <c r="N377" s="36" t="inlineStr">
        <is>
          <t>清完不卖，2025年9月1号以前梁丽梅负责</t>
        </is>
      </c>
    </row>
    <row r="378" ht="15" customFormat="1" customHeight="1" s="36">
      <c r="A378" s="4" t="inlineStr">
        <is>
          <t>Jabbol-US</t>
        </is>
      </c>
      <c r="B378" s="4" t="inlineStr">
        <is>
          <t>Jabbol美国站</t>
        </is>
      </c>
      <c r="C378" s="4">
        <f>B378&amp;D378</f>
        <v/>
      </c>
      <c r="D378" s="4" t="inlineStr">
        <is>
          <t>MP105BK JB1</t>
        </is>
      </c>
      <c r="E378" s="4" t="inlineStr">
        <is>
          <t>130F0105BK1</t>
        </is>
      </c>
      <c r="F378" s="4" t="inlineStr">
        <is>
          <t>0105四寸连体面盆龙头电泳黑</t>
        </is>
      </c>
      <c r="G378" s="4" t="inlineStr">
        <is>
          <t>曾志发</t>
        </is>
      </c>
      <c r="H378" s="4" t="inlineStr">
        <is>
          <t>面盆</t>
        </is>
      </c>
      <c r="I378" s="12" t="inlineStr">
        <is>
          <t>是</t>
        </is>
      </c>
      <c r="J378" s="34" t="n">
        <v>44917</v>
      </c>
      <c r="K378" s="34" t="n">
        <v>44917</v>
      </c>
      <c r="L378" s="0">
        <f>DATEDIF(J378,$L$1,"M")</f>
        <v/>
      </c>
      <c r="M378" s="0">
        <f>IF(L378&lt;18,"新品期",IF(L378&lt;=36,"老品期","衰退期"))</f>
        <v/>
      </c>
      <c r="N378" s="36" t="inlineStr">
        <is>
          <t>清完不卖，2025年9月1号以前梁丽梅负责</t>
        </is>
      </c>
    </row>
    <row r="379" ht="15" customFormat="1" customHeight="1" s="36">
      <c r="A379" s="4" t="inlineStr">
        <is>
          <t>Lexdale-US</t>
        </is>
      </c>
      <c r="B379" s="4" t="inlineStr">
        <is>
          <t>Lexdale美国站</t>
        </is>
      </c>
      <c r="C379" s="4">
        <f>B379&amp;D379</f>
        <v/>
      </c>
      <c r="D379" s="4" t="inlineStr">
        <is>
          <t>MP105BK LD1</t>
        </is>
      </c>
      <c r="E379" s="4" t="inlineStr">
        <is>
          <t>130F0105BK1</t>
        </is>
      </c>
      <c r="F379" s="4" t="inlineStr">
        <is>
          <t>0105四寸连体面盆龙头电泳黑</t>
        </is>
      </c>
      <c r="G379" s="4" t="inlineStr">
        <is>
          <t>曾志发</t>
        </is>
      </c>
      <c r="H379" s="4" t="inlineStr">
        <is>
          <t>面盆</t>
        </is>
      </c>
      <c r="I379" s="12" t="inlineStr">
        <is>
          <t>是</t>
        </is>
      </c>
      <c r="J379" s="34" t="n">
        <v>44347</v>
      </c>
      <c r="K379" s="34" t="n">
        <v>44347</v>
      </c>
      <c r="L379" s="0">
        <f>DATEDIF(J379,$L$1,"M")</f>
        <v/>
      </c>
      <c r="M379" s="0">
        <f>IF(L379&lt;18,"新品期",IF(L379&lt;=36,"老品期","衰退期"))</f>
        <v/>
      </c>
      <c r="N379" s="36" t="inlineStr">
        <is>
          <t>清完不卖，2025年9月1号以前梁丽梅负责</t>
        </is>
      </c>
    </row>
    <row r="380" ht="15" customFormat="1" customHeight="1" s="36">
      <c r="A380" s="4" t="inlineStr">
        <is>
          <t>Jabbol-US</t>
        </is>
      </c>
      <c r="B380" s="4" t="inlineStr">
        <is>
          <t>Jabbol美国站</t>
        </is>
      </c>
      <c r="C380" s="4">
        <f>B380&amp;D380</f>
        <v/>
      </c>
      <c r="D380" s="4" t="inlineStr">
        <is>
          <t>MP105BN JB1</t>
        </is>
      </c>
      <c r="E380" s="4" t="inlineStr">
        <is>
          <t>130F0105BN1</t>
        </is>
      </c>
      <c r="F380" s="4" t="inlineStr">
        <is>
          <t>0105四寸连体面盆龙头拉丝封油</t>
        </is>
      </c>
      <c r="G380" s="4" t="inlineStr">
        <is>
          <t>曾志发</t>
        </is>
      </c>
      <c r="H380" s="4" t="inlineStr">
        <is>
          <t>面盆</t>
        </is>
      </c>
      <c r="I380" s="12" t="inlineStr">
        <is>
          <t>是</t>
        </is>
      </c>
      <c r="J380" s="34" t="n">
        <v>44917</v>
      </c>
      <c r="K380" s="34" t="n">
        <v>44917</v>
      </c>
      <c r="L380" s="0">
        <f>DATEDIF(J380,$L$1,"M")</f>
        <v/>
      </c>
      <c r="M380" s="0">
        <f>IF(L380&lt;18,"新品期",IF(L380&lt;=36,"老品期","衰退期"))</f>
        <v/>
      </c>
      <c r="N380" s="36" t="inlineStr">
        <is>
          <t>清完不卖，2025年9月1号以前梁丽梅负责</t>
        </is>
      </c>
    </row>
    <row r="381" ht="15" customFormat="1" customHeight="1" s="36">
      <c r="A381" s="4" t="inlineStr">
        <is>
          <t>Lexdale-US</t>
        </is>
      </c>
      <c r="B381" s="4" t="inlineStr">
        <is>
          <t>Lexdale美国站</t>
        </is>
      </c>
      <c r="C381" s="4">
        <f>B381&amp;D381</f>
        <v/>
      </c>
      <c r="D381" s="4" t="inlineStr">
        <is>
          <t>MP105BN LD1</t>
        </is>
      </c>
      <c r="E381" s="4" t="inlineStr">
        <is>
          <t>130F0105BN1</t>
        </is>
      </c>
      <c r="F381" s="4" t="inlineStr">
        <is>
          <t>0105四寸连体面盆龙头拉丝封油</t>
        </is>
      </c>
      <c r="G381" s="4" t="inlineStr">
        <is>
          <t>曾志发</t>
        </is>
      </c>
      <c r="H381" s="4" t="inlineStr">
        <is>
          <t>面盆</t>
        </is>
      </c>
      <c r="I381" s="12" t="inlineStr">
        <is>
          <t>是</t>
        </is>
      </c>
      <c r="J381" s="34" t="n">
        <v>44347</v>
      </c>
      <c r="K381" s="34" t="n">
        <v>44347</v>
      </c>
      <c r="L381" s="0">
        <f>DATEDIF(J381,$L$1,"M")</f>
        <v/>
      </c>
      <c r="M381" s="0">
        <f>IF(L381&lt;18,"新品期",IF(L381&lt;=36,"老品期","衰退期"))</f>
        <v/>
      </c>
      <c r="N381" s="36" t="inlineStr">
        <is>
          <t>清完不卖，2025年9月1号以前梁丽梅负责</t>
        </is>
      </c>
    </row>
    <row r="382" ht="15" customFormat="1" customHeight="1" s="36">
      <c r="A382" s="4" t="inlineStr">
        <is>
          <t>Jabbol-US</t>
        </is>
      </c>
      <c r="B382" s="4" t="inlineStr">
        <is>
          <t>Jabbol美国站</t>
        </is>
      </c>
      <c r="C382" s="4">
        <f>B382&amp;D382</f>
        <v/>
      </c>
      <c r="D382" s="4" t="inlineStr">
        <is>
          <t>MP105CP JB1</t>
        </is>
      </c>
      <c r="E382" s="4" t="inlineStr">
        <is>
          <t>130F0105CP1</t>
        </is>
      </c>
      <c r="F382" s="4" t="inlineStr">
        <is>
          <t>0105四寸连体面盆龙头铬</t>
        </is>
      </c>
      <c r="G382" s="4" t="inlineStr">
        <is>
          <t>曾志发</t>
        </is>
      </c>
      <c r="H382" s="4" t="inlineStr">
        <is>
          <t>面盆</t>
        </is>
      </c>
      <c r="I382" s="12" t="inlineStr">
        <is>
          <t>是</t>
        </is>
      </c>
      <c r="J382" s="34" t="n">
        <v>44917</v>
      </c>
      <c r="K382" s="34" t="n">
        <v>44917</v>
      </c>
      <c r="L382" s="0">
        <f>DATEDIF(J382,$L$1,"M")</f>
        <v/>
      </c>
      <c r="M382" s="0">
        <f>IF(L382&lt;18,"新品期",IF(L382&lt;=36,"老品期","衰退期"))</f>
        <v/>
      </c>
      <c r="N382" s="36" t="inlineStr">
        <is>
          <t>清完不卖，2025年9月1号以前梁丽梅负责</t>
        </is>
      </c>
    </row>
    <row r="383" ht="15" customFormat="1" customHeight="1" s="36">
      <c r="A383" s="4" t="inlineStr">
        <is>
          <t>Lexdale-US</t>
        </is>
      </c>
      <c r="B383" s="4" t="inlineStr">
        <is>
          <t>Lexdale美国站</t>
        </is>
      </c>
      <c r="C383" s="4">
        <f>B383&amp;D383</f>
        <v/>
      </c>
      <c r="D383" s="4" t="inlineStr">
        <is>
          <t>MP105CP LD1</t>
        </is>
      </c>
      <c r="E383" s="4" t="inlineStr">
        <is>
          <t>130F0105CP1</t>
        </is>
      </c>
      <c r="F383" s="4" t="inlineStr">
        <is>
          <t>0105四寸连体面盆龙头铬</t>
        </is>
      </c>
      <c r="G383" s="4" t="inlineStr">
        <is>
          <t>曾志发</t>
        </is>
      </c>
      <c r="H383" s="4" t="inlineStr">
        <is>
          <t>面盆</t>
        </is>
      </c>
      <c r="I383" s="12" t="inlineStr">
        <is>
          <t>是</t>
        </is>
      </c>
      <c r="J383" s="34" t="n">
        <v>44347</v>
      </c>
      <c r="K383" s="34" t="n">
        <v>44347</v>
      </c>
      <c r="L383" s="0">
        <f>DATEDIF(J383,$L$1,"M")</f>
        <v/>
      </c>
      <c r="M383" s="0">
        <f>IF(L383&lt;18,"新品期",IF(L383&lt;=36,"老品期","衰退期"))</f>
        <v/>
      </c>
      <c r="N383" s="36" t="inlineStr">
        <is>
          <t>清完不卖，2025年9月1号以前梁丽梅负责</t>
        </is>
      </c>
    </row>
    <row r="384" ht="15" customFormat="1" customHeight="1" s="36">
      <c r="A384" s="4" t="inlineStr">
        <is>
          <t>Lexdale-US</t>
        </is>
      </c>
      <c r="B384" s="4" t="inlineStr">
        <is>
          <t>Lexdale美国站</t>
        </is>
      </c>
      <c r="C384" s="4">
        <f>B384&amp;D384</f>
        <v/>
      </c>
      <c r="D384" s="4" t="inlineStr">
        <is>
          <t>MP105ORB LD1</t>
        </is>
      </c>
      <c r="E384" s="4" t="inlineStr">
        <is>
          <t>130F0105OB1</t>
        </is>
      </c>
      <c r="F384" s="4" t="inlineStr">
        <is>
          <t>0105四寸连体面盆龙头拉丝古铜色</t>
        </is>
      </c>
      <c r="G384" s="4" t="inlineStr">
        <is>
          <t>曾志发</t>
        </is>
      </c>
      <c r="H384" s="4" t="inlineStr">
        <is>
          <t>面盆</t>
        </is>
      </c>
      <c r="I384" s="12" t="inlineStr">
        <is>
          <t>是</t>
        </is>
      </c>
      <c r="J384" s="34" t="n">
        <v>44347</v>
      </c>
      <c r="K384" s="34" t="n">
        <v>44347</v>
      </c>
      <c r="L384" s="0">
        <f>DATEDIF(J384,$L$1,"M")</f>
        <v/>
      </c>
      <c r="M384" s="0">
        <f>IF(L384&lt;18,"新品期",IF(L384&lt;=36,"老品期","衰退期"))</f>
        <v/>
      </c>
      <c r="N384" s="36" t="inlineStr">
        <is>
          <t>清完不卖，2025年9月1号以前梁丽梅负责</t>
        </is>
      </c>
    </row>
    <row r="385" ht="15" customFormat="1" customHeight="1" s="36">
      <c r="A385" s="4" t="inlineStr">
        <is>
          <t>Lexdale-US</t>
        </is>
      </c>
      <c r="B385" s="4" t="inlineStr">
        <is>
          <t>Lexdale美国站</t>
        </is>
      </c>
      <c r="C385" s="4">
        <f>B385&amp;D385</f>
        <v/>
      </c>
      <c r="D385" s="4" t="inlineStr">
        <is>
          <t>MP106BG LD1</t>
        </is>
      </c>
      <c r="E385" s="4" t="inlineStr">
        <is>
          <t>130F0106BG1</t>
        </is>
      </c>
      <c r="F385" s="4" t="inlineStr">
        <is>
          <t>0106四寸连体面盆龙头拉丝钛金封油</t>
        </is>
      </c>
      <c r="G385" s="4" t="inlineStr">
        <is>
          <t>曾志发</t>
        </is>
      </c>
      <c r="H385" s="4" t="inlineStr">
        <is>
          <t>面盆</t>
        </is>
      </c>
      <c r="I385" s="12" t="inlineStr">
        <is>
          <t>是</t>
        </is>
      </c>
      <c r="J385" s="34" t="n">
        <v>44434</v>
      </c>
      <c r="K385" s="34" t="n">
        <v>44434</v>
      </c>
      <c r="L385" s="0">
        <f>DATEDIF(J385,$L$1,"M")</f>
        <v/>
      </c>
      <c r="M385" s="0">
        <f>IF(L385&lt;18,"新品期",IF(L385&lt;=36,"老品期","衰退期"))</f>
        <v/>
      </c>
      <c r="N385" s="36" t="inlineStr">
        <is>
          <t>清完不卖，2025年9月1号以前梁丽梅负责</t>
        </is>
      </c>
    </row>
    <row r="386" ht="15" customFormat="1" customHeight="1" s="36">
      <c r="A386" s="4" t="inlineStr">
        <is>
          <t>Lexdale-US</t>
        </is>
      </c>
      <c r="B386" s="4" t="inlineStr">
        <is>
          <t>Lexdale美国站</t>
        </is>
      </c>
      <c r="C386" s="4">
        <f>B386&amp;D386</f>
        <v/>
      </c>
      <c r="D386" s="4" t="inlineStr">
        <is>
          <t>MP106BK LD1</t>
        </is>
      </c>
      <c r="E386" s="4" t="inlineStr">
        <is>
          <t>130F0106BK1</t>
        </is>
      </c>
      <c r="F386" s="4" t="inlineStr">
        <is>
          <t>0106四寸连体面盆龙头电泳黑</t>
        </is>
      </c>
      <c r="G386" s="4" t="inlineStr">
        <is>
          <t>曾志发</t>
        </is>
      </c>
      <c r="H386" s="4" t="inlineStr">
        <is>
          <t>面盆</t>
        </is>
      </c>
      <c r="I386" s="12" t="inlineStr">
        <is>
          <t>是</t>
        </is>
      </c>
      <c r="J386" s="34" t="n">
        <v>44434</v>
      </c>
      <c r="K386" s="34" t="n">
        <v>44434</v>
      </c>
      <c r="L386" s="0">
        <f>DATEDIF(J386,$L$1,"M")</f>
        <v/>
      </c>
      <c r="M386" s="0">
        <f>IF(L386&lt;18,"新品期",IF(L386&lt;=36,"老品期","衰退期"))</f>
        <v/>
      </c>
      <c r="N386" s="36" t="inlineStr">
        <is>
          <t>清完不卖，2025年9月1号以前梁丽梅负责</t>
        </is>
      </c>
    </row>
    <row r="387" ht="15" customFormat="1" customHeight="1" s="36">
      <c r="A387" s="4" t="inlineStr">
        <is>
          <t>Lexdale-US</t>
        </is>
      </c>
      <c r="B387" s="4" t="inlineStr">
        <is>
          <t>Lexdale美国站</t>
        </is>
      </c>
      <c r="C387" s="4">
        <f>B387&amp;D387</f>
        <v/>
      </c>
      <c r="D387" s="4" t="inlineStr">
        <is>
          <t>MP106BN LD1</t>
        </is>
      </c>
      <c r="E387" s="4" t="inlineStr">
        <is>
          <t>130F0106BN2</t>
        </is>
      </c>
      <c r="F387" s="4" t="inlineStr">
        <is>
          <t>0106四寸连体面盆龙头拉丝封半哑油</t>
        </is>
      </c>
      <c r="G387" s="4" t="inlineStr">
        <is>
          <t>曾志发</t>
        </is>
      </c>
      <c r="H387" s="4" t="inlineStr">
        <is>
          <t>面盆</t>
        </is>
      </c>
      <c r="I387" s="12" t="inlineStr">
        <is>
          <t>是</t>
        </is>
      </c>
      <c r="J387" s="34" t="n">
        <v>44434</v>
      </c>
      <c r="K387" s="34" t="n">
        <v>44434</v>
      </c>
      <c r="L387" s="0">
        <f>DATEDIF(J387,$L$1,"M")</f>
        <v/>
      </c>
      <c r="M387" s="0">
        <f>IF(L387&lt;18,"新品期",IF(L387&lt;=36,"老品期","衰退期"))</f>
        <v/>
      </c>
      <c r="N387" s="36" t="inlineStr">
        <is>
          <t>清完不卖，2025年9月1号以前梁丽梅负责</t>
        </is>
      </c>
    </row>
    <row r="388" ht="15" customFormat="1" customHeight="1" s="36">
      <c r="A388" s="4" t="inlineStr">
        <is>
          <t>Lexdale-US</t>
        </is>
      </c>
      <c r="B388" s="4" t="inlineStr">
        <is>
          <t>Lexdale美国站</t>
        </is>
      </c>
      <c r="C388" s="4">
        <f>B388&amp;D388</f>
        <v/>
      </c>
      <c r="D388" s="4" t="inlineStr">
        <is>
          <t>MP106CP LD1</t>
        </is>
      </c>
      <c r="E388" s="4" t="inlineStr">
        <is>
          <t>130F0106CP1</t>
        </is>
      </c>
      <c r="F388" s="4" t="inlineStr">
        <is>
          <t>0106四寸连体面盆龙头铬</t>
        </is>
      </c>
      <c r="G388" s="4" t="inlineStr">
        <is>
          <t>曾志发</t>
        </is>
      </c>
      <c r="H388" s="4" t="inlineStr">
        <is>
          <t>面盆</t>
        </is>
      </c>
      <c r="I388" s="12" t="inlineStr">
        <is>
          <t>是</t>
        </is>
      </c>
      <c r="J388" s="34" t="n">
        <v>44434</v>
      </c>
      <c r="K388" s="34" t="n">
        <v>44434</v>
      </c>
      <c r="L388" s="0">
        <f>DATEDIF(J388,$L$1,"M")</f>
        <v/>
      </c>
      <c r="M388" s="0">
        <f>IF(L388&lt;18,"新品期",IF(L388&lt;=36,"老品期","衰退期"))</f>
        <v/>
      </c>
      <c r="N388" s="36" t="inlineStr">
        <is>
          <t>清完不卖，2025年9月1号以前梁丽梅负责</t>
        </is>
      </c>
    </row>
    <row r="389" ht="15" customFormat="1" customHeight="1" s="36">
      <c r="A389" s="4" t="inlineStr">
        <is>
          <t>Lexdale-US</t>
        </is>
      </c>
      <c r="B389" s="4" t="inlineStr">
        <is>
          <t>Lexdale美国站</t>
        </is>
      </c>
      <c r="C389" s="4">
        <f>B389&amp;D389</f>
        <v/>
      </c>
      <c r="D389" s="4" t="inlineStr">
        <is>
          <t>MP106ORB LD1</t>
        </is>
      </c>
      <c r="E389" s="4" t="inlineStr">
        <is>
          <t>130F0106OB1</t>
        </is>
      </c>
      <c r="F389" s="4" t="inlineStr">
        <is>
          <t>0106四寸连体面盆龙头拉丝古铜色</t>
        </is>
      </c>
      <c r="G389" s="4" t="inlineStr">
        <is>
          <t>曾志发</t>
        </is>
      </c>
      <c r="H389" s="4" t="inlineStr">
        <is>
          <t>面盆</t>
        </is>
      </c>
      <c r="I389" s="12" t="inlineStr">
        <is>
          <t>是</t>
        </is>
      </c>
      <c r="J389" s="34" t="n">
        <v>44434</v>
      </c>
      <c r="K389" s="34" t="n">
        <v>44434</v>
      </c>
      <c r="L389" s="0">
        <f>DATEDIF(J389,$L$1,"M")</f>
        <v/>
      </c>
      <c r="M389" s="0">
        <f>IF(L389&lt;18,"新品期",IF(L389&lt;=36,"老品期","衰退期"))</f>
        <v/>
      </c>
      <c r="N389" s="36" t="inlineStr">
        <is>
          <t>清完不卖，2025年9月1号以前梁丽梅负责</t>
        </is>
      </c>
    </row>
    <row r="390" ht="15" customFormat="1" customHeight="1" s="36">
      <c r="A390" s="4" t="inlineStr">
        <is>
          <t>Lexdale-US</t>
        </is>
      </c>
      <c r="B390" s="4" t="inlineStr">
        <is>
          <t>Lexdale美国站</t>
        </is>
      </c>
      <c r="C390" s="4">
        <f>B390&amp;D390</f>
        <v/>
      </c>
      <c r="D390" s="4" t="inlineStr">
        <is>
          <t>MP107BG LD1</t>
        </is>
      </c>
      <c r="E390" s="4" t="inlineStr">
        <is>
          <t>140F0107BG1</t>
        </is>
      </c>
      <c r="F390" s="4" t="inlineStr">
        <is>
          <t>0107分体面盆龙头拉丝钛金封油</t>
        </is>
      </c>
      <c r="G390" s="4" t="inlineStr">
        <is>
          <t>曾志发</t>
        </is>
      </c>
      <c r="H390" s="4" t="inlineStr">
        <is>
          <t>面盆</t>
        </is>
      </c>
      <c r="I390" s="12" t="inlineStr">
        <is>
          <t>是</t>
        </is>
      </c>
      <c r="J390" s="34" t="n">
        <v>45558</v>
      </c>
      <c r="K390" s="34" t="n">
        <v>45558</v>
      </c>
      <c r="L390" s="0">
        <f>DATEDIF(J390,$L$1,"M")</f>
        <v/>
      </c>
      <c r="M390" s="0">
        <f>IF(L390&lt;18,"新品期",IF(L390&lt;=36,"老品期","衰退期"))</f>
        <v/>
      </c>
      <c r="N390" s="36" t="inlineStr">
        <is>
          <t>清完不卖，2025年9月1号以前梁丽梅负责</t>
        </is>
      </c>
    </row>
    <row r="391" ht="15" customFormat="1" customHeight="1" s="36">
      <c r="A391" s="4" t="inlineStr">
        <is>
          <t>Lexdale-US</t>
        </is>
      </c>
      <c r="B391" s="4" t="inlineStr">
        <is>
          <t>Lexdale美国站</t>
        </is>
      </c>
      <c r="C391" s="4">
        <f>B391&amp;D391</f>
        <v/>
      </c>
      <c r="D391" s="4" t="inlineStr">
        <is>
          <t>MP107BK LD1</t>
        </is>
      </c>
      <c r="E391" s="4" t="inlineStr">
        <is>
          <t>140F0107BK1</t>
        </is>
      </c>
      <c r="F391" s="4" t="inlineStr">
        <is>
          <t>0107分体面盆龙头电泳黑</t>
        </is>
      </c>
      <c r="G391" s="4" t="inlineStr">
        <is>
          <t>曾志发</t>
        </is>
      </c>
      <c r="H391" s="4" t="inlineStr">
        <is>
          <t>面盆</t>
        </is>
      </c>
      <c r="I391" s="12" t="inlineStr">
        <is>
          <t>是</t>
        </is>
      </c>
      <c r="J391" s="34" t="n">
        <v>45558</v>
      </c>
      <c r="K391" s="34" t="n">
        <v>45558</v>
      </c>
      <c r="L391" s="0">
        <f>DATEDIF(J391,$L$1,"M")</f>
        <v/>
      </c>
      <c r="M391" s="0">
        <f>IF(L391&lt;18,"新品期",IF(L391&lt;=36,"老品期","衰退期"))</f>
        <v/>
      </c>
      <c r="N391" s="36" t="inlineStr">
        <is>
          <t>清完不卖，2025年9月1号以前梁丽梅负责</t>
        </is>
      </c>
    </row>
    <row r="392" ht="15" customFormat="1" customHeight="1" s="36">
      <c r="A392" s="4" t="inlineStr">
        <is>
          <t>Lexdale-US</t>
        </is>
      </c>
      <c r="B392" s="4" t="inlineStr">
        <is>
          <t>Lexdale美国站</t>
        </is>
      </c>
      <c r="C392" s="4">
        <f>B392&amp;D392</f>
        <v/>
      </c>
      <c r="D392" s="4" t="inlineStr">
        <is>
          <t>MP107BN LD1</t>
        </is>
      </c>
      <c r="E392" s="4" t="inlineStr">
        <is>
          <t>140F0107BN2</t>
        </is>
      </c>
      <c r="F392" s="4" t="inlineStr">
        <is>
          <t>0107分体面盆龙头拉丝封半哑油</t>
        </is>
      </c>
      <c r="G392" s="4" t="inlineStr">
        <is>
          <t>曾志发</t>
        </is>
      </c>
      <c r="H392" s="4" t="inlineStr">
        <is>
          <t>面盆</t>
        </is>
      </c>
      <c r="I392" s="12" t="inlineStr">
        <is>
          <t>是</t>
        </is>
      </c>
      <c r="J392" s="34" t="n">
        <v>45558</v>
      </c>
      <c r="K392" s="34" t="n">
        <v>45558</v>
      </c>
      <c r="L392" s="0">
        <f>DATEDIF(J392,$L$1,"M")</f>
        <v/>
      </c>
      <c r="M392" s="0">
        <f>IF(L392&lt;18,"新品期",IF(L392&lt;=36,"老品期","衰退期"))</f>
        <v/>
      </c>
      <c r="N392" s="36" t="inlineStr">
        <is>
          <t>清完不卖，2025年9月1号以前梁丽梅负责</t>
        </is>
      </c>
    </row>
    <row r="393" ht="15" customFormat="1" customHeight="1" s="36">
      <c r="A393" s="4" t="inlineStr">
        <is>
          <t>Lexdale-US</t>
        </is>
      </c>
      <c r="B393" s="4" t="inlineStr">
        <is>
          <t>Lexdale美国站</t>
        </is>
      </c>
      <c r="C393" s="4">
        <f>B393&amp;D393</f>
        <v/>
      </c>
      <c r="D393" s="4" t="inlineStr">
        <is>
          <t>MP107CP LD1</t>
        </is>
      </c>
      <c r="E393" s="4" t="inlineStr">
        <is>
          <t>140F0107CP1</t>
        </is>
      </c>
      <c r="F393" s="4" t="inlineStr">
        <is>
          <t>0107分体面盆龙头铬</t>
        </is>
      </c>
      <c r="G393" s="4" t="inlineStr">
        <is>
          <t>曾志发</t>
        </is>
      </c>
      <c r="H393" s="4" t="inlineStr">
        <is>
          <t>面盆</t>
        </is>
      </c>
      <c r="I393" s="12" t="inlineStr">
        <is>
          <t>是</t>
        </is>
      </c>
      <c r="J393" s="34" t="n">
        <v>45558</v>
      </c>
      <c r="K393" s="34" t="n">
        <v>45558</v>
      </c>
      <c r="L393" s="0">
        <f>DATEDIF(J393,$L$1,"M")</f>
        <v/>
      </c>
      <c r="M393" s="0">
        <f>IF(L393&lt;18,"新品期",IF(L393&lt;=36,"老品期","衰退期"))</f>
        <v/>
      </c>
      <c r="N393" s="36" t="inlineStr">
        <is>
          <t>清完不卖，2025年9月1号以前梁丽梅负责</t>
        </is>
      </c>
    </row>
    <row r="394" ht="15" customFormat="1" customHeight="1" s="36">
      <c r="A394" s="4" t="inlineStr">
        <is>
          <t>Lexdale-US</t>
        </is>
      </c>
      <c r="B394" s="4" t="inlineStr">
        <is>
          <t>Lexdale美国站</t>
        </is>
      </c>
      <c r="C394" s="4">
        <f>B394&amp;D394</f>
        <v/>
      </c>
      <c r="D394" s="4" t="inlineStr">
        <is>
          <t>MP107ORB LD1</t>
        </is>
      </c>
      <c r="E394" s="4" t="inlineStr">
        <is>
          <t>140F0107OB1</t>
        </is>
      </c>
      <c r="F394" s="4" t="inlineStr">
        <is>
          <t>0107分体面盆龙头拉丝古铜色</t>
        </is>
      </c>
      <c r="G394" s="4" t="inlineStr">
        <is>
          <t>曾志发</t>
        </is>
      </c>
      <c r="H394" s="4" t="inlineStr">
        <is>
          <t>面盆</t>
        </is>
      </c>
      <c r="I394" s="12" t="inlineStr">
        <is>
          <t>是</t>
        </is>
      </c>
      <c r="J394" s="34" t="n">
        <v>45558</v>
      </c>
      <c r="K394" s="34" t="n">
        <v>45558</v>
      </c>
      <c r="L394" s="0">
        <f>DATEDIF(J394,$L$1,"M")</f>
        <v/>
      </c>
      <c r="M394" s="0">
        <f>IF(L394&lt;18,"新品期",IF(L394&lt;=36,"老品期","衰退期"))</f>
        <v/>
      </c>
      <c r="N394" s="36" t="inlineStr">
        <is>
          <t>清完不卖，2025年9月1号以前梁丽梅负责</t>
        </is>
      </c>
    </row>
    <row r="395" ht="15" customFormat="1" customHeight="1" s="36">
      <c r="A395" s="4" t="inlineStr">
        <is>
          <t>Qinkell-US</t>
        </is>
      </c>
      <c r="B395" s="4" t="inlineStr">
        <is>
          <t>Qinkell美国站</t>
        </is>
      </c>
      <c r="C395" s="4">
        <f>B395&amp;D395</f>
        <v/>
      </c>
      <c r="D395" s="4" t="inlineStr">
        <is>
          <t>QC-2025011-ZG01</t>
        </is>
      </c>
      <c r="E395" s="4" t="inlineStr">
        <is>
          <t>211F0022BG3</t>
        </is>
      </c>
      <c r="F395" s="4" t="inlineStr">
        <is>
          <t>22系列二功能落地浴缸龙头拉丝锆金封油</t>
        </is>
      </c>
      <c r="G395" s="4" t="inlineStr">
        <is>
          <t>刘皓</t>
        </is>
      </c>
      <c r="H395" s="4" t="inlineStr">
        <is>
          <t>落地浴缸</t>
        </is>
      </c>
      <c r="I395" s="12" t="inlineStr">
        <is>
          <t>否</t>
        </is>
      </c>
      <c r="J395" s="4" t="inlineStr">
        <is>
          <t>/</t>
        </is>
      </c>
      <c r="K395" s="4" t="inlineStr">
        <is>
          <t>/</t>
        </is>
      </c>
      <c r="L395" s="0">
        <f>DATEDIF(J395,$L$1,"M")</f>
        <v/>
      </c>
      <c r="M395" s="0">
        <f>IF(L395&lt;18,"新品期",IF(L395&lt;=36,"老品期","衰退期"))</f>
        <v/>
      </c>
      <c r="N395" s="15" t="inlineStr">
        <is>
          <t>备用链接，没发货</t>
        </is>
      </c>
    </row>
    <row r="396" ht="15" customFormat="1" customHeight="1" s="36">
      <c r="A396" s="4" t="inlineStr">
        <is>
          <t>Qinkell-US</t>
        </is>
      </c>
      <c r="B396" s="4" t="inlineStr">
        <is>
          <t>Qinkell美国站</t>
        </is>
      </c>
      <c r="C396" s="4">
        <f>B396&amp;D396</f>
        <v/>
      </c>
      <c r="D396" s="4" t="inlineStr">
        <is>
          <t>QC-2025011-ZG02</t>
        </is>
      </c>
      <c r="E396" s="4" t="inlineStr">
        <is>
          <t>211F0022BG3</t>
        </is>
      </c>
      <c r="F396" s="4" t="inlineStr">
        <is>
          <t>22系列二功能落地浴缸龙头拉丝锆金封油</t>
        </is>
      </c>
      <c r="G396" s="4" t="inlineStr">
        <is>
          <t>刘皓</t>
        </is>
      </c>
      <c r="H396" s="4" t="inlineStr">
        <is>
          <t>落地浴缸</t>
        </is>
      </c>
      <c r="I396" s="12" t="inlineStr">
        <is>
          <t>否</t>
        </is>
      </c>
      <c r="J396" s="4" t="inlineStr">
        <is>
          <t>/</t>
        </is>
      </c>
      <c r="K396" s="4" t="inlineStr">
        <is>
          <t>/</t>
        </is>
      </c>
      <c r="L396" s="0">
        <f>DATEDIF(J396,$L$1,"M")</f>
        <v/>
      </c>
      <c r="M396" s="0">
        <f>IF(L396&lt;18,"新品期",IF(L396&lt;=36,"老品期","衰退期"))</f>
        <v/>
      </c>
      <c r="N396" s="15" t="inlineStr">
        <is>
          <t>备用链接，没发货</t>
        </is>
      </c>
    </row>
    <row r="397" ht="15" customFormat="1" customHeight="1" s="36">
      <c r="A397" s="4" t="inlineStr">
        <is>
          <t>Qinkell-US</t>
        </is>
      </c>
      <c r="B397" s="4" t="inlineStr">
        <is>
          <t>Qinkell美国站</t>
        </is>
      </c>
      <c r="C397" s="4">
        <f>B397&amp;D397</f>
        <v/>
      </c>
      <c r="D397" s="4" t="inlineStr">
        <is>
          <t>QC-2025011-ZGZZ01</t>
        </is>
      </c>
      <c r="E397" s="4" t="inlineStr">
        <is>
          <t>211F0022BG3</t>
        </is>
      </c>
      <c r="F397" s="4" t="inlineStr">
        <is>
          <t>22系列二功能落地浴缸龙头拉丝锆金封油</t>
        </is>
      </c>
      <c r="G397" s="4" t="inlineStr">
        <is>
          <t>刘皓</t>
        </is>
      </c>
      <c r="H397" s="4" t="inlineStr">
        <is>
          <t>落地浴缸</t>
        </is>
      </c>
      <c r="I397" s="12" t="inlineStr">
        <is>
          <t>否</t>
        </is>
      </c>
      <c r="J397" s="4" t="inlineStr">
        <is>
          <t>/</t>
        </is>
      </c>
      <c r="K397" s="4" t="inlineStr">
        <is>
          <t>/</t>
        </is>
      </c>
      <c r="L397" s="0">
        <f>DATEDIF(J397,$L$1,"M")</f>
        <v/>
      </c>
      <c r="M397" s="0">
        <f>IF(L397&lt;18,"新品期",IF(L397&lt;=36,"老品期","衰退期"))</f>
        <v/>
      </c>
      <c r="N397" s="15" t="inlineStr">
        <is>
          <t>备用链接，没发货</t>
        </is>
      </c>
    </row>
    <row r="398" ht="15" customFormat="1" customHeight="1" s="36">
      <c r="A398" s="4" t="inlineStr">
        <is>
          <t>Qinkell-US</t>
        </is>
      </c>
      <c r="B398" s="4" t="inlineStr">
        <is>
          <t>Qinkell美国站</t>
        </is>
      </c>
      <c r="C398" s="4">
        <f>B398&amp;D398</f>
        <v/>
      </c>
      <c r="D398" s="4" t="inlineStr">
        <is>
          <t>QC-202506-BG01</t>
        </is>
      </c>
      <c r="E398" s="4" t="inlineStr">
        <is>
          <t>230F0022BG1</t>
        </is>
      </c>
      <c r="F398" s="4" t="inlineStr">
        <is>
          <t>22系列单功能入墙浴缸龙头拉丝钛金封油</t>
        </is>
      </c>
      <c r="G398" s="4" t="inlineStr">
        <is>
          <t>胡娟娟</t>
        </is>
      </c>
      <c r="H398" s="4" t="inlineStr">
        <is>
          <t>缸边浴缸</t>
        </is>
      </c>
      <c r="I398" s="12" t="n"/>
      <c r="J398" s="4" t="inlineStr">
        <is>
          <t>/</t>
        </is>
      </c>
      <c r="K398" s="4" t="inlineStr">
        <is>
          <t>/</t>
        </is>
      </c>
      <c r="L398" s="0">
        <f>DATEDIF(J398,$L$1,"M")</f>
        <v/>
      </c>
      <c r="M398" s="0">
        <f>IF(L398&lt;18,"新品期",IF(L398&lt;=36,"老品期","衰退期"))</f>
        <v/>
      </c>
      <c r="N398" s="15" t="inlineStr">
        <is>
          <t>只是建了链接 没发货的</t>
        </is>
      </c>
    </row>
    <row r="399" ht="15" customFormat="1" customHeight="1" s="36">
      <c r="A399" s="4" t="inlineStr">
        <is>
          <t>Qinkell-US</t>
        </is>
      </c>
      <c r="B399" s="4" t="inlineStr">
        <is>
          <t>Qinkell美国站</t>
        </is>
      </c>
      <c r="C399" s="4">
        <f>B399&amp;D399</f>
        <v/>
      </c>
      <c r="D399" s="4" t="inlineStr">
        <is>
          <t>QC-202506-BGZZ01</t>
        </is>
      </c>
      <c r="E399" s="4" t="inlineStr">
        <is>
          <t>230F0022BG1</t>
        </is>
      </c>
      <c r="F399" s="4" t="inlineStr">
        <is>
          <t>22系列单功能入墙浴缸龙头拉丝钛金封油</t>
        </is>
      </c>
      <c r="G399" s="4" t="inlineStr">
        <is>
          <t>胡娟娟</t>
        </is>
      </c>
      <c r="H399" s="4" t="inlineStr">
        <is>
          <t>缸边浴缸</t>
        </is>
      </c>
      <c r="I399" s="12" t="n"/>
      <c r="J399" s="4" t="inlineStr">
        <is>
          <t>/</t>
        </is>
      </c>
      <c r="K399" s="4" t="inlineStr">
        <is>
          <t>/</t>
        </is>
      </c>
      <c r="L399" s="0">
        <f>DATEDIF(J399,$L$1,"M")</f>
        <v/>
      </c>
      <c r="M399" s="0">
        <f>IF(L399&lt;18,"新品期",IF(L399&lt;=36,"老品期","衰退期"))</f>
        <v/>
      </c>
      <c r="N399" s="15" t="inlineStr">
        <is>
          <t>只是建了链接 没发货的</t>
        </is>
      </c>
    </row>
    <row r="400" ht="15" customFormat="1" customHeight="1" s="36">
      <c r="A400" s="4" t="inlineStr">
        <is>
          <t>Qinkell-US</t>
        </is>
      </c>
      <c r="B400" s="4" t="inlineStr">
        <is>
          <t>Qinkell美国站</t>
        </is>
      </c>
      <c r="C400" s="4">
        <f>B400&amp;D400</f>
        <v/>
      </c>
      <c r="D400" s="4" t="inlineStr">
        <is>
          <t>QC-202506-BK01</t>
        </is>
      </c>
      <c r="E400" s="4" t="inlineStr">
        <is>
          <t>230F0022BK1</t>
        </is>
      </c>
      <c r="F400" s="4" t="inlineStr">
        <is>
          <t>22系列单功能入墙浴缸龙头电泳黑</t>
        </is>
      </c>
      <c r="G400" s="4" t="inlineStr">
        <is>
          <t>胡娟娟</t>
        </is>
      </c>
      <c r="H400" s="4" t="inlineStr">
        <is>
          <t>缸边浴缸</t>
        </is>
      </c>
      <c r="I400" s="12" t="n"/>
      <c r="J400" s="4" t="inlineStr">
        <is>
          <t>/</t>
        </is>
      </c>
      <c r="K400" s="4" t="inlineStr">
        <is>
          <t>/</t>
        </is>
      </c>
      <c r="L400" s="0">
        <f>DATEDIF(J400,$L$1,"M")</f>
        <v/>
      </c>
      <c r="M400" s="0">
        <f>IF(L400&lt;18,"新品期",IF(L400&lt;=36,"老品期","衰退期"))</f>
        <v/>
      </c>
      <c r="N400" s="15" t="inlineStr">
        <is>
          <t>只是建了链接 没发货的</t>
        </is>
      </c>
    </row>
    <row r="401" ht="15" customFormat="1" customHeight="1" s="36">
      <c r="A401" s="4" t="inlineStr">
        <is>
          <t>Qinkell-US</t>
        </is>
      </c>
      <c r="B401" s="4" t="inlineStr">
        <is>
          <t>Qinkell美国站</t>
        </is>
      </c>
      <c r="C401" s="4">
        <f>B401&amp;D401</f>
        <v/>
      </c>
      <c r="D401" s="4" t="inlineStr">
        <is>
          <t>QC-202506-BKZZ01</t>
        </is>
      </c>
      <c r="E401" s="4" t="inlineStr">
        <is>
          <t>230F0022BK1</t>
        </is>
      </c>
      <c r="F401" s="4" t="inlineStr">
        <is>
          <t>22系列单功能入墙浴缸龙头电泳黑</t>
        </is>
      </c>
      <c r="G401" s="4" t="inlineStr">
        <is>
          <t>胡娟娟</t>
        </is>
      </c>
      <c r="H401" s="4" t="inlineStr">
        <is>
          <t>缸边浴缸</t>
        </is>
      </c>
      <c r="I401" s="12" t="n"/>
      <c r="J401" s="4" t="inlineStr">
        <is>
          <t>/</t>
        </is>
      </c>
      <c r="K401" s="4" t="inlineStr">
        <is>
          <t>/</t>
        </is>
      </c>
      <c r="L401" s="0">
        <f>DATEDIF(J401,$L$1,"M")</f>
        <v/>
      </c>
      <c r="M401" s="0">
        <f>IF(L401&lt;18,"新品期",IF(L401&lt;=36,"老品期","衰退期"))</f>
        <v/>
      </c>
      <c r="N401" s="15" t="inlineStr">
        <is>
          <t>只是建了链接 没发货的</t>
        </is>
      </c>
    </row>
    <row r="402" ht="15" customFormat="1" customHeight="1" s="36">
      <c r="A402" s="4" t="inlineStr">
        <is>
          <t>Qinkell-US</t>
        </is>
      </c>
      <c r="B402" s="4" t="inlineStr">
        <is>
          <t>Qinkell美国站</t>
        </is>
      </c>
      <c r="C402" s="4">
        <f>B402&amp;D402</f>
        <v/>
      </c>
      <c r="D402" s="4" t="inlineStr">
        <is>
          <t>QC-202506-BN01</t>
        </is>
      </c>
      <c r="E402" s="4" t="inlineStr">
        <is>
          <t>230F0022BN1</t>
        </is>
      </c>
      <c r="F402" s="4" t="inlineStr">
        <is>
          <t>22系列单功能入墙浴缸龙头拉丝封油</t>
        </is>
      </c>
      <c r="G402" s="4" t="inlineStr">
        <is>
          <t>胡娟娟</t>
        </is>
      </c>
      <c r="H402" s="4" t="inlineStr">
        <is>
          <t>缸边浴缸</t>
        </is>
      </c>
      <c r="I402" s="12" t="n"/>
      <c r="J402" s="4" t="inlineStr">
        <is>
          <t>/</t>
        </is>
      </c>
      <c r="K402" s="4" t="inlineStr">
        <is>
          <t>/</t>
        </is>
      </c>
      <c r="L402" s="0">
        <f>DATEDIF(J402,$L$1,"M")</f>
        <v/>
      </c>
      <c r="M402" s="0">
        <f>IF(L402&lt;18,"新品期",IF(L402&lt;=36,"老品期","衰退期"))</f>
        <v/>
      </c>
      <c r="N402" s="15" t="inlineStr">
        <is>
          <t>只是建了链接 没发货的</t>
        </is>
      </c>
    </row>
    <row r="403" ht="15" customFormat="1" customHeight="1" s="36">
      <c r="A403" s="4" t="inlineStr">
        <is>
          <t>Qinkell-US</t>
        </is>
      </c>
      <c r="B403" s="4" t="inlineStr">
        <is>
          <t>Qinkell美国站</t>
        </is>
      </c>
      <c r="C403" s="4">
        <f>B403&amp;D403</f>
        <v/>
      </c>
      <c r="D403" s="4" t="inlineStr">
        <is>
          <t>QC-202506-BNZZ01</t>
        </is>
      </c>
      <c r="E403" s="4" t="inlineStr">
        <is>
          <t>230F0022BN1</t>
        </is>
      </c>
      <c r="F403" s="4" t="inlineStr">
        <is>
          <t>22系列单功能入墙浴缸龙头拉丝封油</t>
        </is>
      </c>
      <c r="G403" s="4" t="inlineStr">
        <is>
          <t>胡娟娟</t>
        </is>
      </c>
      <c r="H403" s="4" t="inlineStr">
        <is>
          <t>缸边浴缸</t>
        </is>
      </c>
      <c r="I403" s="12" t="n"/>
      <c r="J403" s="4" t="inlineStr">
        <is>
          <t>/</t>
        </is>
      </c>
      <c r="K403" s="4" t="inlineStr">
        <is>
          <t>/</t>
        </is>
      </c>
      <c r="L403" s="0">
        <f>DATEDIF(J403,$L$1,"M")</f>
        <v/>
      </c>
      <c r="M403" s="0">
        <f>IF(L403&lt;18,"新品期",IF(L403&lt;=36,"老品期","衰退期"))</f>
        <v/>
      </c>
      <c r="N403" s="15" t="inlineStr">
        <is>
          <t>只是建了链接 没发货的</t>
        </is>
      </c>
    </row>
    <row r="404" ht="15" customFormat="1" customHeight="1" s="36">
      <c r="A404" s="4" t="inlineStr">
        <is>
          <t>Qinkell-US</t>
        </is>
      </c>
      <c r="B404" s="4" t="inlineStr">
        <is>
          <t>Qinkell美国站</t>
        </is>
      </c>
      <c r="C404" s="4">
        <f>B404&amp;D404</f>
        <v/>
      </c>
      <c r="D404" s="4" t="inlineStr">
        <is>
          <t>QC-202506-CP01</t>
        </is>
      </c>
      <c r="E404" s="4" t="inlineStr">
        <is>
          <t>230F0022CP1</t>
        </is>
      </c>
      <c r="F404" s="4" t="inlineStr">
        <is>
          <t>22系列单功能入墙浴缸龙头铬</t>
        </is>
      </c>
      <c r="G404" s="4" t="inlineStr">
        <is>
          <t>胡娟娟</t>
        </is>
      </c>
      <c r="H404" s="4" t="inlineStr">
        <is>
          <t>缸边浴缸</t>
        </is>
      </c>
      <c r="I404" s="12" t="n"/>
      <c r="J404" s="4" t="inlineStr">
        <is>
          <t>/</t>
        </is>
      </c>
      <c r="K404" s="4" t="inlineStr">
        <is>
          <t>/</t>
        </is>
      </c>
      <c r="L404" s="0">
        <f>DATEDIF(J404,$L$1,"M")</f>
        <v/>
      </c>
      <c r="M404" s="0">
        <f>IF(L404&lt;18,"新品期",IF(L404&lt;=36,"老品期","衰退期"))</f>
        <v/>
      </c>
      <c r="N404" s="15" t="inlineStr">
        <is>
          <t>只是建了链接 没发货的</t>
        </is>
      </c>
    </row>
    <row r="405" ht="15" customFormat="1" customHeight="1" s="36">
      <c r="A405" s="4" t="inlineStr">
        <is>
          <t>Qinkell-US</t>
        </is>
      </c>
      <c r="B405" s="4" t="inlineStr">
        <is>
          <t>Qinkell美国站</t>
        </is>
      </c>
      <c r="C405" s="4">
        <f>B405&amp;D405</f>
        <v/>
      </c>
      <c r="D405" s="4" t="inlineStr">
        <is>
          <t>QC-202506-CPZZ01</t>
        </is>
      </c>
      <c r="E405" s="4" t="inlineStr">
        <is>
          <t>230F0022CP1</t>
        </is>
      </c>
      <c r="F405" s="4" t="inlineStr">
        <is>
          <t>22系列单功能入墙浴缸龙头铬</t>
        </is>
      </c>
      <c r="G405" s="4" t="inlineStr">
        <is>
          <t>胡娟娟</t>
        </is>
      </c>
      <c r="H405" s="4" t="inlineStr">
        <is>
          <t>缸边浴缸</t>
        </is>
      </c>
      <c r="I405" s="12" t="n"/>
      <c r="J405" s="4" t="inlineStr">
        <is>
          <t>/</t>
        </is>
      </c>
      <c r="K405" s="4" t="inlineStr">
        <is>
          <t>/</t>
        </is>
      </c>
      <c r="L405" s="0">
        <f>DATEDIF(J405,$L$1,"M")</f>
        <v/>
      </c>
      <c r="M405" s="0">
        <f>IF(L405&lt;18,"新品期",IF(L405&lt;=36,"老品期","衰退期"))</f>
        <v/>
      </c>
      <c r="N405" s="15" t="inlineStr">
        <is>
          <t>只是建了链接 没发货的</t>
        </is>
      </c>
    </row>
    <row r="406" ht="15" customFormat="1" customHeight="1" s="36">
      <c r="A406" s="4" t="inlineStr">
        <is>
          <t>Qinkell-US</t>
        </is>
      </c>
      <c r="B406" s="4" t="inlineStr">
        <is>
          <t>Qinkell美国站</t>
        </is>
      </c>
      <c r="C406" s="4">
        <f>B406&amp;D406</f>
        <v/>
      </c>
      <c r="D406" s="4" t="inlineStr">
        <is>
          <t>QC-202506-ORB01</t>
        </is>
      </c>
      <c r="E406" s="4" t="inlineStr">
        <is>
          <t>230F0022OB1</t>
        </is>
      </c>
      <c r="F406" s="4" t="inlineStr">
        <is>
          <t>22系列单功能入墙浴缸龙头拉丝古铜色</t>
        </is>
      </c>
      <c r="G406" s="4" t="inlineStr">
        <is>
          <t>胡娟娟</t>
        </is>
      </c>
      <c r="H406" s="4" t="inlineStr">
        <is>
          <t>缸边浴缸</t>
        </is>
      </c>
      <c r="I406" s="12" t="n"/>
      <c r="J406" s="4" t="inlineStr">
        <is>
          <t>/</t>
        </is>
      </c>
      <c r="K406" s="4" t="inlineStr">
        <is>
          <t>/</t>
        </is>
      </c>
      <c r="L406" s="0">
        <f>DATEDIF(J406,$L$1,"M")</f>
        <v/>
      </c>
      <c r="M406" s="0">
        <f>IF(L406&lt;18,"新品期",IF(L406&lt;=36,"老品期","衰退期"))</f>
        <v/>
      </c>
      <c r="N406" s="15" t="inlineStr">
        <is>
          <t>只是建了链接 没发货的</t>
        </is>
      </c>
    </row>
    <row r="407" ht="15" customFormat="1" customHeight="1" s="36">
      <c r="A407" s="4" t="inlineStr">
        <is>
          <t>Qinkell-US</t>
        </is>
      </c>
      <c r="B407" s="4" t="inlineStr">
        <is>
          <t>Qinkell美国站</t>
        </is>
      </c>
      <c r="C407" s="4">
        <f>B407&amp;D407</f>
        <v/>
      </c>
      <c r="D407" s="4" t="inlineStr">
        <is>
          <t>QC-202506-ORBZZ01</t>
        </is>
      </c>
      <c r="E407" s="4" t="inlineStr">
        <is>
          <t>230F0022OB1</t>
        </is>
      </c>
      <c r="F407" s="4" t="inlineStr">
        <is>
          <t>22系列单功能入墙浴缸龙头拉丝古铜色</t>
        </is>
      </c>
      <c r="G407" s="4" t="inlineStr">
        <is>
          <t>胡娟娟</t>
        </is>
      </c>
      <c r="H407" s="4" t="inlineStr">
        <is>
          <t>缸边浴缸</t>
        </is>
      </c>
      <c r="I407" s="12" t="n"/>
      <c r="J407" s="4" t="inlineStr">
        <is>
          <t>/</t>
        </is>
      </c>
      <c r="K407" s="4" t="inlineStr">
        <is>
          <t>/</t>
        </is>
      </c>
      <c r="L407" s="0">
        <f>DATEDIF(J407,$L$1,"M")</f>
        <v/>
      </c>
      <c r="M407" s="0">
        <f>IF(L407&lt;18,"新品期",IF(L407&lt;=36,"老品期","衰退期"))</f>
        <v/>
      </c>
      <c r="N407" s="15" t="inlineStr">
        <is>
          <t>只是建了链接 没发货的</t>
        </is>
      </c>
    </row>
    <row r="408" ht="15" customFormat="1" customHeight="1" s="36">
      <c r="A408" s="4" t="inlineStr">
        <is>
          <t>Qinkell-US</t>
        </is>
      </c>
      <c r="B408" s="4" t="inlineStr">
        <is>
          <t>Qinkell美国站</t>
        </is>
      </c>
      <c r="C408" s="4">
        <f>B408&amp;D408</f>
        <v/>
      </c>
      <c r="D408" s="4" t="inlineStr">
        <is>
          <t>QC-202506-ZG01</t>
        </is>
      </c>
      <c r="E408" s="4" t="inlineStr">
        <is>
          <t>230F0022BG3</t>
        </is>
      </c>
      <c r="F408" s="4" t="inlineStr">
        <is>
          <t>22系列单功能入墙浴缸龙头拉丝锆金封油</t>
        </is>
      </c>
      <c r="G408" s="4" t="inlineStr">
        <is>
          <t>胡娟娟</t>
        </is>
      </c>
      <c r="H408" s="4" t="inlineStr">
        <is>
          <t>缸边浴缸</t>
        </is>
      </c>
      <c r="I408" s="12" t="n"/>
      <c r="J408" s="4" t="inlineStr">
        <is>
          <t>/</t>
        </is>
      </c>
      <c r="K408" s="4" t="inlineStr">
        <is>
          <t>/</t>
        </is>
      </c>
      <c r="L408" s="0">
        <f>DATEDIF(J408,$L$1,"M")</f>
        <v/>
      </c>
      <c r="M408" s="0">
        <f>IF(L408&lt;18,"新品期",IF(L408&lt;=36,"老品期","衰退期"))</f>
        <v/>
      </c>
      <c r="N408" s="15" t="inlineStr">
        <is>
          <t>只是建了链接 没发货的</t>
        </is>
      </c>
    </row>
    <row r="409" ht="15" customFormat="1" customHeight="1" s="36">
      <c r="A409" s="4" t="inlineStr">
        <is>
          <t>Qinkell-US</t>
        </is>
      </c>
      <c r="B409" s="4" t="inlineStr">
        <is>
          <t>Qinkell美国站</t>
        </is>
      </c>
      <c r="C409" s="4">
        <f>B409&amp;D409</f>
        <v/>
      </c>
      <c r="D409" s="4" t="inlineStr">
        <is>
          <t>QC-202506-ZG02</t>
        </is>
      </c>
      <c r="E409" s="4" t="inlineStr">
        <is>
          <t>230F0022BG3</t>
        </is>
      </c>
      <c r="F409" s="4" t="inlineStr">
        <is>
          <t>22系列单功能入墙浴缸龙头拉丝锆金封油</t>
        </is>
      </c>
      <c r="G409" s="4" t="inlineStr">
        <is>
          <t>胡娟娟</t>
        </is>
      </c>
      <c r="H409" s="4" t="inlineStr">
        <is>
          <t>缸边浴缸</t>
        </is>
      </c>
      <c r="I409" s="12" t="n"/>
      <c r="J409" s="4" t="inlineStr">
        <is>
          <t>/</t>
        </is>
      </c>
      <c r="K409" s="4" t="inlineStr">
        <is>
          <t>/</t>
        </is>
      </c>
      <c r="L409" s="0">
        <f>DATEDIF(J409,$L$1,"M")</f>
        <v/>
      </c>
      <c r="M409" s="0">
        <f>IF(L409&lt;18,"新品期",IF(L409&lt;=36,"老品期","衰退期"))</f>
        <v/>
      </c>
      <c r="N409" s="15" t="inlineStr">
        <is>
          <t>只是建了链接 没发货的</t>
        </is>
      </c>
    </row>
    <row r="410" ht="15" customFormat="1" customHeight="1" s="36">
      <c r="A410" s="4" t="inlineStr">
        <is>
          <t>Qinkell-US</t>
        </is>
      </c>
      <c r="B410" s="4" t="inlineStr">
        <is>
          <t>Qinkell美国站</t>
        </is>
      </c>
      <c r="C410" s="4">
        <f>B410&amp;D410</f>
        <v/>
      </c>
      <c r="D410" s="4" t="inlineStr">
        <is>
          <t>QC-202506-ZGZZ01</t>
        </is>
      </c>
      <c r="E410" s="4" t="inlineStr">
        <is>
          <t>230F0022BG3</t>
        </is>
      </c>
      <c r="F410" s="4" t="inlineStr">
        <is>
          <t>22系列单功能入墙浴缸龙头拉丝锆金封油</t>
        </is>
      </c>
      <c r="G410" s="4" t="inlineStr">
        <is>
          <t>胡娟娟</t>
        </is>
      </c>
      <c r="H410" s="4" t="inlineStr">
        <is>
          <t>缸边浴缸</t>
        </is>
      </c>
      <c r="I410" s="12" t="n"/>
      <c r="J410" s="4" t="inlineStr">
        <is>
          <t>/</t>
        </is>
      </c>
      <c r="K410" s="4" t="inlineStr">
        <is>
          <t>/</t>
        </is>
      </c>
      <c r="L410" s="0">
        <f>DATEDIF(J410,$L$1,"M")</f>
        <v/>
      </c>
      <c r="M410" s="0">
        <f>IF(L410&lt;18,"新品期",IF(L410&lt;=36,"老品期","衰退期"))</f>
        <v/>
      </c>
      <c r="N410" s="15" t="inlineStr">
        <is>
          <t>只是建了链接 没发货的</t>
        </is>
      </c>
    </row>
    <row r="411" ht="15" customFormat="1" customHeight="1" s="36">
      <c r="A411" s="4" t="inlineStr">
        <is>
          <t>Qinkell-US</t>
        </is>
      </c>
      <c r="B411" s="4" t="inlineStr">
        <is>
          <t>Qinkell美国站</t>
        </is>
      </c>
      <c r="C411" s="4">
        <f>B411&amp;D411</f>
        <v/>
      </c>
      <c r="D411" s="4" t="inlineStr">
        <is>
          <t>QC-202507-BG01</t>
        </is>
      </c>
      <c r="E411" s="4" t="inlineStr">
        <is>
          <t>221F0022BG1</t>
        </is>
      </c>
      <c r="F411" s="4" t="inlineStr">
        <is>
          <t>22系列三件套缸边浴缸龙头拉丝钛金封油</t>
        </is>
      </c>
      <c r="G411" s="4" t="inlineStr">
        <is>
          <t>胡娟娟</t>
        </is>
      </c>
      <c r="H411" s="4" t="inlineStr">
        <is>
          <t>缸边浴缸</t>
        </is>
      </c>
      <c r="I411" s="12" t="n"/>
      <c r="J411" s="34" t="n">
        <v>45800</v>
      </c>
      <c r="K411" s="34" t="n">
        <v>45800</v>
      </c>
      <c r="L411" s="0">
        <f>DATEDIF(J411,$L$1,"M")</f>
        <v/>
      </c>
      <c r="M411" s="0">
        <f>IF(L411&lt;18,"新品期",IF(L411&lt;=36,"老品期","衰退期"))</f>
        <v/>
      </c>
    </row>
    <row r="412" ht="15" customFormat="1" customHeight="1" s="36">
      <c r="A412" s="4" t="inlineStr">
        <is>
          <t>Qinkell-US</t>
        </is>
      </c>
      <c r="B412" s="4" t="inlineStr">
        <is>
          <t>Qinkell美国站</t>
        </is>
      </c>
      <c r="C412" s="4">
        <f>B412&amp;D412</f>
        <v/>
      </c>
      <c r="D412" s="4" t="inlineStr">
        <is>
          <t>QC-202507-BGZZ01</t>
        </is>
      </c>
      <c r="E412" s="4" t="inlineStr">
        <is>
          <t>221F0022BG1</t>
        </is>
      </c>
      <c r="F412" s="4" t="inlineStr">
        <is>
          <t>22系列三件套缸边浴缸龙头拉丝钛金封油</t>
        </is>
      </c>
      <c r="G412" s="4" t="inlineStr">
        <is>
          <t>胡娟娟</t>
        </is>
      </c>
      <c r="H412" s="4" t="inlineStr">
        <is>
          <t>缸边浴缸</t>
        </is>
      </c>
      <c r="I412" s="12" t="n"/>
      <c r="J412" s="34" t="n">
        <v>45800</v>
      </c>
      <c r="K412" s="34" t="n">
        <v>45800</v>
      </c>
      <c r="L412" s="0">
        <f>DATEDIF(J412,$L$1,"M")</f>
        <v/>
      </c>
      <c r="M412" s="0">
        <f>IF(L412&lt;18,"新品期",IF(L412&lt;=36,"老品期","衰退期"))</f>
        <v/>
      </c>
    </row>
    <row r="413" ht="15" customFormat="1" customHeight="1" s="36">
      <c r="A413" s="4" t="inlineStr">
        <is>
          <t>Qinkell-US</t>
        </is>
      </c>
      <c r="B413" s="4" t="inlineStr">
        <is>
          <t>Qinkell美国站</t>
        </is>
      </c>
      <c r="C413" s="4">
        <f>B413&amp;D413</f>
        <v/>
      </c>
      <c r="D413" s="4" t="inlineStr">
        <is>
          <t>QC-202507-BK01</t>
        </is>
      </c>
      <c r="E413" s="4" t="inlineStr">
        <is>
          <t>221F0022BK1</t>
        </is>
      </c>
      <c r="F413" s="4" t="inlineStr">
        <is>
          <t>22系列三件套缸边浴缸龙头电泳黑</t>
        </is>
      </c>
      <c r="G413" s="4" t="inlineStr">
        <is>
          <t>胡娟娟</t>
        </is>
      </c>
      <c r="H413" s="4" t="inlineStr">
        <is>
          <t>缸边浴缸</t>
        </is>
      </c>
      <c r="I413" s="12" t="n"/>
      <c r="J413" s="34" t="n">
        <v>45800</v>
      </c>
      <c r="K413" s="34" t="n">
        <v>45800</v>
      </c>
      <c r="L413" s="0">
        <f>DATEDIF(J413,$L$1,"M")</f>
        <v/>
      </c>
      <c r="M413" s="0">
        <f>IF(L413&lt;18,"新品期",IF(L413&lt;=36,"老品期","衰退期"))</f>
        <v/>
      </c>
    </row>
    <row r="414" ht="15" customFormat="1" customHeight="1" s="36">
      <c r="A414" s="4" t="inlineStr">
        <is>
          <t>Qinkell-US</t>
        </is>
      </c>
      <c r="B414" s="4" t="inlineStr">
        <is>
          <t>Qinkell美国站</t>
        </is>
      </c>
      <c r="C414" s="4">
        <f>B414&amp;D414</f>
        <v/>
      </c>
      <c r="D414" s="4" t="inlineStr">
        <is>
          <t>QC-202507-BKZZ01</t>
        </is>
      </c>
      <c r="E414" s="4" t="inlineStr">
        <is>
          <t>221F0022BK1</t>
        </is>
      </c>
      <c r="F414" s="4" t="inlineStr">
        <is>
          <t>22系列三件套缸边浴缸龙头电泳黑</t>
        </is>
      </c>
      <c r="G414" s="4" t="inlineStr">
        <is>
          <t>胡娟娟</t>
        </is>
      </c>
      <c r="H414" s="4" t="inlineStr">
        <is>
          <t>缸边浴缸</t>
        </is>
      </c>
      <c r="I414" s="12" t="n"/>
      <c r="J414" s="34" t="n">
        <v>45800</v>
      </c>
      <c r="K414" s="34" t="n">
        <v>45800</v>
      </c>
      <c r="L414" s="0">
        <f>DATEDIF(J414,$L$1,"M")</f>
        <v/>
      </c>
      <c r="M414" s="0">
        <f>IF(L414&lt;18,"新品期",IF(L414&lt;=36,"老品期","衰退期"))</f>
        <v/>
      </c>
    </row>
    <row r="415" ht="15" customFormat="1" customHeight="1" s="36">
      <c r="A415" s="4" t="inlineStr">
        <is>
          <t>Qinkell-US</t>
        </is>
      </c>
      <c r="B415" s="4" t="inlineStr">
        <is>
          <t>Qinkell美国站</t>
        </is>
      </c>
      <c r="C415" s="4">
        <f>B415&amp;D415</f>
        <v/>
      </c>
      <c r="D415" s="4" t="inlineStr">
        <is>
          <t>QC-202507-BN01</t>
        </is>
      </c>
      <c r="E415" s="4" t="inlineStr">
        <is>
          <t>221F0022BN1</t>
        </is>
      </c>
      <c r="F415" s="4" t="inlineStr">
        <is>
          <t>22系列三件套缸边浴缸龙头拉丝封油</t>
        </is>
      </c>
      <c r="G415" s="4" t="inlineStr">
        <is>
          <t>胡娟娟</t>
        </is>
      </c>
      <c r="H415" s="4" t="inlineStr">
        <is>
          <t>缸边浴缸</t>
        </is>
      </c>
      <c r="I415" s="12" t="n"/>
      <c r="J415" s="34" t="n">
        <v>45800</v>
      </c>
      <c r="K415" s="34" t="n">
        <v>45800</v>
      </c>
      <c r="L415" s="0">
        <f>DATEDIF(J415,$L$1,"M")</f>
        <v/>
      </c>
      <c r="M415" s="0">
        <f>IF(L415&lt;18,"新品期",IF(L415&lt;=36,"老品期","衰退期"))</f>
        <v/>
      </c>
    </row>
    <row r="416" ht="15" customFormat="1" customHeight="1" s="36">
      <c r="A416" s="4" t="inlineStr">
        <is>
          <t>Qinkell-US</t>
        </is>
      </c>
      <c r="B416" s="4" t="inlineStr">
        <is>
          <t>Qinkell美国站</t>
        </is>
      </c>
      <c r="C416" s="4">
        <f>B416&amp;D416</f>
        <v/>
      </c>
      <c r="D416" s="4" t="inlineStr">
        <is>
          <t>QC-202507-BNZZ01</t>
        </is>
      </c>
      <c r="E416" s="4" t="inlineStr">
        <is>
          <t>221F0022BN1</t>
        </is>
      </c>
      <c r="F416" s="4" t="inlineStr">
        <is>
          <t>22系列三件套缸边浴缸龙头拉丝封油</t>
        </is>
      </c>
      <c r="G416" s="4" t="inlineStr">
        <is>
          <t>胡娟娟</t>
        </is>
      </c>
      <c r="H416" s="4" t="inlineStr">
        <is>
          <t>缸边浴缸</t>
        </is>
      </c>
      <c r="I416" s="12" t="n"/>
      <c r="J416" s="34" t="n">
        <v>45800</v>
      </c>
      <c r="K416" s="34" t="n">
        <v>45800</v>
      </c>
      <c r="L416" s="0">
        <f>DATEDIF(J416,$L$1,"M")</f>
        <v/>
      </c>
      <c r="M416" s="0">
        <f>IF(L416&lt;18,"新品期",IF(L416&lt;=36,"老品期","衰退期"))</f>
        <v/>
      </c>
    </row>
    <row r="417" ht="15" customFormat="1" customHeight="1" s="36">
      <c r="A417" s="4" t="inlineStr">
        <is>
          <t>Qinkell-US</t>
        </is>
      </c>
      <c r="B417" s="4" t="inlineStr">
        <is>
          <t>Qinkell美国站</t>
        </is>
      </c>
      <c r="C417" s="4">
        <f>B417&amp;D417</f>
        <v/>
      </c>
      <c r="D417" s="4" t="inlineStr">
        <is>
          <t>QC-202507-CP01</t>
        </is>
      </c>
      <c r="E417" s="4" t="inlineStr">
        <is>
          <t>221F0022CP1</t>
        </is>
      </c>
      <c r="F417" s="4" t="inlineStr">
        <is>
          <t>22系列三件套缸边浴缸龙头铬</t>
        </is>
      </c>
      <c r="G417" s="4" t="inlineStr">
        <is>
          <t>胡娟娟</t>
        </is>
      </c>
      <c r="H417" s="4" t="inlineStr">
        <is>
          <t>缸边浴缸</t>
        </is>
      </c>
      <c r="I417" s="12" t="n"/>
      <c r="J417" s="34" t="n">
        <v>45800</v>
      </c>
      <c r="K417" s="34" t="n">
        <v>45800</v>
      </c>
      <c r="L417" s="0">
        <f>DATEDIF(J417,$L$1,"M")</f>
        <v/>
      </c>
      <c r="M417" s="0">
        <f>IF(L417&lt;18,"新品期",IF(L417&lt;=36,"老品期","衰退期"))</f>
        <v/>
      </c>
    </row>
    <row r="418" ht="15" customFormat="1" customHeight="1" s="36">
      <c r="A418" s="4" t="inlineStr">
        <is>
          <t>Qinkell-US</t>
        </is>
      </c>
      <c r="B418" s="4" t="inlineStr">
        <is>
          <t>Qinkell美国站</t>
        </is>
      </c>
      <c r="C418" s="4">
        <f>B418&amp;D418</f>
        <v/>
      </c>
      <c r="D418" s="4" t="inlineStr">
        <is>
          <t>QC-202507-CPZZ01</t>
        </is>
      </c>
      <c r="E418" s="4" t="inlineStr">
        <is>
          <t>221F0022CP1</t>
        </is>
      </c>
      <c r="F418" s="4" t="inlineStr">
        <is>
          <t>22系列三件套缸边浴缸龙头铬</t>
        </is>
      </c>
      <c r="G418" s="4" t="inlineStr">
        <is>
          <t>胡娟娟</t>
        </is>
      </c>
      <c r="H418" s="4" t="inlineStr">
        <is>
          <t>缸边浴缸</t>
        </is>
      </c>
      <c r="I418" s="12" t="n"/>
      <c r="J418" s="34" t="n">
        <v>45800</v>
      </c>
      <c r="K418" s="34" t="n">
        <v>45800</v>
      </c>
      <c r="L418" s="0">
        <f>DATEDIF(J418,$L$1,"M")</f>
        <v/>
      </c>
      <c r="M418" s="0">
        <f>IF(L418&lt;18,"新品期",IF(L418&lt;=36,"老品期","衰退期"))</f>
        <v/>
      </c>
    </row>
    <row r="419" ht="15" customFormat="1" customHeight="1" s="36">
      <c r="A419" s="4" t="inlineStr">
        <is>
          <t>Qinkell-US</t>
        </is>
      </c>
      <c r="B419" s="4" t="inlineStr">
        <is>
          <t>Qinkell美国站</t>
        </is>
      </c>
      <c r="C419" s="4">
        <f>B419&amp;D419</f>
        <v/>
      </c>
      <c r="D419" s="4" t="inlineStr">
        <is>
          <t>QC-202507-ORB01</t>
        </is>
      </c>
      <c r="E419" s="4" t="inlineStr">
        <is>
          <t>221F0022OB1</t>
        </is>
      </c>
      <c r="F419" s="4" t="inlineStr">
        <is>
          <t>22系列三件套缸边浴缸龙头拉丝古铜色</t>
        </is>
      </c>
      <c r="G419" s="4" t="inlineStr">
        <is>
          <t>胡娟娟</t>
        </is>
      </c>
      <c r="H419" s="4" t="inlineStr">
        <is>
          <t>缸边浴缸</t>
        </is>
      </c>
      <c r="I419" s="12" t="n"/>
      <c r="J419" s="34" t="n">
        <v>45800</v>
      </c>
      <c r="K419" s="34" t="n">
        <v>45800</v>
      </c>
      <c r="L419" s="0">
        <f>DATEDIF(J419,$L$1,"M")</f>
        <v/>
      </c>
      <c r="M419" s="0">
        <f>IF(L419&lt;18,"新品期",IF(L419&lt;=36,"老品期","衰退期"))</f>
        <v/>
      </c>
    </row>
    <row r="420" ht="15" customFormat="1" customHeight="1" s="36">
      <c r="A420" s="4" t="inlineStr">
        <is>
          <t>Qinkell-US</t>
        </is>
      </c>
      <c r="B420" s="4" t="inlineStr">
        <is>
          <t>Qinkell美国站</t>
        </is>
      </c>
      <c r="C420" s="4">
        <f>B420&amp;D420</f>
        <v/>
      </c>
      <c r="D420" s="4" t="inlineStr">
        <is>
          <t>QC-202507-ORBZZ01</t>
        </is>
      </c>
      <c r="E420" s="4" t="inlineStr">
        <is>
          <t>221F0022OB1</t>
        </is>
      </c>
      <c r="F420" s="4" t="inlineStr">
        <is>
          <t>22系列三件套缸边浴缸龙头拉丝古铜色</t>
        </is>
      </c>
      <c r="G420" s="4" t="inlineStr">
        <is>
          <t>胡娟娟</t>
        </is>
      </c>
      <c r="H420" s="4" t="inlineStr">
        <is>
          <t>缸边浴缸</t>
        </is>
      </c>
      <c r="I420" s="12" t="n"/>
      <c r="J420" s="34" t="n">
        <v>45800</v>
      </c>
      <c r="K420" s="34" t="n">
        <v>45800</v>
      </c>
      <c r="L420" s="0">
        <f>DATEDIF(J420,$L$1,"M")</f>
        <v/>
      </c>
      <c r="M420" s="0">
        <f>IF(L420&lt;18,"新品期",IF(L420&lt;=36,"老品期","衰退期"))</f>
        <v/>
      </c>
    </row>
    <row r="421" ht="15" customFormat="1" customHeight="1" s="36">
      <c r="A421" s="4" t="inlineStr">
        <is>
          <t>Qinkell-US</t>
        </is>
      </c>
      <c r="B421" s="4" t="inlineStr">
        <is>
          <t>Qinkell美国站</t>
        </is>
      </c>
      <c r="C421" s="4">
        <f>B421&amp;D421</f>
        <v/>
      </c>
      <c r="D421" s="4" t="inlineStr">
        <is>
          <t>QC-202507-ZG01</t>
        </is>
      </c>
      <c r="E421" s="4" t="inlineStr">
        <is>
          <t>221F0022BG3</t>
        </is>
      </c>
      <c r="F421" s="4" t="inlineStr">
        <is>
          <t>22系列三件套缸边浴缸龙头拉丝锆金封油</t>
        </is>
      </c>
      <c r="G421" s="4" t="inlineStr">
        <is>
          <t>胡娟娟</t>
        </is>
      </c>
      <c r="H421" s="4" t="inlineStr">
        <is>
          <t>缸边浴缸</t>
        </is>
      </c>
      <c r="I421" s="12" t="n"/>
      <c r="J421" s="34" t="n">
        <v>45800</v>
      </c>
      <c r="K421" s="34" t="n">
        <v>45800</v>
      </c>
      <c r="L421" s="0">
        <f>DATEDIF(J421,$L$1,"M")</f>
        <v/>
      </c>
      <c r="M421" s="0">
        <f>IF(L421&lt;18,"新品期",IF(L421&lt;=36,"老品期","衰退期"))</f>
        <v/>
      </c>
    </row>
    <row r="422" ht="15" customFormat="1" customHeight="1" s="36">
      <c r="A422" s="4" t="inlineStr">
        <is>
          <t>Qinkell-US</t>
        </is>
      </c>
      <c r="B422" s="4" t="inlineStr">
        <is>
          <t>Qinkell美国站</t>
        </is>
      </c>
      <c r="C422" s="4">
        <f>B422&amp;D422</f>
        <v/>
      </c>
      <c r="D422" s="4" t="inlineStr">
        <is>
          <t>QC-202507-ZG02</t>
        </is>
      </c>
      <c r="E422" s="4" t="inlineStr">
        <is>
          <t>221F0022BG3</t>
        </is>
      </c>
      <c r="F422" s="4" t="inlineStr">
        <is>
          <t>22系列三件套缸边浴缸龙头拉丝锆金封油</t>
        </is>
      </c>
      <c r="G422" s="4" t="inlineStr">
        <is>
          <t>胡娟娟</t>
        </is>
      </c>
      <c r="H422" s="4" t="inlineStr">
        <is>
          <t>缸边浴缸</t>
        </is>
      </c>
      <c r="I422" s="12" t="n"/>
      <c r="J422" s="34" t="n">
        <v>45800</v>
      </c>
      <c r="K422" s="34" t="n">
        <v>45800</v>
      </c>
      <c r="L422" s="0">
        <f>DATEDIF(J422,$L$1,"M")</f>
        <v/>
      </c>
      <c r="M422" s="0">
        <f>IF(L422&lt;18,"新品期",IF(L422&lt;=36,"老品期","衰退期"))</f>
        <v/>
      </c>
    </row>
    <row r="423" ht="15" customFormat="1" customHeight="1" s="36">
      <c r="A423" s="4" t="inlineStr">
        <is>
          <t>Qinkell-US</t>
        </is>
      </c>
      <c r="B423" s="4" t="inlineStr">
        <is>
          <t>Qinkell美国站</t>
        </is>
      </c>
      <c r="C423" s="4">
        <f>B423&amp;D423</f>
        <v/>
      </c>
      <c r="D423" s="4" t="inlineStr">
        <is>
          <t>QC-202507-ZGZZ01</t>
        </is>
      </c>
      <c r="E423" s="4" t="inlineStr">
        <is>
          <t>221F0022BG3</t>
        </is>
      </c>
      <c r="F423" s="4" t="inlineStr">
        <is>
          <t>22系列三件套缸边浴缸龙头拉丝锆金封油</t>
        </is>
      </c>
      <c r="G423" s="4" t="inlineStr">
        <is>
          <t>胡娟娟</t>
        </is>
      </c>
      <c r="H423" s="4" t="inlineStr">
        <is>
          <t>缸边浴缸</t>
        </is>
      </c>
      <c r="I423" s="12" t="n"/>
      <c r="J423" s="34" t="n">
        <v>45800</v>
      </c>
      <c r="K423" s="34" t="n">
        <v>45800</v>
      </c>
      <c r="L423" s="0">
        <f>DATEDIF(J423,$L$1,"M")</f>
        <v/>
      </c>
      <c r="M423" s="0">
        <f>IF(L423&lt;18,"新品期",IF(L423&lt;=36,"老品期","衰退期"))</f>
        <v/>
      </c>
    </row>
    <row r="424" ht="15" customFormat="1" customHeight="1" s="36">
      <c r="A424" s="4" t="inlineStr">
        <is>
          <t>Qinkell-US</t>
        </is>
      </c>
      <c r="B424" s="4" t="inlineStr">
        <is>
          <t>Qinkell美国站</t>
        </is>
      </c>
      <c r="C424" s="4">
        <f>B424&amp;D424</f>
        <v/>
      </c>
      <c r="D424" s="4" t="inlineStr">
        <is>
          <t>QC-202507-BG-02</t>
        </is>
      </c>
      <c r="E424" s="4" t="inlineStr">
        <is>
          <t>221F0022BG1</t>
        </is>
      </c>
      <c r="F424" s="4" t="inlineStr">
        <is>
          <t>22系列三件套缸边浴缸龙头拉丝钛金封油</t>
        </is>
      </c>
      <c r="G424" s="4" t="inlineStr">
        <is>
          <t>胡娟娟</t>
        </is>
      </c>
      <c r="H424" s="4" t="inlineStr">
        <is>
          <t>缸边浴缸</t>
        </is>
      </c>
      <c r="I424" s="12" t="n"/>
      <c r="J424" s="34" t="n">
        <v>45917</v>
      </c>
      <c r="K424" s="34" t="n">
        <v>45917</v>
      </c>
      <c r="L424" s="0">
        <f>DATEDIF(J424,$L$1,"M")</f>
        <v/>
      </c>
      <c r="M424" s="0">
        <f>IF(L424&lt;18,"新品期",IF(L424&lt;=36,"老品期","衰退期"))</f>
        <v/>
      </c>
    </row>
    <row r="425" ht="15" customFormat="1" customHeight="1" s="36">
      <c r="A425" s="4" t="inlineStr">
        <is>
          <t>Qinkell-US</t>
        </is>
      </c>
      <c r="B425" s="4" t="inlineStr">
        <is>
          <t>Qinkell美国站</t>
        </is>
      </c>
      <c r="C425" s="4">
        <f>B425&amp;D425</f>
        <v/>
      </c>
      <c r="D425" s="4" t="inlineStr">
        <is>
          <t>QC-202507-ORB-02</t>
        </is>
      </c>
      <c r="E425" s="4" t="inlineStr">
        <is>
          <t>221F0022OB1</t>
        </is>
      </c>
      <c r="F425" s="4" t="inlineStr">
        <is>
          <t>22系列三件套缸边浴缸龙头拉丝古铜色</t>
        </is>
      </c>
      <c r="G425" s="4" t="inlineStr">
        <is>
          <t>胡娟娟</t>
        </is>
      </c>
      <c r="H425" s="4" t="inlineStr">
        <is>
          <t>缸边浴缸</t>
        </is>
      </c>
      <c r="I425" s="12" t="n"/>
      <c r="J425" s="34" t="n">
        <v>45910</v>
      </c>
      <c r="K425" s="34" t="n">
        <v>45917</v>
      </c>
      <c r="L425" s="0">
        <f>DATEDIF(J425,$L$1,"M")</f>
        <v/>
      </c>
      <c r="M425" s="0">
        <f>IF(L425&lt;18,"新品期",IF(L425&lt;=36,"老品期","衰退期"))</f>
        <v/>
      </c>
    </row>
    <row r="426" ht="15" customFormat="1" customHeight="1" s="36">
      <c r="A426" s="4" t="inlineStr">
        <is>
          <t>Qinkell-US</t>
        </is>
      </c>
      <c r="B426" s="4" t="inlineStr">
        <is>
          <t>Qinkell美国站</t>
        </is>
      </c>
      <c r="C426" s="4">
        <f>B426&amp;D426</f>
        <v/>
      </c>
      <c r="D426" s="4" t="inlineStr">
        <is>
          <t>QC-202508-BG01</t>
        </is>
      </c>
      <c r="E426" s="4" t="inlineStr">
        <is>
          <t>222F0022BG1</t>
        </is>
      </c>
      <c r="F426" s="4" t="inlineStr">
        <is>
          <t>22系列四件套缸边浴缸龙头拉丝钛金封油</t>
        </is>
      </c>
      <c r="G426" s="4" t="inlineStr">
        <is>
          <t>胡娟娟</t>
        </is>
      </c>
      <c r="H426" s="4" t="inlineStr">
        <is>
          <t>缸边浴缸</t>
        </is>
      </c>
      <c r="I426" s="12" t="n"/>
      <c r="J426" s="34" t="n">
        <v>45838</v>
      </c>
      <c r="K426" s="34" t="n">
        <v>45899</v>
      </c>
      <c r="L426" s="0">
        <f>DATEDIF(J426,$L$1,"M")</f>
        <v/>
      </c>
      <c r="M426" s="0">
        <f>IF(L426&lt;18,"新品期",IF(L426&lt;=36,"老品期","衰退期"))</f>
        <v/>
      </c>
    </row>
    <row r="427" ht="15" customFormat="1" customHeight="1" s="36">
      <c r="A427" s="4" t="inlineStr">
        <is>
          <t>Qinkell-US</t>
        </is>
      </c>
      <c r="B427" s="4" t="inlineStr">
        <is>
          <t>Qinkell美国站</t>
        </is>
      </c>
      <c r="C427" s="4">
        <f>B427&amp;D427</f>
        <v/>
      </c>
      <c r="D427" s="4" t="inlineStr">
        <is>
          <t>QC-202508-BGZZ01</t>
        </is>
      </c>
      <c r="E427" s="4" t="inlineStr">
        <is>
          <t>222F0022BG1</t>
        </is>
      </c>
      <c r="F427" s="4" t="inlineStr">
        <is>
          <t>22系列四件套缸边浴缸龙头拉丝钛金封油</t>
        </is>
      </c>
      <c r="G427" s="4" t="inlineStr">
        <is>
          <t>胡娟娟</t>
        </is>
      </c>
      <c r="H427" s="4" t="inlineStr">
        <is>
          <t>缸边浴缸</t>
        </is>
      </c>
      <c r="I427" s="12" t="n"/>
      <c r="J427" s="34" t="n">
        <v>45838</v>
      </c>
      <c r="K427" s="34" t="n">
        <v>45899</v>
      </c>
      <c r="L427" s="0">
        <f>DATEDIF(J427,$L$1,"M")</f>
        <v/>
      </c>
      <c r="M427" s="0">
        <f>IF(L427&lt;18,"新品期",IF(L427&lt;=36,"老品期","衰退期"))</f>
        <v/>
      </c>
    </row>
    <row r="428" ht="15" customFormat="1" customHeight="1" s="36">
      <c r="A428" s="4" t="inlineStr">
        <is>
          <t>Qinkell-US</t>
        </is>
      </c>
      <c r="B428" s="4" t="inlineStr">
        <is>
          <t>Qinkell美国站</t>
        </is>
      </c>
      <c r="C428" s="4">
        <f>B428&amp;D428</f>
        <v/>
      </c>
      <c r="D428" s="4" t="inlineStr">
        <is>
          <t>QC-202508-BK01</t>
        </is>
      </c>
      <c r="E428" s="4" t="inlineStr">
        <is>
          <t>222F0022BK1</t>
        </is>
      </c>
      <c r="F428" s="4" t="inlineStr">
        <is>
          <t>22系列四件套缸边浴缸龙头电泳黑</t>
        </is>
      </c>
      <c r="G428" s="4" t="inlineStr">
        <is>
          <t>胡娟娟</t>
        </is>
      </c>
      <c r="H428" s="4" t="inlineStr">
        <is>
          <t>缸边浴缸</t>
        </is>
      </c>
      <c r="I428" s="12" t="n"/>
      <c r="J428" s="34" t="n">
        <v>45838</v>
      </c>
      <c r="K428" s="34" t="n">
        <v>45899</v>
      </c>
      <c r="L428" s="0">
        <f>DATEDIF(J428,$L$1,"M")</f>
        <v/>
      </c>
      <c r="M428" s="0">
        <f>IF(L428&lt;18,"新品期",IF(L428&lt;=36,"老品期","衰退期"))</f>
        <v/>
      </c>
    </row>
    <row r="429" ht="15" customFormat="1" customHeight="1" s="36">
      <c r="A429" s="4" t="inlineStr">
        <is>
          <t>Qinkell-US</t>
        </is>
      </c>
      <c r="B429" s="4" t="inlineStr">
        <is>
          <t>Qinkell美国站</t>
        </is>
      </c>
      <c r="C429" s="4">
        <f>B429&amp;D429</f>
        <v/>
      </c>
      <c r="D429" s="4" t="inlineStr">
        <is>
          <t>QC-202508-BKZZ01</t>
        </is>
      </c>
      <c r="E429" s="4" t="inlineStr">
        <is>
          <t>222F0022BK1</t>
        </is>
      </c>
      <c r="F429" s="4" t="inlineStr">
        <is>
          <t>22系列四件套缸边浴缸龙头电泳黑</t>
        </is>
      </c>
      <c r="G429" s="4" t="inlineStr">
        <is>
          <t>胡娟娟</t>
        </is>
      </c>
      <c r="H429" s="4" t="inlineStr">
        <is>
          <t>缸边浴缸</t>
        </is>
      </c>
      <c r="I429" s="12" t="n"/>
      <c r="J429" s="34" t="n">
        <v>45838</v>
      </c>
      <c r="K429" s="34" t="n">
        <v>45878</v>
      </c>
      <c r="L429" s="0">
        <f>DATEDIF(J429,$L$1,"M")</f>
        <v/>
      </c>
      <c r="M429" s="0">
        <f>IF(L429&lt;18,"新品期",IF(L429&lt;=36,"老品期","衰退期"))</f>
        <v/>
      </c>
    </row>
    <row r="430" ht="15" customFormat="1" customHeight="1" s="36">
      <c r="A430" s="4" t="inlineStr">
        <is>
          <t>Qinkell-US</t>
        </is>
      </c>
      <c r="B430" s="4" t="inlineStr">
        <is>
          <t>Qinkell美国站</t>
        </is>
      </c>
      <c r="C430" s="4">
        <f>B430&amp;D430</f>
        <v/>
      </c>
      <c r="D430" s="4" t="inlineStr">
        <is>
          <t>QC-202508-BN01</t>
        </is>
      </c>
      <c r="E430" s="4" t="inlineStr">
        <is>
          <t>222F0022BN1</t>
        </is>
      </c>
      <c r="F430" s="4" t="inlineStr">
        <is>
          <t>22系列四件套缸边浴缸龙头拉丝封油</t>
        </is>
      </c>
      <c r="G430" s="4" t="inlineStr">
        <is>
          <t>胡娟娟</t>
        </is>
      </c>
      <c r="H430" s="4" t="inlineStr">
        <is>
          <t>缸边浴缸</t>
        </is>
      </c>
      <c r="I430" s="12" t="n"/>
      <c r="J430" s="34" t="n">
        <v>45838</v>
      </c>
      <c r="K430" s="34" t="n">
        <v>45899</v>
      </c>
      <c r="L430" s="0">
        <f>DATEDIF(J430,$L$1,"M")</f>
        <v/>
      </c>
      <c r="M430" s="0">
        <f>IF(L430&lt;18,"新品期",IF(L430&lt;=36,"老品期","衰退期"))</f>
        <v/>
      </c>
    </row>
    <row r="431" ht="15" customFormat="1" customHeight="1" s="36">
      <c r="A431" s="4" t="inlineStr">
        <is>
          <t>Qinkell-US</t>
        </is>
      </c>
      <c r="B431" s="4" t="inlineStr">
        <is>
          <t>Qinkell美国站</t>
        </is>
      </c>
      <c r="C431" s="4">
        <f>B431&amp;D431</f>
        <v/>
      </c>
      <c r="D431" s="4" t="inlineStr">
        <is>
          <t>QC-202508-BNZZ01</t>
        </is>
      </c>
      <c r="E431" s="4" t="inlineStr">
        <is>
          <t>222F0022BN1</t>
        </is>
      </c>
      <c r="F431" s="4" t="inlineStr">
        <is>
          <t>22系列四件套缸边浴缸龙头拉丝封油</t>
        </is>
      </c>
      <c r="G431" s="4" t="inlineStr">
        <is>
          <t>胡娟娟</t>
        </is>
      </c>
      <c r="H431" s="4" t="inlineStr">
        <is>
          <t>缸边浴缸</t>
        </is>
      </c>
      <c r="I431" s="12" t="n"/>
      <c r="J431" s="34" t="n">
        <v>45838</v>
      </c>
      <c r="K431" s="34" t="n">
        <v>45878</v>
      </c>
      <c r="L431" s="0">
        <f>DATEDIF(J431,$L$1,"M")</f>
        <v/>
      </c>
      <c r="M431" s="0">
        <f>IF(L431&lt;18,"新品期",IF(L431&lt;=36,"老品期","衰退期"))</f>
        <v/>
      </c>
    </row>
    <row r="432" ht="15" customFormat="1" customHeight="1" s="36">
      <c r="A432" s="4" t="inlineStr">
        <is>
          <t>Qinkell-US</t>
        </is>
      </c>
      <c r="B432" s="4" t="inlineStr">
        <is>
          <t>Qinkell美国站</t>
        </is>
      </c>
      <c r="C432" s="4">
        <f>B432&amp;D432</f>
        <v/>
      </c>
      <c r="D432" s="4" t="inlineStr">
        <is>
          <t>QC-202508-CP01</t>
        </is>
      </c>
      <c r="E432" s="4" t="inlineStr">
        <is>
          <t>222F0022CP1</t>
        </is>
      </c>
      <c r="F432" s="4" t="inlineStr">
        <is>
          <t>22系列四件套缸边浴缸龙头铬</t>
        </is>
      </c>
      <c r="G432" s="4" t="inlineStr">
        <is>
          <t>胡娟娟</t>
        </is>
      </c>
      <c r="H432" s="4" t="inlineStr">
        <is>
          <t>缸边浴缸</t>
        </is>
      </c>
      <c r="I432" s="12" t="n"/>
      <c r="J432" s="34" t="n">
        <v>45838</v>
      </c>
      <c r="K432" s="34" t="n">
        <v>45878</v>
      </c>
      <c r="L432" s="0">
        <f>DATEDIF(J432,$L$1,"M")</f>
        <v/>
      </c>
      <c r="M432" s="0">
        <f>IF(L432&lt;18,"新品期",IF(L432&lt;=36,"老品期","衰退期"))</f>
        <v/>
      </c>
    </row>
    <row r="433" ht="15" customFormat="1" customHeight="1" s="36">
      <c r="A433" s="4" t="inlineStr">
        <is>
          <t>Qinkell-US</t>
        </is>
      </c>
      <c r="B433" s="4" t="inlineStr">
        <is>
          <t>Qinkell美国站</t>
        </is>
      </c>
      <c r="C433" s="4">
        <f>B433&amp;D433</f>
        <v/>
      </c>
      <c r="D433" s="4" t="inlineStr">
        <is>
          <t>QC-202508-CPZZ01</t>
        </is>
      </c>
      <c r="E433" s="4" t="inlineStr">
        <is>
          <t>222F0022CP1</t>
        </is>
      </c>
      <c r="F433" s="4" t="inlineStr">
        <is>
          <t>22系列四件套缸边浴缸龙头铬</t>
        </is>
      </c>
      <c r="G433" s="4" t="inlineStr">
        <is>
          <t>胡娟娟</t>
        </is>
      </c>
      <c r="H433" s="4" t="inlineStr">
        <is>
          <t>缸边浴缸</t>
        </is>
      </c>
      <c r="I433" s="12" t="n"/>
      <c r="J433" s="34" t="n">
        <v>45838</v>
      </c>
      <c r="K433" s="34" t="n">
        <v>45899</v>
      </c>
      <c r="L433" s="0">
        <f>DATEDIF(J433,$L$1,"M")</f>
        <v/>
      </c>
      <c r="M433" s="0">
        <f>IF(L433&lt;18,"新品期",IF(L433&lt;=36,"老品期","衰退期"))</f>
        <v/>
      </c>
    </row>
    <row r="434" ht="15" customFormat="1" customHeight="1" s="36">
      <c r="A434" s="4" t="inlineStr">
        <is>
          <t>Qinkell-US</t>
        </is>
      </c>
      <c r="B434" s="4" t="inlineStr">
        <is>
          <t>Qinkell美国站</t>
        </is>
      </c>
      <c r="C434" s="4">
        <f>B434&amp;D434</f>
        <v/>
      </c>
      <c r="D434" s="4" t="inlineStr">
        <is>
          <t>QC-202508-ORB01</t>
        </is>
      </c>
      <c r="E434" s="4" t="inlineStr">
        <is>
          <t>222F0022OB1</t>
        </is>
      </c>
      <c r="F434" s="4" t="inlineStr">
        <is>
          <t>22系列四件套缸边浴缸龙头拉丝古铜色</t>
        </is>
      </c>
      <c r="G434" s="4" t="inlineStr">
        <is>
          <t>胡娟娟</t>
        </is>
      </c>
      <c r="H434" s="4" t="inlineStr">
        <is>
          <t>缸边浴缸</t>
        </is>
      </c>
      <c r="I434" s="12" t="n"/>
      <c r="J434" s="34" t="n">
        <v>45838</v>
      </c>
      <c r="K434" s="34" t="n">
        <v>45899</v>
      </c>
      <c r="L434" s="0">
        <f>DATEDIF(J434,$L$1,"M")</f>
        <v/>
      </c>
      <c r="M434" s="0">
        <f>IF(L434&lt;18,"新品期",IF(L434&lt;=36,"老品期","衰退期"))</f>
        <v/>
      </c>
    </row>
    <row r="435" ht="15" customFormat="1" customHeight="1" s="36">
      <c r="A435" s="4" t="inlineStr">
        <is>
          <t>Qinkell-US</t>
        </is>
      </c>
      <c r="B435" s="4" t="inlineStr">
        <is>
          <t>Qinkell美国站</t>
        </is>
      </c>
      <c r="C435" s="4">
        <f>B435&amp;D435</f>
        <v/>
      </c>
      <c r="D435" s="4" t="inlineStr">
        <is>
          <t>QC-202508-ORBZZ01</t>
        </is>
      </c>
      <c r="E435" s="4" t="inlineStr">
        <is>
          <t>222F0022OB1</t>
        </is>
      </c>
      <c r="F435" s="4" t="inlineStr">
        <is>
          <t>22系列四件套缸边浴缸龙头拉丝古铜色</t>
        </is>
      </c>
      <c r="G435" s="4" t="inlineStr">
        <is>
          <t>胡娟娟</t>
        </is>
      </c>
      <c r="H435" s="4" t="inlineStr">
        <is>
          <t>缸边浴缸</t>
        </is>
      </c>
      <c r="I435" s="12" t="n"/>
      <c r="J435" s="34" t="n">
        <v>45838</v>
      </c>
      <c r="K435" s="34" t="n">
        <v>45899</v>
      </c>
      <c r="L435" s="0">
        <f>DATEDIF(J435,$L$1,"M")</f>
        <v/>
      </c>
      <c r="M435" s="0">
        <f>IF(L435&lt;18,"新品期",IF(L435&lt;=36,"老品期","衰退期"))</f>
        <v/>
      </c>
    </row>
    <row r="436" ht="15" customFormat="1" customHeight="1" s="36">
      <c r="A436" s="4" t="inlineStr">
        <is>
          <t>Qinkell-US</t>
        </is>
      </c>
      <c r="B436" s="4" t="inlineStr">
        <is>
          <t>Qinkell美国站</t>
        </is>
      </c>
      <c r="C436" s="4">
        <f>B436&amp;D436</f>
        <v/>
      </c>
      <c r="D436" s="4" t="inlineStr">
        <is>
          <t>QC-202508-ZG01</t>
        </is>
      </c>
      <c r="E436" s="4" t="inlineStr">
        <is>
          <t>222F0022BG3</t>
        </is>
      </c>
      <c r="F436" s="4" t="inlineStr">
        <is>
          <t>22系列四件套缸边浴缸龙头拉丝锆金封油</t>
        </is>
      </c>
      <c r="G436" s="4" t="inlineStr">
        <is>
          <t>胡娟娟</t>
        </is>
      </c>
      <c r="H436" s="4" t="inlineStr">
        <is>
          <t>缸边浴缸</t>
        </is>
      </c>
      <c r="I436" s="12" t="n"/>
      <c r="J436" s="34" t="n">
        <v>45838</v>
      </c>
      <c r="K436" s="34" t="n">
        <v>45899</v>
      </c>
      <c r="L436" s="0">
        <f>DATEDIF(J436,$L$1,"M")</f>
        <v/>
      </c>
      <c r="M436" s="0">
        <f>IF(L436&lt;18,"新品期",IF(L436&lt;=36,"老品期","衰退期"))</f>
        <v/>
      </c>
    </row>
    <row r="437" ht="15" customFormat="1" customHeight="1" s="36">
      <c r="A437" s="4" t="inlineStr">
        <is>
          <t>Qinkell-US</t>
        </is>
      </c>
      <c r="B437" s="4" t="inlineStr">
        <is>
          <t>Qinkell美国站</t>
        </is>
      </c>
      <c r="C437" s="4">
        <f>B437&amp;D437</f>
        <v/>
      </c>
      <c r="D437" s="4" t="inlineStr">
        <is>
          <t>QC-202508-ZG02</t>
        </is>
      </c>
      <c r="E437" s="4" t="inlineStr">
        <is>
          <t>222F0022BG3</t>
        </is>
      </c>
      <c r="F437" s="4" t="inlineStr">
        <is>
          <t>22系列四件套缸边浴缸龙头拉丝锆金封油</t>
        </is>
      </c>
      <c r="G437" s="4" t="inlineStr">
        <is>
          <t>胡娟娟</t>
        </is>
      </c>
      <c r="H437" s="4" t="inlineStr">
        <is>
          <t>缸边浴缸</t>
        </is>
      </c>
      <c r="I437" s="12" t="n"/>
      <c r="J437" s="34" t="n">
        <v>45838</v>
      </c>
      <c r="K437" s="34" t="n">
        <v>45899</v>
      </c>
      <c r="L437" s="0">
        <f>DATEDIF(J437,$L$1,"M")</f>
        <v/>
      </c>
      <c r="M437" s="0">
        <f>IF(L437&lt;18,"新品期",IF(L437&lt;=36,"老品期","衰退期"))</f>
        <v/>
      </c>
    </row>
    <row r="438" ht="15" customFormat="1" customHeight="1" s="36">
      <c r="A438" s="4" t="inlineStr">
        <is>
          <t>Qinkell-US</t>
        </is>
      </c>
      <c r="B438" s="4" t="inlineStr">
        <is>
          <t>Qinkell美国站</t>
        </is>
      </c>
      <c r="C438" s="4">
        <f>B438&amp;D438</f>
        <v/>
      </c>
      <c r="D438" s="4" t="inlineStr">
        <is>
          <t>QC-202508-ZGZZ01</t>
        </is>
      </c>
      <c r="E438" s="4" t="inlineStr">
        <is>
          <t>222F0022BG3</t>
        </is>
      </c>
      <c r="F438" s="4" t="inlineStr">
        <is>
          <t>22系列四件套缸边浴缸龙头拉丝锆金封油</t>
        </is>
      </c>
      <c r="G438" s="4" t="inlineStr">
        <is>
          <t>胡娟娟</t>
        </is>
      </c>
      <c r="H438" s="4" t="inlineStr">
        <is>
          <t>缸边浴缸</t>
        </is>
      </c>
      <c r="I438" s="12" t="n"/>
      <c r="J438" s="34" t="n">
        <v>45838</v>
      </c>
      <c r="K438" s="34" t="n">
        <v>45899</v>
      </c>
      <c r="L438" s="0">
        <f>DATEDIF(J438,$L$1,"M")</f>
        <v/>
      </c>
      <c r="M438" s="0">
        <f>IF(L438&lt;18,"新品期",IF(L438&lt;=36,"老品期","衰退期"))</f>
        <v/>
      </c>
    </row>
    <row r="439" ht="15" customFormat="1" customHeight="1" s="36">
      <c r="A439" s="4" t="inlineStr">
        <is>
          <t>Qinkell-US</t>
        </is>
      </c>
      <c r="B439" s="4" t="inlineStr">
        <is>
          <t>Qinkell美国站</t>
        </is>
      </c>
      <c r="C439" s="4">
        <f>B439&amp;D439</f>
        <v/>
      </c>
      <c r="D439" s="4" t="inlineStr">
        <is>
          <t>QC-202509-BG01</t>
        </is>
      </c>
      <c r="E439" s="4" t="inlineStr">
        <is>
          <t>223F0022BG1</t>
        </is>
      </c>
      <c r="F439" s="4" t="inlineStr">
        <is>
          <t>22系列五件套缸边浴缸龙头拉丝钛金封油</t>
        </is>
      </c>
      <c r="G439" s="4" t="inlineStr">
        <is>
          <t>胡娟娟</t>
        </is>
      </c>
      <c r="H439" s="4" t="inlineStr">
        <is>
          <t>缸边浴缸</t>
        </is>
      </c>
      <c r="I439" s="12" t="n"/>
      <c r="J439" s="4" t="inlineStr">
        <is>
          <t>/</t>
        </is>
      </c>
      <c r="K439" s="4" t="inlineStr">
        <is>
          <t>/</t>
        </is>
      </c>
      <c r="L439" s="0">
        <f>DATEDIF(J439,$L$1,"M")</f>
        <v/>
      </c>
      <c r="M439" s="0">
        <f>IF(L439&lt;18,"新品期",IF(L439&lt;=36,"老品期","衰退期"))</f>
        <v/>
      </c>
      <c r="N439" s="15" t="inlineStr">
        <is>
          <t>只是建了链接 没发货的</t>
        </is>
      </c>
    </row>
    <row r="440" ht="15" customFormat="1" customHeight="1" s="36">
      <c r="A440" s="4" t="inlineStr">
        <is>
          <t>Qinkell-US</t>
        </is>
      </c>
      <c r="B440" s="4" t="inlineStr">
        <is>
          <t>Qinkell美国站</t>
        </is>
      </c>
      <c r="C440" s="4">
        <f>B440&amp;D440</f>
        <v/>
      </c>
      <c r="D440" s="4" t="inlineStr">
        <is>
          <t>QC-202509-BGZZ01</t>
        </is>
      </c>
      <c r="E440" s="4" t="inlineStr">
        <is>
          <t>223F0022BG1</t>
        </is>
      </c>
      <c r="F440" s="4" t="inlineStr">
        <is>
          <t>22系列五件套缸边浴缸龙头拉丝钛金封油</t>
        </is>
      </c>
      <c r="G440" s="4" t="inlineStr">
        <is>
          <t>胡娟娟</t>
        </is>
      </c>
      <c r="H440" s="4" t="inlineStr">
        <is>
          <t>缸边浴缸</t>
        </is>
      </c>
      <c r="I440" s="12" t="n"/>
      <c r="J440" s="4" t="inlineStr">
        <is>
          <t>/</t>
        </is>
      </c>
      <c r="K440" s="4" t="inlineStr">
        <is>
          <t>/</t>
        </is>
      </c>
      <c r="L440" s="0">
        <f>DATEDIF(J440,$L$1,"M")</f>
        <v/>
      </c>
      <c r="M440" s="0">
        <f>IF(L440&lt;18,"新品期",IF(L440&lt;=36,"老品期","衰退期"))</f>
        <v/>
      </c>
      <c r="N440" s="15" t="inlineStr">
        <is>
          <t>只是建了链接 没发货的</t>
        </is>
      </c>
    </row>
    <row r="441" ht="15" customFormat="1" customHeight="1" s="36">
      <c r="A441" s="4" t="inlineStr">
        <is>
          <t>Qinkell-US</t>
        </is>
      </c>
      <c r="B441" s="4" t="inlineStr">
        <is>
          <t>Qinkell美国站</t>
        </is>
      </c>
      <c r="C441" s="4">
        <f>B441&amp;D441</f>
        <v/>
      </c>
      <c r="D441" s="4" t="inlineStr">
        <is>
          <t>QC-202509-BK01</t>
        </is>
      </c>
      <c r="E441" s="4" t="inlineStr">
        <is>
          <t>223F0022BK1</t>
        </is>
      </c>
      <c r="F441" s="4" t="inlineStr">
        <is>
          <t>22系列五件套缸边浴缸龙头电泳黑</t>
        </is>
      </c>
      <c r="G441" s="4" t="inlineStr">
        <is>
          <t>胡娟娟</t>
        </is>
      </c>
      <c r="H441" s="4" t="inlineStr">
        <is>
          <t>缸边浴缸</t>
        </is>
      </c>
      <c r="I441" s="12" t="n"/>
      <c r="J441" s="4" t="inlineStr">
        <is>
          <t>/</t>
        </is>
      </c>
      <c r="K441" s="4" t="inlineStr">
        <is>
          <t>/</t>
        </is>
      </c>
      <c r="L441" s="0">
        <f>DATEDIF(J441,$L$1,"M")</f>
        <v/>
      </c>
      <c r="M441" s="0">
        <f>IF(L441&lt;18,"新品期",IF(L441&lt;=36,"老品期","衰退期"))</f>
        <v/>
      </c>
      <c r="N441" s="15" t="inlineStr">
        <is>
          <t>只是建了链接 没发货的</t>
        </is>
      </c>
    </row>
    <row r="442" ht="15" customFormat="1" customHeight="1" s="36">
      <c r="A442" s="4" t="inlineStr">
        <is>
          <t>Qinkell-US</t>
        </is>
      </c>
      <c r="B442" s="4" t="inlineStr">
        <is>
          <t>Qinkell美国站</t>
        </is>
      </c>
      <c r="C442" s="4">
        <f>B442&amp;D442</f>
        <v/>
      </c>
      <c r="D442" s="4" t="inlineStr">
        <is>
          <t>QC-202509-BKZZ01</t>
        </is>
      </c>
      <c r="E442" s="4" t="inlineStr">
        <is>
          <t>223F0022BK1</t>
        </is>
      </c>
      <c r="F442" s="4" t="inlineStr">
        <is>
          <t>22系列五件套缸边浴缸龙头电泳黑</t>
        </is>
      </c>
      <c r="G442" s="4" t="inlineStr">
        <is>
          <t>胡娟娟</t>
        </is>
      </c>
      <c r="H442" s="4" t="inlineStr">
        <is>
          <t>缸边浴缸</t>
        </is>
      </c>
      <c r="I442" s="12" t="n"/>
      <c r="J442" s="4" t="inlineStr">
        <is>
          <t>/</t>
        </is>
      </c>
      <c r="K442" s="4" t="inlineStr">
        <is>
          <t>/</t>
        </is>
      </c>
      <c r="L442" s="0">
        <f>DATEDIF(J442,$L$1,"M")</f>
        <v/>
      </c>
      <c r="M442" s="0">
        <f>IF(L442&lt;18,"新品期",IF(L442&lt;=36,"老品期","衰退期"))</f>
        <v/>
      </c>
      <c r="N442" s="15" t="inlineStr">
        <is>
          <t>只是建了链接 没发货的</t>
        </is>
      </c>
    </row>
    <row r="443" ht="15" customFormat="1" customHeight="1" s="36">
      <c r="A443" s="4" t="inlineStr">
        <is>
          <t>Qinkell-US</t>
        </is>
      </c>
      <c r="B443" s="4" t="inlineStr">
        <is>
          <t>Qinkell美国站</t>
        </is>
      </c>
      <c r="C443" s="4">
        <f>B443&amp;D443</f>
        <v/>
      </c>
      <c r="D443" s="4" t="inlineStr">
        <is>
          <t>QC-202509-BN01</t>
        </is>
      </c>
      <c r="E443" s="4" t="inlineStr">
        <is>
          <t>223F0022BN1</t>
        </is>
      </c>
      <c r="F443" s="4" t="inlineStr">
        <is>
          <t>22系列五件套缸边浴缸龙头拉丝封油</t>
        </is>
      </c>
      <c r="G443" s="4" t="inlineStr">
        <is>
          <t>胡娟娟</t>
        </is>
      </c>
      <c r="H443" s="4" t="inlineStr">
        <is>
          <t>缸边浴缸</t>
        </is>
      </c>
      <c r="I443" s="12" t="n"/>
      <c r="J443" s="4" t="inlineStr">
        <is>
          <t>/</t>
        </is>
      </c>
      <c r="K443" s="4" t="inlineStr">
        <is>
          <t>/</t>
        </is>
      </c>
      <c r="L443" s="0">
        <f>DATEDIF(J443,$L$1,"M")</f>
        <v/>
      </c>
      <c r="M443" s="0">
        <f>IF(L443&lt;18,"新品期",IF(L443&lt;=36,"老品期","衰退期"))</f>
        <v/>
      </c>
      <c r="N443" s="15" t="inlineStr">
        <is>
          <t>只是建了链接 没发货的</t>
        </is>
      </c>
    </row>
    <row r="444" ht="15" customFormat="1" customHeight="1" s="36">
      <c r="A444" s="4" t="inlineStr">
        <is>
          <t>Qinkell-US</t>
        </is>
      </c>
      <c r="B444" s="4" t="inlineStr">
        <is>
          <t>Qinkell美国站</t>
        </is>
      </c>
      <c r="C444" s="4">
        <f>B444&amp;D444</f>
        <v/>
      </c>
      <c r="D444" s="4" t="inlineStr">
        <is>
          <t>QC-202509-BNZZ01</t>
        </is>
      </c>
      <c r="E444" s="4" t="inlineStr">
        <is>
          <t>223F0022BN1</t>
        </is>
      </c>
      <c r="F444" s="4" t="inlineStr">
        <is>
          <t>22系列五件套缸边浴缸龙头拉丝封油</t>
        </is>
      </c>
      <c r="G444" s="4" t="inlineStr">
        <is>
          <t>胡娟娟</t>
        </is>
      </c>
      <c r="H444" s="4" t="inlineStr">
        <is>
          <t>缸边浴缸</t>
        </is>
      </c>
      <c r="I444" s="12" t="n"/>
      <c r="J444" s="4" t="inlineStr">
        <is>
          <t>/</t>
        </is>
      </c>
      <c r="K444" s="4" t="inlineStr">
        <is>
          <t>/</t>
        </is>
      </c>
      <c r="L444" s="0">
        <f>DATEDIF(J444,$L$1,"M")</f>
        <v/>
      </c>
      <c r="M444" s="0">
        <f>IF(L444&lt;18,"新品期",IF(L444&lt;=36,"老品期","衰退期"))</f>
        <v/>
      </c>
      <c r="N444" s="15" t="inlineStr">
        <is>
          <t>只是建了链接 没发货的</t>
        </is>
      </c>
    </row>
    <row r="445" ht="15" customFormat="1" customHeight="1" s="36">
      <c r="A445" s="4" t="inlineStr">
        <is>
          <t>Qinkell-US</t>
        </is>
      </c>
      <c r="B445" s="4" t="inlineStr">
        <is>
          <t>Qinkell美国站</t>
        </is>
      </c>
      <c r="C445" s="4">
        <f>B445&amp;D445</f>
        <v/>
      </c>
      <c r="D445" s="4" t="inlineStr">
        <is>
          <t>QC-202509-CP01</t>
        </is>
      </c>
      <c r="E445" s="4" t="inlineStr">
        <is>
          <t>223F0022CP1</t>
        </is>
      </c>
      <c r="F445" s="4" t="inlineStr">
        <is>
          <t>22系列五件套缸边浴缸龙头铬</t>
        </is>
      </c>
      <c r="G445" s="4" t="inlineStr">
        <is>
          <t>胡娟娟</t>
        </is>
      </c>
      <c r="H445" s="4" t="inlineStr">
        <is>
          <t>缸边浴缸</t>
        </is>
      </c>
      <c r="I445" s="12" t="n"/>
      <c r="J445" s="4" t="inlineStr">
        <is>
          <t>/</t>
        </is>
      </c>
      <c r="K445" s="4" t="inlineStr">
        <is>
          <t>/</t>
        </is>
      </c>
      <c r="L445" s="0">
        <f>DATEDIF(J445,$L$1,"M")</f>
        <v/>
      </c>
      <c r="M445" s="0">
        <f>IF(L445&lt;18,"新品期",IF(L445&lt;=36,"老品期","衰退期"))</f>
        <v/>
      </c>
      <c r="N445" s="15" t="inlineStr">
        <is>
          <t>只是建了链接 没发货的</t>
        </is>
      </c>
    </row>
    <row r="446" ht="15" customFormat="1" customHeight="1" s="36">
      <c r="A446" s="4" t="inlineStr">
        <is>
          <t>Qinkell-US</t>
        </is>
      </c>
      <c r="B446" s="4" t="inlineStr">
        <is>
          <t>Qinkell美国站</t>
        </is>
      </c>
      <c r="C446" s="4">
        <f>B446&amp;D446</f>
        <v/>
      </c>
      <c r="D446" s="4" t="inlineStr">
        <is>
          <t>QC-202509-CPZZ01</t>
        </is>
      </c>
      <c r="E446" s="4" t="inlineStr">
        <is>
          <t>223F0022CP1</t>
        </is>
      </c>
      <c r="F446" s="4" t="inlineStr">
        <is>
          <t>22系列五件套缸边浴缸龙头铬</t>
        </is>
      </c>
      <c r="G446" s="4" t="inlineStr">
        <is>
          <t>胡娟娟</t>
        </is>
      </c>
      <c r="H446" s="4" t="inlineStr">
        <is>
          <t>缸边浴缸</t>
        </is>
      </c>
      <c r="I446" s="12" t="n"/>
      <c r="J446" s="4" t="inlineStr">
        <is>
          <t>/</t>
        </is>
      </c>
      <c r="K446" s="4" t="inlineStr">
        <is>
          <t>/</t>
        </is>
      </c>
      <c r="L446" s="0">
        <f>DATEDIF(J446,$L$1,"M")</f>
        <v/>
      </c>
      <c r="M446" s="0">
        <f>IF(L446&lt;18,"新品期",IF(L446&lt;=36,"老品期","衰退期"))</f>
        <v/>
      </c>
      <c r="N446" s="15" t="inlineStr">
        <is>
          <t>只是建了链接 没发货的</t>
        </is>
      </c>
    </row>
    <row r="447" ht="15" customFormat="1" customHeight="1" s="36">
      <c r="A447" s="4" t="inlineStr">
        <is>
          <t>Qinkell-US</t>
        </is>
      </c>
      <c r="B447" s="4" t="inlineStr">
        <is>
          <t>Qinkell美国站</t>
        </is>
      </c>
      <c r="C447" s="4">
        <f>B447&amp;D447</f>
        <v/>
      </c>
      <c r="D447" s="4" t="inlineStr">
        <is>
          <t>QC-202509-ORB01</t>
        </is>
      </c>
      <c r="E447" s="4" t="inlineStr">
        <is>
          <t>223F0022OB1</t>
        </is>
      </c>
      <c r="F447" s="4" t="inlineStr">
        <is>
          <t>22系列五件套缸边浴缸龙头拉丝古铜色</t>
        </is>
      </c>
      <c r="G447" s="4" t="inlineStr">
        <is>
          <t>胡娟娟</t>
        </is>
      </c>
      <c r="H447" s="4" t="inlineStr">
        <is>
          <t>缸边浴缸</t>
        </is>
      </c>
      <c r="I447" s="12" t="n"/>
      <c r="J447" s="4" t="inlineStr">
        <is>
          <t>/</t>
        </is>
      </c>
      <c r="K447" s="4" t="inlineStr">
        <is>
          <t>/</t>
        </is>
      </c>
      <c r="L447" s="0">
        <f>DATEDIF(J447,$L$1,"M")</f>
        <v/>
      </c>
      <c r="M447" s="0">
        <f>IF(L447&lt;18,"新品期",IF(L447&lt;=36,"老品期","衰退期"))</f>
        <v/>
      </c>
      <c r="N447" s="15" t="inlineStr">
        <is>
          <t>只是建了链接 没发货的</t>
        </is>
      </c>
    </row>
    <row r="448" ht="15" customFormat="1" customHeight="1" s="36">
      <c r="A448" s="4" t="inlineStr">
        <is>
          <t>Qinkell-US</t>
        </is>
      </c>
      <c r="B448" s="4" t="inlineStr">
        <is>
          <t>Qinkell美国站</t>
        </is>
      </c>
      <c r="C448" s="4">
        <f>B448&amp;D448</f>
        <v/>
      </c>
      <c r="D448" s="4" t="inlineStr">
        <is>
          <t>QC-202509-ORBZZ01</t>
        </is>
      </c>
      <c r="E448" s="4" t="inlineStr">
        <is>
          <t>223F0022OB1</t>
        </is>
      </c>
      <c r="F448" s="4" t="inlineStr">
        <is>
          <t>22系列五件套缸边浴缸龙头拉丝古铜色</t>
        </is>
      </c>
      <c r="G448" s="4" t="inlineStr">
        <is>
          <t>胡娟娟</t>
        </is>
      </c>
      <c r="H448" s="4" t="inlineStr">
        <is>
          <t>缸边浴缸</t>
        </is>
      </c>
      <c r="I448" s="12" t="n"/>
      <c r="J448" s="4" t="inlineStr">
        <is>
          <t>/</t>
        </is>
      </c>
      <c r="K448" s="4" t="inlineStr">
        <is>
          <t>/</t>
        </is>
      </c>
      <c r="L448" s="0">
        <f>DATEDIF(J448,$L$1,"M")</f>
        <v/>
      </c>
      <c r="M448" s="0">
        <f>IF(L448&lt;18,"新品期",IF(L448&lt;=36,"老品期","衰退期"))</f>
        <v/>
      </c>
      <c r="N448" s="15" t="inlineStr">
        <is>
          <t>只是建了链接 没发货的</t>
        </is>
      </c>
    </row>
    <row r="449" ht="15" customFormat="1" customHeight="1" s="36">
      <c r="A449" s="4" t="inlineStr">
        <is>
          <t>Qinkell-US</t>
        </is>
      </c>
      <c r="B449" s="4" t="inlineStr">
        <is>
          <t>Qinkell美国站</t>
        </is>
      </c>
      <c r="C449" s="4">
        <f>B449&amp;D449</f>
        <v/>
      </c>
      <c r="D449" s="4" t="inlineStr">
        <is>
          <t>QC-202509-ZG01</t>
        </is>
      </c>
      <c r="E449" s="4" t="inlineStr">
        <is>
          <t>223F0022BG3</t>
        </is>
      </c>
      <c r="F449" s="4" t="inlineStr">
        <is>
          <t>22系列五件套缸边浴缸龙头拉丝锆金封油</t>
        </is>
      </c>
      <c r="G449" s="4" t="inlineStr">
        <is>
          <t>胡娟娟</t>
        </is>
      </c>
      <c r="H449" s="4" t="inlineStr">
        <is>
          <t>缸边浴缸</t>
        </is>
      </c>
      <c r="I449" s="12" t="n"/>
      <c r="J449" s="4" t="inlineStr">
        <is>
          <t>/</t>
        </is>
      </c>
      <c r="K449" s="4" t="inlineStr">
        <is>
          <t>/</t>
        </is>
      </c>
      <c r="L449" s="0">
        <f>DATEDIF(J449,$L$1,"M")</f>
        <v/>
      </c>
      <c r="M449" s="0">
        <f>IF(L449&lt;18,"新品期",IF(L449&lt;=36,"老品期","衰退期"))</f>
        <v/>
      </c>
      <c r="N449" s="15" t="inlineStr">
        <is>
          <t>只是建了链接 没发货的</t>
        </is>
      </c>
    </row>
    <row r="450" ht="15" customFormat="1" customHeight="1" s="36">
      <c r="A450" s="4" t="inlineStr">
        <is>
          <t>Qinkell-US</t>
        </is>
      </c>
      <c r="B450" s="4" t="inlineStr">
        <is>
          <t>Qinkell美国站</t>
        </is>
      </c>
      <c r="C450" s="4">
        <f>B450&amp;D450</f>
        <v/>
      </c>
      <c r="D450" s="4" t="inlineStr">
        <is>
          <t>QC-202509-ZG02</t>
        </is>
      </c>
      <c r="E450" s="4" t="inlineStr">
        <is>
          <t>223F0022BG3</t>
        </is>
      </c>
      <c r="F450" s="4" t="inlineStr">
        <is>
          <t>22系列五件套缸边浴缸龙头拉丝锆金封油</t>
        </is>
      </c>
      <c r="G450" s="4" t="inlineStr">
        <is>
          <t>胡娟娟</t>
        </is>
      </c>
      <c r="H450" s="4" t="inlineStr">
        <is>
          <t>缸边浴缸</t>
        </is>
      </c>
      <c r="I450" s="12" t="n"/>
      <c r="J450" s="4" t="inlineStr">
        <is>
          <t>/</t>
        </is>
      </c>
      <c r="K450" s="4" t="inlineStr">
        <is>
          <t>/</t>
        </is>
      </c>
      <c r="L450" s="0">
        <f>DATEDIF(J450,$L$1,"M")</f>
        <v/>
      </c>
      <c r="M450" s="0">
        <f>IF(L450&lt;18,"新品期",IF(L450&lt;=36,"老品期","衰退期"))</f>
        <v/>
      </c>
      <c r="N450" s="15" t="inlineStr">
        <is>
          <t>只是建了链接 没发货的</t>
        </is>
      </c>
    </row>
    <row r="451" ht="15" customFormat="1" customHeight="1" s="36">
      <c r="A451" s="4" t="inlineStr">
        <is>
          <t>Qinkell-US</t>
        </is>
      </c>
      <c r="B451" s="4" t="inlineStr">
        <is>
          <t>Qinkell美国站</t>
        </is>
      </c>
      <c r="C451" s="4">
        <f>B451&amp;D451</f>
        <v/>
      </c>
      <c r="D451" s="4" t="inlineStr">
        <is>
          <t>QC-202509-ZGZZ01</t>
        </is>
      </c>
      <c r="E451" s="4" t="inlineStr">
        <is>
          <t>223F0022BG3</t>
        </is>
      </c>
      <c r="F451" s="4" t="inlineStr">
        <is>
          <t>22系列五件套缸边浴缸龙头拉丝锆金封油</t>
        </is>
      </c>
      <c r="G451" s="4" t="inlineStr">
        <is>
          <t>胡娟娟</t>
        </is>
      </c>
      <c r="H451" s="4" t="inlineStr">
        <is>
          <t>缸边浴缸</t>
        </is>
      </c>
      <c r="I451" s="12" t="n"/>
      <c r="J451" s="4" t="inlineStr">
        <is>
          <t>/</t>
        </is>
      </c>
      <c r="K451" s="4" t="inlineStr">
        <is>
          <t>/</t>
        </is>
      </c>
      <c r="L451" s="0">
        <f>DATEDIF(J451,$L$1,"M")</f>
        <v/>
      </c>
      <c r="M451" s="0">
        <f>IF(L451&lt;18,"新品期",IF(L451&lt;=36,"老品期","衰退期"))</f>
        <v/>
      </c>
      <c r="N451" s="15" t="inlineStr">
        <is>
          <t>只是建了链接 没发货的</t>
        </is>
      </c>
    </row>
    <row r="452" ht="15" customFormat="1" customHeight="1" s="36">
      <c r="A452" s="4" t="inlineStr">
        <is>
          <t>Qinkell-US</t>
        </is>
      </c>
      <c r="B452" s="4" t="inlineStr">
        <is>
          <t>Qinkell美国站</t>
        </is>
      </c>
      <c r="C452" s="4">
        <f>B452&amp;D452</f>
        <v/>
      </c>
      <c r="D452" s="4" t="inlineStr">
        <is>
          <t>QC-202511-BG01</t>
        </is>
      </c>
      <c r="E452" s="4" t="inlineStr">
        <is>
          <t>211F0022BG1</t>
        </is>
      </c>
      <c r="F452" s="4" t="inlineStr">
        <is>
          <t>22系列二功能落地浴缸龙头拉丝钛金封油</t>
        </is>
      </c>
      <c r="G452" s="4" t="inlineStr">
        <is>
          <t>刘皓</t>
        </is>
      </c>
      <c r="H452" s="4" t="inlineStr">
        <is>
          <t>落地浴缸</t>
        </is>
      </c>
      <c r="I452" s="12" t="inlineStr">
        <is>
          <t>否</t>
        </is>
      </c>
      <c r="J452" s="34" t="n">
        <v>45792</v>
      </c>
      <c r="K452" s="34" t="n">
        <v>45792</v>
      </c>
      <c r="L452" s="0">
        <f>DATEDIF(J452,$L$1,"M")</f>
        <v/>
      </c>
      <c r="M452" s="0">
        <f>IF(L452&lt;18,"新品期",IF(L452&lt;=36,"老品期","衰退期"))</f>
        <v/>
      </c>
    </row>
    <row r="453" ht="15" customFormat="1" customHeight="1" s="36">
      <c r="A453" s="4" t="inlineStr">
        <is>
          <t>Qinkell-US</t>
        </is>
      </c>
      <c r="B453" s="4" t="inlineStr">
        <is>
          <t>Qinkell美国站</t>
        </is>
      </c>
      <c r="C453" s="4">
        <f>B453&amp;D453</f>
        <v/>
      </c>
      <c r="D453" s="4" t="inlineStr">
        <is>
          <t>QC-202511-BGZZ01</t>
        </is>
      </c>
      <c r="E453" s="4" t="inlineStr">
        <is>
          <t>211F0022BG1</t>
        </is>
      </c>
      <c r="F453" s="4" t="inlineStr">
        <is>
          <t>22系列二功能落地浴缸龙头拉丝钛金封油</t>
        </is>
      </c>
      <c r="G453" s="4" t="inlineStr">
        <is>
          <t>刘皓</t>
        </is>
      </c>
      <c r="H453" s="4" t="inlineStr">
        <is>
          <t>落地浴缸</t>
        </is>
      </c>
      <c r="I453" s="12" t="inlineStr">
        <is>
          <t>否</t>
        </is>
      </c>
      <c r="J453" s="34" t="n">
        <v>45775</v>
      </c>
      <c r="K453" s="34" t="n">
        <v>45775</v>
      </c>
      <c r="L453" s="0">
        <f>DATEDIF(J453,$L$1,"M")</f>
        <v/>
      </c>
      <c r="M453" s="0">
        <f>IF(L453&lt;18,"新品期",IF(L453&lt;=36,"老品期","衰退期"))</f>
        <v/>
      </c>
    </row>
    <row r="454" ht="15" customFormat="1" customHeight="1" s="36">
      <c r="A454" s="4" t="inlineStr">
        <is>
          <t>Qinkell-US</t>
        </is>
      </c>
      <c r="B454" s="4" t="inlineStr">
        <is>
          <t>Qinkell美国站</t>
        </is>
      </c>
      <c r="C454" s="4">
        <f>B454&amp;D454</f>
        <v/>
      </c>
      <c r="D454" s="4" t="inlineStr">
        <is>
          <t>QC-202511-BK01</t>
        </is>
      </c>
      <c r="E454" s="4" t="inlineStr">
        <is>
          <t>211F0022BK1</t>
        </is>
      </c>
      <c r="F454" s="4" t="inlineStr">
        <is>
          <t>22系列二功能落地浴缸龙头酸铜发黑</t>
        </is>
      </c>
      <c r="G454" s="4" t="inlineStr">
        <is>
          <t>刘皓</t>
        </is>
      </c>
      <c r="H454" s="4" t="inlineStr">
        <is>
          <t>落地浴缸</t>
        </is>
      </c>
      <c r="I454" s="12" t="inlineStr">
        <is>
          <t>否</t>
        </is>
      </c>
      <c r="J454" s="34" t="n">
        <v>45792</v>
      </c>
      <c r="K454" s="34" t="n">
        <v>45792</v>
      </c>
      <c r="L454" s="0">
        <f>DATEDIF(J454,$L$1,"M")</f>
        <v/>
      </c>
      <c r="M454" s="0">
        <f>IF(L454&lt;18,"新品期",IF(L454&lt;=36,"老品期","衰退期"))</f>
        <v/>
      </c>
    </row>
    <row r="455" ht="15" customFormat="1" customHeight="1" s="36">
      <c r="A455" s="4" t="inlineStr">
        <is>
          <t>Qinkell-US</t>
        </is>
      </c>
      <c r="B455" s="4" t="inlineStr">
        <is>
          <t>Qinkell美国站</t>
        </is>
      </c>
      <c r="C455" s="4">
        <f>B455&amp;D455</f>
        <v/>
      </c>
      <c r="D455" s="4" t="inlineStr">
        <is>
          <t>QC-202511-BKZZ01</t>
        </is>
      </c>
      <c r="E455" s="4" t="inlineStr">
        <is>
          <t>211F0022BK1</t>
        </is>
      </c>
      <c r="F455" s="4" t="inlineStr">
        <is>
          <t>22系列二功能落地浴缸龙头酸铜发黑</t>
        </is>
      </c>
      <c r="G455" s="4" t="inlineStr">
        <is>
          <t>刘皓</t>
        </is>
      </c>
      <c r="H455" s="4" t="inlineStr">
        <is>
          <t>落地浴缸</t>
        </is>
      </c>
      <c r="I455" s="12" t="inlineStr">
        <is>
          <t>否</t>
        </is>
      </c>
      <c r="J455" s="34" t="n">
        <v>45775</v>
      </c>
      <c r="K455" s="34" t="n">
        <v>45775</v>
      </c>
      <c r="L455" s="0">
        <f>DATEDIF(J455,$L$1,"M")</f>
        <v/>
      </c>
      <c r="M455" s="0">
        <f>IF(L455&lt;18,"新品期",IF(L455&lt;=36,"老品期","衰退期"))</f>
        <v/>
      </c>
    </row>
    <row r="456" ht="15" customFormat="1" customHeight="1" s="36">
      <c r="A456" s="4" t="inlineStr">
        <is>
          <t>Qinkell-US</t>
        </is>
      </c>
      <c r="B456" s="4" t="inlineStr">
        <is>
          <t>Qinkell美国站</t>
        </is>
      </c>
      <c r="C456" s="4">
        <f>B456&amp;D456</f>
        <v/>
      </c>
      <c r="D456" s="4" t="inlineStr">
        <is>
          <t>QC-202511-BN01</t>
        </is>
      </c>
      <c r="E456" s="4" t="inlineStr">
        <is>
          <t>211F0022BN1</t>
        </is>
      </c>
      <c r="F456" s="4" t="inlineStr">
        <is>
          <t>22系列二功能落地浴缸龙头拉丝封油</t>
        </is>
      </c>
      <c r="G456" s="4" t="inlineStr">
        <is>
          <t>刘皓</t>
        </is>
      </c>
      <c r="H456" s="4" t="inlineStr">
        <is>
          <t>落地浴缸</t>
        </is>
      </c>
      <c r="I456" s="12" t="inlineStr">
        <is>
          <t>否</t>
        </is>
      </c>
      <c r="J456" s="34" t="n">
        <v>45792</v>
      </c>
      <c r="K456" s="34" t="n">
        <v>45792</v>
      </c>
      <c r="L456" s="0">
        <f>DATEDIF(J456,$L$1,"M")</f>
        <v/>
      </c>
      <c r="M456" s="0">
        <f>IF(L456&lt;18,"新品期",IF(L456&lt;=36,"老品期","衰退期"))</f>
        <v/>
      </c>
    </row>
    <row r="457" ht="15" customFormat="1" customHeight="1" s="36">
      <c r="A457" s="4" t="inlineStr">
        <is>
          <t>Qinkell-US</t>
        </is>
      </c>
      <c r="B457" s="4" t="inlineStr">
        <is>
          <t>Qinkell美国站</t>
        </is>
      </c>
      <c r="C457" s="4">
        <f>B457&amp;D457</f>
        <v/>
      </c>
      <c r="D457" s="4" t="inlineStr">
        <is>
          <t>QC-202511-BNZZ01</t>
        </is>
      </c>
      <c r="E457" s="4" t="inlineStr">
        <is>
          <t>211F0022BN1</t>
        </is>
      </c>
      <c r="F457" s="4" t="inlineStr">
        <is>
          <t>22系列二功能落地浴缸龙头拉丝封油</t>
        </is>
      </c>
      <c r="G457" s="4" t="inlineStr">
        <is>
          <t>刘皓</t>
        </is>
      </c>
      <c r="H457" s="4" t="inlineStr">
        <is>
          <t>落地浴缸</t>
        </is>
      </c>
      <c r="I457" s="12" t="inlineStr">
        <is>
          <t>否</t>
        </is>
      </c>
      <c r="J457" s="34" t="n">
        <v>45775</v>
      </c>
      <c r="K457" s="34" t="n">
        <v>45775</v>
      </c>
      <c r="L457" s="0">
        <f>DATEDIF(J457,$L$1,"M")</f>
        <v/>
      </c>
      <c r="M457" s="0">
        <f>IF(L457&lt;18,"新品期",IF(L457&lt;=36,"老品期","衰退期"))</f>
        <v/>
      </c>
    </row>
    <row r="458" ht="15" customFormat="1" customHeight="1" s="36">
      <c r="A458" s="4" t="inlineStr">
        <is>
          <t>Qinkell-US</t>
        </is>
      </c>
      <c r="B458" s="4" t="inlineStr">
        <is>
          <t>Qinkell美国站</t>
        </is>
      </c>
      <c r="C458" s="4">
        <f>B458&amp;D458</f>
        <v/>
      </c>
      <c r="D458" s="4" t="inlineStr">
        <is>
          <t>QC-202511-CP01</t>
        </is>
      </c>
      <c r="E458" s="4" t="inlineStr">
        <is>
          <t>211F0022CP1</t>
        </is>
      </c>
      <c r="F458" s="4" t="inlineStr">
        <is>
          <t>22系列二功能落地浴缸龙头铬</t>
        </is>
      </c>
      <c r="G458" s="4" t="inlineStr">
        <is>
          <t>刘皓</t>
        </is>
      </c>
      <c r="H458" s="4" t="inlineStr">
        <is>
          <t>落地浴缸</t>
        </is>
      </c>
      <c r="I458" s="12" t="inlineStr">
        <is>
          <t>否</t>
        </is>
      </c>
      <c r="J458" s="34" t="n">
        <v>45792</v>
      </c>
      <c r="K458" s="34" t="n">
        <v>45792</v>
      </c>
      <c r="L458" s="0">
        <f>DATEDIF(J458,$L$1,"M")</f>
        <v/>
      </c>
      <c r="M458" s="0">
        <f>IF(L458&lt;18,"新品期",IF(L458&lt;=36,"老品期","衰退期"))</f>
        <v/>
      </c>
    </row>
    <row r="459" ht="15" customFormat="1" customHeight="1" s="36">
      <c r="A459" s="4" t="inlineStr">
        <is>
          <t>Qinkell-US</t>
        </is>
      </c>
      <c r="B459" s="4" t="inlineStr">
        <is>
          <t>Qinkell美国站</t>
        </is>
      </c>
      <c r="C459" s="4">
        <f>B459&amp;D459</f>
        <v/>
      </c>
      <c r="D459" s="4" t="inlineStr">
        <is>
          <t>QC-202511-CPZZ01</t>
        </is>
      </c>
      <c r="E459" s="4" t="inlineStr">
        <is>
          <t>211F0022CP1</t>
        </is>
      </c>
      <c r="F459" s="4" t="inlineStr">
        <is>
          <t>22系列二功能落地浴缸龙头铬</t>
        </is>
      </c>
      <c r="G459" s="4" t="inlineStr">
        <is>
          <t>刘皓</t>
        </is>
      </c>
      <c r="H459" s="4" t="inlineStr">
        <is>
          <t>落地浴缸</t>
        </is>
      </c>
      <c r="I459" s="12" t="inlineStr">
        <is>
          <t>否</t>
        </is>
      </c>
      <c r="J459" s="34" t="n">
        <v>45775</v>
      </c>
      <c r="K459" s="34" t="n">
        <v>45775</v>
      </c>
      <c r="L459" s="0">
        <f>DATEDIF(J459,$L$1,"M")</f>
        <v/>
      </c>
      <c r="M459" s="0">
        <f>IF(L459&lt;18,"新品期",IF(L459&lt;=36,"老品期","衰退期"))</f>
        <v/>
      </c>
    </row>
    <row r="460" ht="15" customFormat="1" customHeight="1" s="36">
      <c r="A460" s="4" t="inlineStr">
        <is>
          <t>Qinkell-US</t>
        </is>
      </c>
      <c r="B460" s="4" t="inlineStr">
        <is>
          <t>Qinkell美国站</t>
        </is>
      </c>
      <c r="C460" s="4">
        <f>B460&amp;D460</f>
        <v/>
      </c>
      <c r="D460" s="4" t="inlineStr">
        <is>
          <t>QC-202511-ORB01</t>
        </is>
      </c>
      <c r="E460" s="4" t="inlineStr">
        <is>
          <t>211F0022OB1</t>
        </is>
      </c>
      <c r="F460" s="4" t="inlineStr">
        <is>
          <t>22系列二功能落地浴缸龙头拉丝古铜色</t>
        </is>
      </c>
      <c r="G460" s="4" t="inlineStr">
        <is>
          <t>刘皓</t>
        </is>
      </c>
      <c r="H460" s="4" t="inlineStr">
        <is>
          <t>落地浴缸</t>
        </is>
      </c>
      <c r="I460" s="12" t="inlineStr">
        <is>
          <t>否</t>
        </is>
      </c>
      <c r="J460" s="34" t="n">
        <v>45792</v>
      </c>
      <c r="K460" s="34" t="n">
        <v>45792</v>
      </c>
      <c r="L460" s="0">
        <f>DATEDIF(J460,$L$1,"M")</f>
        <v/>
      </c>
      <c r="M460" s="0">
        <f>IF(L460&lt;18,"新品期",IF(L460&lt;=36,"老品期","衰退期"))</f>
        <v/>
      </c>
    </row>
    <row r="461" ht="15" customFormat="1" customHeight="1" s="36">
      <c r="A461" s="4" t="inlineStr">
        <is>
          <t>Qinkell-US</t>
        </is>
      </c>
      <c r="B461" s="4" t="inlineStr">
        <is>
          <t>Qinkell美国站</t>
        </is>
      </c>
      <c r="C461" s="4">
        <f>B461&amp;D461</f>
        <v/>
      </c>
      <c r="D461" s="4" t="inlineStr">
        <is>
          <t>QC-202511-ORBZZ01</t>
        </is>
      </c>
      <c r="E461" s="4" t="inlineStr">
        <is>
          <t>211F0022OB1</t>
        </is>
      </c>
      <c r="F461" s="4" t="inlineStr">
        <is>
          <t>22系列二功能落地浴缸龙头拉丝古铜色</t>
        </is>
      </c>
      <c r="G461" s="4" t="inlineStr">
        <is>
          <t>刘皓</t>
        </is>
      </c>
      <c r="H461" s="4" t="inlineStr">
        <is>
          <t>落地浴缸</t>
        </is>
      </c>
      <c r="I461" s="12" t="inlineStr">
        <is>
          <t>否</t>
        </is>
      </c>
      <c r="J461" s="34" t="n">
        <v>45775</v>
      </c>
      <c r="K461" s="34" t="n">
        <v>45775</v>
      </c>
      <c r="L461" s="0">
        <f>DATEDIF(J461,$L$1,"M")</f>
        <v/>
      </c>
      <c r="M461" s="0">
        <f>IF(L461&lt;18,"新品期",IF(L461&lt;=36,"老品期","衰退期"))</f>
        <v/>
      </c>
    </row>
    <row r="462" ht="15" customFormat="1" customHeight="1" s="36">
      <c r="A462" s="4" t="inlineStr">
        <is>
          <t>Wintap-US</t>
        </is>
      </c>
      <c r="B462" s="4" t="inlineStr">
        <is>
          <t>Wintap美国站</t>
        </is>
      </c>
      <c r="C462" s="4">
        <f>B462&amp;D462</f>
        <v/>
      </c>
      <c r="D462" s="4" t="inlineStr">
        <is>
          <t>1L-Q4XB-YLA2</t>
        </is>
      </c>
      <c r="E462" s="4" t="inlineStr">
        <is>
          <t>211F8000BN1</t>
        </is>
      </c>
      <c r="F462" s="4" t="inlineStr">
        <is>
          <t>8000二功能落地浴缸龙头拉丝封油</t>
        </is>
      </c>
      <c r="G462" s="4" t="inlineStr">
        <is>
          <t>刘皓</t>
        </is>
      </c>
      <c r="H462" s="4" t="inlineStr">
        <is>
          <t>落地浴缸</t>
        </is>
      </c>
      <c r="I462" s="12" t="inlineStr">
        <is>
          <t>是</t>
        </is>
      </c>
      <c r="J462" s="34" t="n">
        <v>44854</v>
      </c>
      <c r="K462" s="34" t="n">
        <v>44854</v>
      </c>
      <c r="L462" s="0">
        <f>DATEDIF(J462,$L$1,"M")</f>
        <v/>
      </c>
      <c r="M462" s="0">
        <f>IF(L462&lt;18,"新品期",IF(L462&lt;=36,"老品期","衰退期"))</f>
        <v/>
      </c>
    </row>
    <row r="463" ht="15" customFormat="1" customHeight="1" s="36">
      <c r="A463" s="4" t="inlineStr">
        <is>
          <t>Wintap-CA</t>
        </is>
      </c>
      <c r="B463" s="4" t="inlineStr">
        <is>
          <t>Wintap加拿大站</t>
        </is>
      </c>
      <c r="C463" s="4">
        <f>B463&amp;D463</f>
        <v/>
      </c>
      <c r="D463" s="4" t="inlineStr">
        <is>
          <t>1L-Q4XB-YLA2</t>
        </is>
      </c>
      <c r="E463" s="4" t="inlineStr">
        <is>
          <t>211F8000BN1</t>
        </is>
      </c>
      <c r="F463" s="4" t="inlineStr">
        <is>
          <t>8000二功能落地浴缸龙头拉丝封油</t>
        </is>
      </c>
      <c r="G463" s="4" t="inlineStr">
        <is>
          <t>刘皓</t>
        </is>
      </c>
      <c r="H463" s="4" t="inlineStr">
        <is>
          <t>落地浴缸</t>
        </is>
      </c>
      <c r="I463" s="12" t="inlineStr">
        <is>
          <t>是</t>
        </is>
      </c>
      <c r="J463" s="34" t="n">
        <v>44854</v>
      </c>
      <c r="K463" s="34" t="n">
        <v>44854</v>
      </c>
      <c r="L463" s="0">
        <f>DATEDIF(J463,$L$1,"M")</f>
        <v/>
      </c>
      <c r="M463" s="0">
        <f>IF(L463&lt;18,"新品期",IF(L463&lt;=36,"老品期","衰退期"))</f>
        <v/>
      </c>
    </row>
    <row r="464" ht="15" customFormat="1" customHeight="1" s="36">
      <c r="A464" s="4" t="inlineStr">
        <is>
          <t>Wintap-MX</t>
        </is>
      </c>
      <c r="B464" s="4" t="inlineStr">
        <is>
          <t>Wintap墨西哥站</t>
        </is>
      </c>
      <c r="C464" s="4">
        <f>B464&amp;D464</f>
        <v/>
      </c>
      <c r="D464" s="4" t="inlineStr">
        <is>
          <t>1L-Q4XB-YLA2</t>
        </is>
      </c>
      <c r="E464" s="4" t="inlineStr">
        <is>
          <t>211F8000BN1</t>
        </is>
      </c>
      <c r="F464" s="4" t="inlineStr">
        <is>
          <t>8000二功能落地浴缸龙头拉丝封油</t>
        </is>
      </c>
      <c r="G464" s="4" t="inlineStr">
        <is>
          <t>刘皓</t>
        </is>
      </c>
      <c r="H464" s="4" t="inlineStr">
        <is>
          <t>落地浴缸</t>
        </is>
      </c>
      <c r="I464" s="12" t="inlineStr">
        <is>
          <t>是</t>
        </is>
      </c>
      <c r="J464" s="34" t="n">
        <v>44854</v>
      </c>
      <c r="K464" s="34" t="n">
        <v>44854</v>
      </c>
      <c r="L464" s="0">
        <f>DATEDIF(J464,$L$1,"M")</f>
        <v/>
      </c>
      <c r="M464" s="0">
        <f>IF(L464&lt;18,"新品期",IF(L464&lt;=36,"老品期","衰退期"))</f>
        <v/>
      </c>
    </row>
    <row r="465" ht="15" customFormat="1" customHeight="1" s="36">
      <c r="A465" s="4" t="inlineStr">
        <is>
          <t>Lexdale-US</t>
        </is>
      </c>
      <c r="B465" s="4" t="inlineStr">
        <is>
          <t>Lexdale美国站</t>
        </is>
      </c>
      <c r="C465" s="4">
        <f>B465&amp;D465</f>
        <v/>
      </c>
      <c r="D465" s="4" t="inlineStr">
        <is>
          <t>LD890BG</t>
        </is>
      </c>
      <c r="E465" s="4" t="inlineStr">
        <is>
          <t>110F0089BG1</t>
        </is>
      </c>
      <c r="F465" s="4" t="inlineStr">
        <is>
          <t>89系列矮身单孔正开面盆龙头拉丝钛金封油</t>
        </is>
      </c>
      <c r="G465" s="4" t="inlineStr">
        <is>
          <t>曾志发</t>
        </is>
      </c>
      <c r="H465" s="4" t="inlineStr">
        <is>
          <t>面盆</t>
        </is>
      </c>
      <c r="I465" s="12" t="inlineStr">
        <is>
          <t>是</t>
        </is>
      </c>
      <c r="J465" s="34" t="n">
        <v>45402</v>
      </c>
      <c r="K465" s="34" t="n">
        <v>45402</v>
      </c>
      <c r="L465" s="0">
        <f>DATEDIF(J465,$L$1,"M")</f>
        <v/>
      </c>
      <c r="M465" s="0">
        <f>IF(L465&lt;18,"新品期",IF(L465&lt;=36,"老品期","衰退期"))</f>
        <v/>
      </c>
      <c r="N465" s="36" t="inlineStr">
        <is>
          <t>2025年9月1号以前梁丽梅负责</t>
        </is>
      </c>
    </row>
    <row r="466" ht="15" customFormat="1" customHeight="1" s="36">
      <c r="A466" s="4" t="inlineStr">
        <is>
          <t>Lexdale-US</t>
        </is>
      </c>
      <c r="B466" s="4" t="inlineStr">
        <is>
          <t>Lexdale美国站</t>
        </is>
      </c>
      <c r="C466" s="4">
        <f>B466&amp;D466</f>
        <v/>
      </c>
      <c r="D466" s="4" t="inlineStr">
        <is>
          <t>LD890BK</t>
        </is>
      </c>
      <c r="E466" s="4" t="inlineStr">
        <is>
          <t>110F0089BK1</t>
        </is>
      </c>
      <c r="F466" s="4" t="inlineStr">
        <is>
          <t>89系列矮身单孔正开面盆龙头电泳黑</t>
        </is>
      </c>
      <c r="G466" s="4" t="inlineStr">
        <is>
          <t>曾志发</t>
        </is>
      </c>
      <c r="H466" s="4" t="inlineStr">
        <is>
          <t>面盆</t>
        </is>
      </c>
      <c r="I466" s="12" t="inlineStr">
        <is>
          <t>是</t>
        </is>
      </c>
      <c r="J466" s="34" t="n">
        <v>45402</v>
      </c>
      <c r="K466" s="34" t="n">
        <v>45402</v>
      </c>
      <c r="L466" s="0">
        <f>DATEDIF(J466,$L$1,"M")</f>
        <v/>
      </c>
      <c r="M466" s="0">
        <f>IF(L466&lt;18,"新品期",IF(L466&lt;=36,"老品期","衰退期"))</f>
        <v/>
      </c>
      <c r="N466" s="36" t="inlineStr">
        <is>
          <t>2025年9月1号以前梁丽梅负责</t>
        </is>
      </c>
    </row>
    <row r="467" ht="15" customFormat="1" customHeight="1" s="36">
      <c r="A467" s="4" t="inlineStr">
        <is>
          <t>Lexdale-US</t>
        </is>
      </c>
      <c r="B467" s="4" t="inlineStr">
        <is>
          <t>Lexdale美国站</t>
        </is>
      </c>
      <c r="C467" s="4">
        <f>B467&amp;D467</f>
        <v/>
      </c>
      <c r="D467" s="4" t="inlineStr">
        <is>
          <t>LD890BN</t>
        </is>
      </c>
      <c r="E467" s="4" t="inlineStr">
        <is>
          <t>110F0089BN1</t>
        </is>
      </c>
      <c r="F467" s="4" t="inlineStr">
        <is>
          <t>89系列矮身单孔正开面盆龙头拉丝封油</t>
        </is>
      </c>
      <c r="G467" s="4" t="inlineStr">
        <is>
          <t>曾志发</t>
        </is>
      </c>
      <c r="H467" s="4" t="inlineStr">
        <is>
          <t>面盆</t>
        </is>
      </c>
      <c r="I467" s="12" t="inlineStr">
        <is>
          <t>是</t>
        </is>
      </c>
      <c r="J467" s="34" t="n">
        <v>45402</v>
      </c>
      <c r="K467" s="34" t="n">
        <v>45402</v>
      </c>
      <c r="L467" s="0">
        <f>DATEDIF(J467,$L$1,"M")</f>
        <v/>
      </c>
      <c r="M467" s="0">
        <f>IF(L467&lt;18,"新品期",IF(L467&lt;=36,"老品期","衰退期"))</f>
        <v/>
      </c>
      <c r="N467" s="36" t="inlineStr">
        <is>
          <t>2025年9月1号以前梁丽梅负责</t>
        </is>
      </c>
    </row>
    <row r="468" ht="15" customFormat="1" customHeight="1" s="36">
      <c r="A468" s="4" t="inlineStr">
        <is>
          <t>Lexdale-US</t>
        </is>
      </c>
      <c r="B468" s="4" t="inlineStr">
        <is>
          <t>Lexdale美国站</t>
        </is>
      </c>
      <c r="C468" s="4">
        <f>B468&amp;D468</f>
        <v/>
      </c>
      <c r="D468" s="4" t="inlineStr">
        <is>
          <t>LD890CP</t>
        </is>
      </c>
      <c r="E468" s="4" t="inlineStr">
        <is>
          <t>110F0089CP1</t>
        </is>
      </c>
      <c r="F468" s="4" t="inlineStr">
        <is>
          <t>89系列矮身单孔正开面盆龙头铬色</t>
        </is>
      </c>
      <c r="G468" s="4" t="inlineStr">
        <is>
          <t>曾志发</t>
        </is>
      </c>
      <c r="H468" s="4" t="inlineStr">
        <is>
          <t>面盆</t>
        </is>
      </c>
      <c r="I468" s="12" t="inlineStr">
        <is>
          <t>是</t>
        </is>
      </c>
      <c r="J468" s="34" t="n">
        <v>45402</v>
      </c>
      <c r="K468" s="34" t="n">
        <v>45402</v>
      </c>
      <c r="L468" s="0">
        <f>DATEDIF(J468,$L$1,"M")</f>
        <v/>
      </c>
      <c r="M468" s="0">
        <f>IF(L468&lt;18,"新品期",IF(L468&lt;=36,"老品期","衰退期"))</f>
        <v/>
      </c>
      <c r="N468" s="36" t="inlineStr">
        <is>
          <t>2025年9月1号以前梁丽梅负责</t>
        </is>
      </c>
    </row>
    <row r="469" ht="15" customFormat="1" customHeight="1" s="36">
      <c r="A469" s="4" t="inlineStr">
        <is>
          <t>Lexdale-US</t>
        </is>
      </c>
      <c r="B469" s="4" t="inlineStr">
        <is>
          <t>Lexdale美国站</t>
        </is>
      </c>
      <c r="C469" s="4">
        <f>B469&amp;D469</f>
        <v/>
      </c>
      <c r="D469" s="4" t="inlineStr">
        <is>
          <t>LD890ORB</t>
        </is>
      </c>
      <c r="E469" s="4" t="inlineStr">
        <is>
          <t>110F0089OB1</t>
        </is>
      </c>
      <c r="F469" s="4" t="inlineStr">
        <is>
          <t>89系列矮身单孔正开面盆龙头拉丝红古铜</t>
        </is>
      </c>
      <c r="G469" s="4" t="inlineStr">
        <is>
          <t>曾志发</t>
        </is>
      </c>
      <c r="H469" s="4" t="inlineStr">
        <is>
          <t>面盆</t>
        </is>
      </c>
      <c r="I469" s="12" t="inlineStr">
        <is>
          <t>是</t>
        </is>
      </c>
      <c r="J469" s="34" t="n">
        <v>45402</v>
      </c>
      <c r="K469" s="34" t="n">
        <v>45402</v>
      </c>
      <c r="L469" s="0">
        <f>DATEDIF(J469,$L$1,"M")</f>
        <v/>
      </c>
      <c r="M469" s="0">
        <f>IF(L469&lt;18,"新品期",IF(L469&lt;=36,"老品期","衰退期"))</f>
        <v/>
      </c>
      <c r="N469" s="36" t="inlineStr">
        <is>
          <t>2025年9月1号以前梁丽梅负责</t>
        </is>
      </c>
    </row>
    <row r="470" ht="15" customFormat="1" customHeight="1" s="36">
      <c r="A470" s="4" t="inlineStr">
        <is>
          <t>NAUKWAN-US</t>
        </is>
      </c>
      <c r="B470" s="4" t="inlineStr">
        <is>
          <t>Naukwan美国站</t>
        </is>
      </c>
      <c r="C470" s="4">
        <f>B470&amp;D470</f>
        <v/>
      </c>
      <c r="D470" s="4" t="inlineStr">
        <is>
          <t>5201-BG</t>
        </is>
      </c>
      <c r="E470" s="4" t="inlineStr">
        <is>
          <t>110F5201BG1</t>
        </is>
      </c>
      <c r="F470" s="4" t="inlineStr">
        <is>
          <t>5201矮身单孔正开面盆龙头拉丝钛金封油</t>
        </is>
      </c>
      <c r="G470" s="4" t="inlineStr">
        <is>
          <t>童劲威</t>
        </is>
      </c>
      <c r="H470" s="4" t="inlineStr">
        <is>
          <t>面盆</t>
        </is>
      </c>
      <c r="I470" s="12" t="inlineStr">
        <is>
          <t>是</t>
        </is>
      </c>
      <c r="J470" s="34" t="n">
        <v>45090</v>
      </c>
      <c r="K470" s="34" t="n">
        <v>45090</v>
      </c>
      <c r="L470" s="0">
        <f>DATEDIF(J470,$L$1,"M")</f>
        <v/>
      </c>
      <c r="M470" s="0">
        <f>IF(L470&lt;18,"新品期",IF(L470&lt;=36,"老品期","衰退期"))</f>
        <v/>
      </c>
      <c r="N470" s="36" t="inlineStr">
        <is>
          <t>清完不卖</t>
        </is>
      </c>
    </row>
    <row r="471" ht="15" customFormat="1" customHeight="1" s="36">
      <c r="A471" s="4" t="inlineStr">
        <is>
          <t>NAUKWAN-US</t>
        </is>
      </c>
      <c r="B471" s="4" t="inlineStr">
        <is>
          <t>Naukwan美国站</t>
        </is>
      </c>
      <c r="C471" s="4">
        <f>B471&amp;D471</f>
        <v/>
      </c>
      <c r="D471" s="4" t="inlineStr">
        <is>
          <t>6203-ORB</t>
        </is>
      </c>
      <c r="E471" s="4" t="inlineStr">
        <is>
          <t>130F6203OB1</t>
        </is>
      </c>
      <c r="F471" s="4" t="inlineStr">
        <is>
          <t>6203四寸连体面盆龙头拉丝古铜色</t>
        </is>
      </c>
      <c r="G471" s="4" t="inlineStr">
        <is>
          <t>童劲威</t>
        </is>
      </c>
      <c r="H471" s="4" t="inlineStr">
        <is>
          <t>面盆</t>
        </is>
      </c>
      <c r="I471" s="12" t="inlineStr">
        <is>
          <t>是</t>
        </is>
      </c>
      <c r="J471" s="34" t="n">
        <v>45090</v>
      </c>
      <c r="K471" s="34" t="n">
        <v>45090</v>
      </c>
      <c r="L471" s="0">
        <f>DATEDIF(J471,$L$1,"M")</f>
        <v/>
      </c>
      <c r="M471" s="0">
        <f>IF(L471&lt;18,"新品期",IF(L471&lt;=36,"老品期","衰退期"))</f>
        <v/>
      </c>
      <c r="N471" s="36" t="inlineStr">
        <is>
          <t>清完不卖</t>
        </is>
      </c>
    </row>
    <row r="472" ht="15" customFormat="1" customHeight="1" s="36">
      <c r="A472" s="4" t="inlineStr">
        <is>
          <t>Wintap-US</t>
        </is>
      </c>
      <c r="B472" s="4" t="inlineStr">
        <is>
          <t>Wintap美国站</t>
        </is>
      </c>
      <c r="C472" s="4">
        <f>B472&amp;D472</f>
        <v/>
      </c>
      <c r="D472" s="4" t="inlineStr">
        <is>
          <t>AX-1FZA-UKWS</t>
        </is>
      </c>
      <c r="E472" s="4" t="inlineStr">
        <is>
          <t>211F8000CP1</t>
        </is>
      </c>
      <c r="F472" s="4" t="inlineStr">
        <is>
          <t>8000二功能落地浴缸龙头铬</t>
        </is>
      </c>
      <c r="G472" s="4" t="inlineStr">
        <is>
          <t>刘皓</t>
        </is>
      </c>
      <c r="H472" s="4" t="inlineStr">
        <is>
          <t>落地浴缸</t>
        </is>
      </c>
      <c r="I472" s="12" t="inlineStr">
        <is>
          <t>是</t>
        </is>
      </c>
      <c r="J472" s="34" t="n">
        <v>44854</v>
      </c>
      <c r="K472" s="34" t="n">
        <v>44854</v>
      </c>
      <c r="L472" s="0">
        <f>DATEDIF(J472,$L$1,"M")</f>
        <v/>
      </c>
      <c r="M472" s="0">
        <f>IF(L472&lt;18,"新品期",IF(L472&lt;=36,"老品期","衰退期"))</f>
        <v/>
      </c>
    </row>
    <row r="473" ht="15" customFormat="1" customHeight="1" s="36">
      <c r="A473" s="4" t="inlineStr">
        <is>
          <t>Wintap-CA</t>
        </is>
      </c>
      <c r="B473" s="4" t="inlineStr">
        <is>
          <t>Wintap加拿大站</t>
        </is>
      </c>
      <c r="C473" s="4">
        <f>B473&amp;D473</f>
        <v/>
      </c>
      <c r="D473" s="4" t="inlineStr">
        <is>
          <t>AX-1FZA-UKWS</t>
        </is>
      </c>
      <c r="E473" s="4" t="inlineStr">
        <is>
          <t>211F8000CP1</t>
        </is>
      </c>
      <c r="F473" s="4" t="inlineStr">
        <is>
          <t>8000二功能落地浴缸龙头铬</t>
        </is>
      </c>
      <c r="G473" s="4" t="inlineStr">
        <is>
          <t>刘皓</t>
        </is>
      </c>
      <c r="H473" s="4" t="inlineStr">
        <is>
          <t>落地浴缸</t>
        </is>
      </c>
      <c r="I473" s="12" t="inlineStr">
        <is>
          <t>是</t>
        </is>
      </c>
      <c r="J473" s="34" t="n">
        <v>44854</v>
      </c>
      <c r="K473" s="34" t="n">
        <v>44854</v>
      </c>
      <c r="L473" s="0">
        <f>DATEDIF(J473,$L$1,"M")</f>
        <v/>
      </c>
      <c r="M473" s="0">
        <f>IF(L473&lt;18,"新品期",IF(L473&lt;=36,"老品期","衰退期"))</f>
        <v/>
      </c>
    </row>
    <row r="474" ht="15" customFormat="1" customHeight="1" s="36">
      <c r="A474" s="4" t="inlineStr">
        <is>
          <t>soebiz-US</t>
        </is>
      </c>
      <c r="B474" s="4" t="inlineStr">
        <is>
          <t>Soebiz美国站</t>
        </is>
      </c>
      <c r="C474" s="4">
        <f>B474&amp;D474</f>
        <v/>
      </c>
      <c r="D474" s="4" t="inlineStr">
        <is>
          <t>AZ-SOEBIZ-US-CFSLT-BN-001</t>
        </is>
      </c>
      <c r="E474" s="4" t="inlineStr">
        <is>
          <t>420F0013BN5</t>
        </is>
      </c>
      <c r="F474" s="4" t="inlineStr">
        <is>
          <t>0013不锈钢抽拉龙头拉丝封油</t>
        </is>
      </c>
      <c r="G474" s="4" t="inlineStr">
        <is>
          <t>吕凯烨</t>
        </is>
      </c>
      <c r="H474" s="4" t="inlineStr">
        <is>
          <t>厨房品线</t>
        </is>
      </c>
      <c r="I474" s="12" t="inlineStr">
        <is>
          <t>否</t>
        </is>
      </c>
      <c r="J474" s="34" t="n">
        <v>45577</v>
      </c>
      <c r="K474" s="34" t="n">
        <v>45695</v>
      </c>
      <c r="L474" s="0">
        <f>DATEDIF(J474,$L$1,"M")</f>
        <v/>
      </c>
      <c r="M474" s="0">
        <f>IF(L474&lt;18,"新品期",IF(L474&lt;=36,"老品期","衰退期"))</f>
        <v/>
      </c>
    </row>
    <row r="475" ht="15" customFormat="1" customHeight="1" s="36">
      <c r="A475" s="4" t="inlineStr">
        <is>
          <t>soebiz-CA</t>
        </is>
      </c>
      <c r="B475" s="4" t="inlineStr">
        <is>
          <t>Soebiz加拿大站</t>
        </is>
      </c>
      <c r="C475" s="4">
        <f>B475&amp;D475</f>
        <v/>
      </c>
      <c r="D475" s="4" t="inlineStr">
        <is>
          <t>AZ-SOEBIZ-US-CFSLT-BN-001</t>
        </is>
      </c>
      <c r="E475" s="4" t="inlineStr">
        <is>
          <t>420F0013BN5</t>
        </is>
      </c>
      <c r="F475" s="4" t="inlineStr">
        <is>
          <t>0013不锈钢抽拉龙头拉丝封油</t>
        </is>
      </c>
      <c r="G475" s="4" t="inlineStr">
        <is>
          <t>吕凯烨</t>
        </is>
      </c>
      <c r="H475" s="4" t="inlineStr">
        <is>
          <t>厨房品线</t>
        </is>
      </c>
      <c r="I475" s="12" t="inlineStr">
        <is>
          <t>否</t>
        </is>
      </c>
      <c r="J475" s="34" t="n">
        <v>45577</v>
      </c>
      <c r="K475" s="34" t="n">
        <v>45695</v>
      </c>
      <c r="L475" s="0">
        <f>DATEDIF(J475,$L$1,"M")</f>
        <v/>
      </c>
      <c r="M475" s="0">
        <f>IF(L475&lt;18,"新品期",IF(L475&lt;=36,"老品期","衰退期"))</f>
        <v/>
      </c>
    </row>
    <row r="476" ht="15" customFormat="1" customHeight="1" s="36">
      <c r="A476" s="4" t="inlineStr">
        <is>
          <t>soebiz-BR</t>
        </is>
      </c>
      <c r="B476" s="4" t="inlineStr">
        <is>
          <t>Soebiz巴西站</t>
        </is>
      </c>
      <c r="C476" s="4">
        <f>B476&amp;D476</f>
        <v/>
      </c>
      <c r="D476" s="4" t="inlineStr">
        <is>
          <t>AZ-SOEBIZ-US-CFSLT-BN-001</t>
        </is>
      </c>
      <c r="E476" s="4" t="inlineStr">
        <is>
          <t>420F0013BN5</t>
        </is>
      </c>
      <c r="F476" s="4" t="inlineStr">
        <is>
          <t>0013不锈钢抽拉龙头拉丝封油</t>
        </is>
      </c>
      <c r="G476" s="4" t="inlineStr">
        <is>
          <t>吕凯烨</t>
        </is>
      </c>
      <c r="H476" s="4" t="inlineStr">
        <is>
          <t>厨房品线</t>
        </is>
      </c>
      <c r="I476" s="12" t="inlineStr">
        <is>
          <t>否</t>
        </is>
      </c>
      <c r="J476" s="34" t="n">
        <v>45577</v>
      </c>
      <c r="K476" s="34" t="n">
        <v>45695</v>
      </c>
      <c r="L476" s="0">
        <f>DATEDIF(J476,$L$1,"M")</f>
        <v/>
      </c>
      <c r="M476" s="0">
        <f>IF(L476&lt;18,"新品期",IF(L476&lt;=36,"老品期","衰退期"))</f>
        <v/>
      </c>
    </row>
    <row r="477" ht="15" customFormat="1" customHeight="1" s="36">
      <c r="A477" s="4" t="inlineStr">
        <is>
          <t>soebiz-US</t>
        </is>
      </c>
      <c r="B477" s="4" t="inlineStr">
        <is>
          <t>Soebiz美国站</t>
        </is>
      </c>
      <c r="C477" s="4">
        <f>B477&amp;D477</f>
        <v/>
      </c>
      <c r="D477" s="4" t="inlineStr">
        <is>
          <t>AZ-SOEBIZ-US-CFSLT-BN-002</t>
        </is>
      </c>
      <c r="E477" s="4" t="inlineStr">
        <is>
          <t>420F0013BN5</t>
        </is>
      </c>
      <c r="F477" s="4" t="inlineStr">
        <is>
          <t>0013不锈钢抽拉龙头拉丝封油</t>
        </is>
      </c>
      <c r="G477" s="4" t="inlineStr">
        <is>
          <t>吕凯烨</t>
        </is>
      </c>
      <c r="H477" s="4" t="inlineStr">
        <is>
          <t>厨房品线</t>
        </is>
      </c>
      <c r="I477" s="12" t="inlineStr">
        <is>
          <t>否</t>
        </is>
      </c>
      <c r="J477" s="34" t="n">
        <v>45577</v>
      </c>
      <c r="K477" s="34" t="n">
        <v>45695</v>
      </c>
      <c r="L477" s="0">
        <f>DATEDIF(J477,$L$1,"M")</f>
        <v/>
      </c>
      <c r="M477" s="0">
        <f>IF(L477&lt;18,"新品期",IF(L477&lt;=36,"老品期","衰退期"))</f>
        <v/>
      </c>
    </row>
    <row r="478" ht="15" customFormat="1" customHeight="1" s="36">
      <c r="A478" s="4" t="inlineStr">
        <is>
          <t>soebiz-CA</t>
        </is>
      </c>
      <c r="B478" s="4" t="inlineStr">
        <is>
          <t>Soebiz加拿大站</t>
        </is>
      </c>
      <c r="C478" s="4">
        <f>B478&amp;D478</f>
        <v/>
      </c>
      <c r="D478" s="4" t="inlineStr">
        <is>
          <t>AZ-SOEBIZ-US-CFSLT-BN-002</t>
        </is>
      </c>
      <c r="E478" s="4" t="inlineStr">
        <is>
          <t>420F0013BN5</t>
        </is>
      </c>
      <c r="F478" s="4" t="inlineStr">
        <is>
          <t>0013不锈钢抽拉龙头拉丝封油</t>
        </is>
      </c>
      <c r="G478" s="4" t="inlineStr">
        <is>
          <t>吕凯烨</t>
        </is>
      </c>
      <c r="H478" s="4" t="inlineStr">
        <is>
          <t>厨房品线</t>
        </is>
      </c>
      <c r="I478" s="12" t="inlineStr">
        <is>
          <t>否</t>
        </is>
      </c>
      <c r="J478" s="34" t="n">
        <v>45577</v>
      </c>
      <c r="K478" s="34" t="n">
        <v>45695</v>
      </c>
      <c r="L478" s="0">
        <f>DATEDIF(J478,$L$1,"M")</f>
        <v/>
      </c>
      <c r="M478" s="0">
        <f>IF(L478&lt;18,"新品期",IF(L478&lt;=36,"老品期","衰退期"))</f>
        <v/>
      </c>
    </row>
    <row r="479" ht="15" customFormat="1" customHeight="1" s="36">
      <c r="A479" s="4" t="inlineStr">
        <is>
          <t>soebiz-BR</t>
        </is>
      </c>
      <c r="B479" s="4" t="inlineStr">
        <is>
          <t>Soebiz巴西站</t>
        </is>
      </c>
      <c r="C479" s="4">
        <f>B479&amp;D479</f>
        <v/>
      </c>
      <c r="D479" s="4" t="inlineStr">
        <is>
          <t>AZ-SOEBIZ-US-CFSLT-BN-002</t>
        </is>
      </c>
      <c r="E479" s="4" t="inlineStr">
        <is>
          <t>420F0013BN5</t>
        </is>
      </c>
      <c r="F479" s="4" t="inlineStr">
        <is>
          <t>0013不锈钢抽拉龙头拉丝封油</t>
        </is>
      </c>
      <c r="G479" s="4" t="inlineStr">
        <is>
          <t>吕凯烨</t>
        </is>
      </c>
      <c r="H479" s="4" t="inlineStr">
        <is>
          <t>厨房品线</t>
        </is>
      </c>
      <c r="I479" s="12" t="inlineStr">
        <is>
          <t>否</t>
        </is>
      </c>
      <c r="J479" s="34" t="n">
        <v>45577</v>
      </c>
      <c r="K479" s="34" t="n">
        <v>45695</v>
      </c>
      <c r="L479" s="0">
        <f>DATEDIF(J479,$L$1,"M")</f>
        <v/>
      </c>
      <c r="M479" s="0">
        <f>IF(L479&lt;18,"新品期",IF(L479&lt;=36,"老品期","衰退期"))</f>
        <v/>
      </c>
    </row>
    <row r="480" ht="15" customFormat="1" customHeight="1" s="36">
      <c r="A480" s="4" t="inlineStr">
        <is>
          <t>soebiz-US</t>
        </is>
      </c>
      <c r="B480" s="4" t="inlineStr">
        <is>
          <t>Soebiz美国站</t>
        </is>
      </c>
      <c r="C480" s="4">
        <f>B480&amp;D480</f>
        <v/>
      </c>
      <c r="D480" s="4" t="inlineStr">
        <is>
          <t>AZ-SOEBIZ-US-CFSLT-BN-003</t>
        </is>
      </c>
      <c r="E480" s="4" t="inlineStr">
        <is>
          <t>420F0013BN5</t>
        </is>
      </c>
      <c r="F480" s="4" t="inlineStr">
        <is>
          <t>0013不锈钢抽拉龙头拉丝封油</t>
        </is>
      </c>
      <c r="G480" s="4" t="inlineStr">
        <is>
          <t>吕凯烨</t>
        </is>
      </c>
      <c r="H480" s="4" t="inlineStr">
        <is>
          <t>厨房品线</t>
        </is>
      </c>
      <c r="I480" s="12" t="inlineStr">
        <is>
          <t>否</t>
        </is>
      </c>
      <c r="J480" s="34" t="n">
        <v>45577</v>
      </c>
      <c r="K480" s="34" t="n">
        <v>45695</v>
      </c>
      <c r="L480" s="0">
        <f>DATEDIF(J480,$L$1,"M")</f>
        <v/>
      </c>
      <c r="M480" s="0">
        <f>IF(L480&lt;18,"新品期",IF(L480&lt;=36,"老品期","衰退期"))</f>
        <v/>
      </c>
    </row>
    <row r="481" ht="15" customFormat="1" customHeight="1" s="36">
      <c r="A481" s="4" t="inlineStr">
        <is>
          <t>soebiz-CA</t>
        </is>
      </c>
      <c r="B481" s="4" t="inlineStr">
        <is>
          <t>Soebiz加拿大站</t>
        </is>
      </c>
      <c r="C481" s="4">
        <f>B481&amp;D481</f>
        <v/>
      </c>
      <c r="D481" s="4" t="inlineStr">
        <is>
          <t>AZ-SOEBIZ-US-CFSLT-BN-003</t>
        </is>
      </c>
      <c r="E481" s="4" t="inlineStr">
        <is>
          <t>420F0013BN5</t>
        </is>
      </c>
      <c r="F481" s="4" t="inlineStr">
        <is>
          <t>0013不锈钢抽拉龙头拉丝封油</t>
        </is>
      </c>
      <c r="G481" s="4" t="inlineStr">
        <is>
          <t>吕凯烨</t>
        </is>
      </c>
      <c r="H481" s="4" t="inlineStr">
        <is>
          <t>厨房品线</t>
        </is>
      </c>
      <c r="I481" s="12" t="inlineStr">
        <is>
          <t>否</t>
        </is>
      </c>
      <c r="J481" s="34" t="n">
        <v>45577</v>
      </c>
      <c r="K481" s="34" t="n">
        <v>45695</v>
      </c>
      <c r="L481" s="0">
        <f>DATEDIF(J481,$L$1,"M")</f>
        <v/>
      </c>
      <c r="M481" s="0">
        <f>IF(L481&lt;18,"新品期",IF(L481&lt;=36,"老品期","衰退期"))</f>
        <v/>
      </c>
    </row>
    <row r="482" ht="15" customFormat="1" customHeight="1" s="36">
      <c r="A482" s="4" t="inlineStr">
        <is>
          <t>soebiz-BR</t>
        </is>
      </c>
      <c r="B482" s="4" t="inlineStr">
        <is>
          <t>Soebiz巴西站</t>
        </is>
      </c>
      <c r="C482" s="4">
        <f>B482&amp;D482</f>
        <v/>
      </c>
      <c r="D482" s="4" t="inlineStr">
        <is>
          <t>AZ-SOEBIZ-US-CFSLT-BN-003</t>
        </is>
      </c>
      <c r="E482" s="4" t="inlineStr">
        <is>
          <t>420F0013BN5</t>
        </is>
      </c>
      <c r="F482" s="4" t="inlineStr">
        <is>
          <t>0013不锈钢抽拉龙头拉丝封油</t>
        </is>
      </c>
      <c r="G482" s="4" t="inlineStr">
        <is>
          <t>吕凯烨</t>
        </is>
      </c>
      <c r="H482" s="4" t="inlineStr">
        <is>
          <t>厨房品线</t>
        </is>
      </c>
      <c r="I482" s="12" t="inlineStr">
        <is>
          <t>否</t>
        </is>
      </c>
      <c r="J482" s="34" t="n">
        <v>45577</v>
      </c>
      <c r="K482" s="34" t="n">
        <v>45695</v>
      </c>
      <c r="L482" s="0">
        <f>DATEDIF(J482,$L$1,"M")</f>
        <v/>
      </c>
      <c r="M482" s="0">
        <f>IF(L482&lt;18,"新品期",IF(L482&lt;=36,"老品期","衰退期"))</f>
        <v/>
      </c>
    </row>
    <row r="483" ht="15" customFormat="1" customHeight="1" s="36">
      <c r="A483" s="4" t="inlineStr">
        <is>
          <t>soebiz-US</t>
        </is>
      </c>
      <c r="B483" s="4" t="inlineStr">
        <is>
          <t>Soebiz美国站</t>
        </is>
      </c>
      <c r="C483" s="4">
        <f>B483&amp;D483</f>
        <v/>
      </c>
      <c r="D483" s="4" t="inlineStr">
        <is>
          <t>AZ-SOEBIZ-US-CFSLT-BN-004</t>
        </is>
      </c>
      <c r="E483" s="4" t="inlineStr">
        <is>
          <t>420F0013BN5</t>
        </is>
      </c>
      <c r="F483" s="4" t="inlineStr">
        <is>
          <t>0013不锈钢抽拉龙头拉丝封油</t>
        </is>
      </c>
      <c r="G483" s="4" t="inlineStr">
        <is>
          <t>吕凯烨</t>
        </is>
      </c>
      <c r="H483" s="4" t="inlineStr">
        <is>
          <t>厨房品线</t>
        </is>
      </c>
      <c r="I483" s="12" t="inlineStr">
        <is>
          <t>否</t>
        </is>
      </c>
      <c r="J483" s="34" t="n">
        <v>45577</v>
      </c>
      <c r="K483" s="34" t="n">
        <v>45695</v>
      </c>
      <c r="L483" s="0">
        <f>DATEDIF(J483,$L$1,"M")</f>
        <v/>
      </c>
      <c r="M483" s="0">
        <f>IF(L483&lt;18,"新品期",IF(L483&lt;=36,"老品期","衰退期"))</f>
        <v/>
      </c>
    </row>
    <row r="484" ht="15" customFormat="1" customHeight="1" s="36">
      <c r="A484" s="4" t="inlineStr">
        <is>
          <t>soebiz-CA</t>
        </is>
      </c>
      <c r="B484" s="4" t="inlineStr">
        <is>
          <t>Soebiz加拿大站</t>
        </is>
      </c>
      <c r="C484" s="4">
        <f>B484&amp;D484</f>
        <v/>
      </c>
      <c r="D484" s="4" t="inlineStr">
        <is>
          <t>AZ-SOEBIZ-US-CFSLT-BN-004</t>
        </is>
      </c>
      <c r="E484" s="4" t="inlineStr">
        <is>
          <t>420F0013BN5</t>
        </is>
      </c>
      <c r="F484" s="4" t="inlineStr">
        <is>
          <t>0013不锈钢抽拉龙头拉丝封油</t>
        </is>
      </c>
      <c r="G484" s="4" t="inlineStr">
        <is>
          <t>吕凯烨</t>
        </is>
      </c>
      <c r="H484" s="4" t="inlineStr">
        <is>
          <t>厨房品线</t>
        </is>
      </c>
      <c r="I484" s="12" t="inlineStr">
        <is>
          <t>否</t>
        </is>
      </c>
      <c r="J484" s="34" t="n">
        <v>45577</v>
      </c>
      <c r="K484" s="34" t="n">
        <v>45695</v>
      </c>
      <c r="L484" s="0">
        <f>DATEDIF(J484,$L$1,"M")</f>
        <v/>
      </c>
      <c r="M484" s="0">
        <f>IF(L484&lt;18,"新品期",IF(L484&lt;=36,"老品期","衰退期"))</f>
        <v/>
      </c>
    </row>
    <row r="485" ht="15" customFormat="1" customHeight="1" s="36">
      <c r="A485" s="4" t="inlineStr">
        <is>
          <t>soebiz-BR</t>
        </is>
      </c>
      <c r="B485" s="4" t="inlineStr">
        <is>
          <t>Soebiz巴西站</t>
        </is>
      </c>
      <c r="C485" s="4">
        <f>B485&amp;D485</f>
        <v/>
      </c>
      <c r="D485" s="4" t="inlineStr">
        <is>
          <t>AZ-SOEBIZ-US-CFSLT-BN-004</t>
        </is>
      </c>
      <c r="E485" s="4" t="inlineStr">
        <is>
          <t>420F0013BN5</t>
        </is>
      </c>
      <c r="F485" s="4" t="inlineStr">
        <is>
          <t>0013不锈钢抽拉龙头拉丝封油</t>
        </is>
      </c>
      <c r="G485" s="4" t="inlineStr">
        <is>
          <t>吕凯烨</t>
        </is>
      </c>
      <c r="H485" s="4" t="inlineStr">
        <is>
          <t>厨房品线</t>
        </is>
      </c>
      <c r="I485" s="12" t="inlineStr">
        <is>
          <t>否</t>
        </is>
      </c>
      <c r="J485" s="34" t="n">
        <v>45577</v>
      </c>
      <c r="K485" s="34" t="n">
        <v>45695</v>
      </c>
      <c r="L485" s="0">
        <f>DATEDIF(J485,$L$1,"M")</f>
        <v/>
      </c>
      <c r="M485" s="0">
        <f>IF(L485&lt;18,"新品期",IF(L485&lt;=36,"老品期","衰退期"))</f>
        <v/>
      </c>
    </row>
    <row r="486" ht="15" customFormat="1" customHeight="1" s="36">
      <c r="A486" s="4" t="inlineStr">
        <is>
          <t>soebiz-US</t>
        </is>
      </c>
      <c r="B486" s="4" t="inlineStr">
        <is>
          <t>Soebiz美国站</t>
        </is>
      </c>
      <c r="C486" s="4">
        <f>B486&amp;D486</f>
        <v/>
      </c>
      <c r="D486" s="4" t="inlineStr">
        <is>
          <t>AZ-SOEBIZ-US-CFSLT-BN-005</t>
        </is>
      </c>
      <c r="E486" s="4" t="inlineStr">
        <is>
          <t>420F0013BN5</t>
        </is>
      </c>
      <c r="F486" s="4" t="inlineStr">
        <is>
          <t>0013不锈钢抽拉龙头拉丝封油</t>
        </is>
      </c>
      <c r="G486" s="4" t="inlineStr">
        <is>
          <t>吕凯烨</t>
        </is>
      </c>
      <c r="H486" s="4" t="inlineStr">
        <is>
          <t>厨房品线</t>
        </is>
      </c>
      <c r="I486" s="12" t="inlineStr">
        <is>
          <t>否</t>
        </is>
      </c>
      <c r="J486" s="34" t="n">
        <v>45577</v>
      </c>
      <c r="K486" s="34" t="n">
        <v>45695</v>
      </c>
      <c r="L486" s="0">
        <f>DATEDIF(J486,$L$1,"M")</f>
        <v/>
      </c>
      <c r="M486" s="0">
        <f>IF(L486&lt;18,"新品期",IF(L486&lt;=36,"老品期","衰退期"))</f>
        <v/>
      </c>
    </row>
    <row r="487" ht="15" customFormat="1" customHeight="1" s="36">
      <c r="A487" s="4" t="inlineStr">
        <is>
          <t>soebiz-CA</t>
        </is>
      </c>
      <c r="B487" s="4" t="inlineStr">
        <is>
          <t>Soebiz加拿大站</t>
        </is>
      </c>
      <c r="C487" s="4">
        <f>B487&amp;D487</f>
        <v/>
      </c>
      <c r="D487" s="4" t="inlineStr">
        <is>
          <t>AZ-SOEBIZ-US-CFSLT-BN-005</t>
        </is>
      </c>
      <c r="E487" s="4" t="inlineStr">
        <is>
          <t>420F0013BN5</t>
        </is>
      </c>
      <c r="F487" s="4" t="inlineStr">
        <is>
          <t>0013不锈钢抽拉龙头拉丝封油</t>
        </is>
      </c>
      <c r="G487" s="4" t="inlineStr">
        <is>
          <t>吕凯烨</t>
        </is>
      </c>
      <c r="H487" s="4" t="inlineStr">
        <is>
          <t>厨房品线</t>
        </is>
      </c>
      <c r="I487" s="12" t="inlineStr">
        <is>
          <t>否</t>
        </is>
      </c>
      <c r="J487" s="34" t="n">
        <v>45577</v>
      </c>
      <c r="K487" s="34" t="n">
        <v>45695</v>
      </c>
      <c r="L487" s="0">
        <f>DATEDIF(J487,$L$1,"M")</f>
        <v/>
      </c>
      <c r="M487" s="0">
        <f>IF(L487&lt;18,"新品期",IF(L487&lt;=36,"老品期","衰退期"))</f>
        <v/>
      </c>
    </row>
    <row r="488" ht="15" customFormat="1" customHeight="1" s="36">
      <c r="A488" s="4" t="inlineStr">
        <is>
          <t>soebiz-BR</t>
        </is>
      </c>
      <c r="B488" s="4" t="inlineStr">
        <is>
          <t>Soebiz巴西站</t>
        </is>
      </c>
      <c r="C488" s="4">
        <f>B488&amp;D488</f>
        <v/>
      </c>
      <c r="D488" s="4" t="inlineStr">
        <is>
          <t>AZ-SOEBIZ-US-CFSLT-BN-005</t>
        </is>
      </c>
      <c r="E488" s="4" t="inlineStr">
        <is>
          <t>420F0013BN5</t>
        </is>
      </c>
      <c r="F488" s="4" t="inlineStr">
        <is>
          <t>0013不锈钢抽拉龙头拉丝封油</t>
        </is>
      </c>
      <c r="G488" s="4" t="inlineStr">
        <is>
          <t>吕凯烨</t>
        </is>
      </c>
      <c r="H488" s="4" t="inlineStr">
        <is>
          <t>厨房品线</t>
        </is>
      </c>
      <c r="I488" s="12" t="inlineStr">
        <is>
          <t>否</t>
        </is>
      </c>
      <c r="J488" s="34" t="n">
        <v>45577</v>
      </c>
      <c r="K488" s="34" t="n">
        <v>45695</v>
      </c>
      <c r="L488" s="0">
        <f>DATEDIF(J488,$L$1,"M")</f>
        <v/>
      </c>
      <c r="M488" s="0">
        <f>IF(L488&lt;18,"新品期",IF(L488&lt;=36,"老品期","衰退期"))</f>
        <v/>
      </c>
    </row>
    <row r="489" ht="15" customFormat="1" customHeight="1" s="36">
      <c r="A489" s="4" t="inlineStr">
        <is>
          <t>soebiz-US</t>
        </is>
      </c>
      <c r="B489" s="4" t="inlineStr">
        <is>
          <t>Soebiz美国站</t>
        </is>
      </c>
      <c r="C489" s="4">
        <f>B489&amp;D489</f>
        <v/>
      </c>
      <c r="D489" s="4" t="inlineStr">
        <is>
          <t>AZ-US-SOEBIZ-CFSLT-BK-02</t>
        </is>
      </c>
      <c r="E489" s="4" t="inlineStr">
        <is>
          <t>420F0013BK1</t>
        </is>
      </c>
      <c r="F489" s="4" t="inlineStr">
        <is>
          <t>0013不锈钢抽拉龙头电泳黑</t>
        </is>
      </c>
      <c r="G489" s="4" t="inlineStr">
        <is>
          <t>吕凯烨</t>
        </is>
      </c>
      <c r="H489" s="4" t="inlineStr">
        <is>
          <t>厨房品线</t>
        </is>
      </c>
      <c r="I489" s="12" t="inlineStr">
        <is>
          <t>否</t>
        </is>
      </c>
      <c r="J489" s="34" t="n">
        <v>45577</v>
      </c>
      <c r="K489" s="34" t="n">
        <v>45695</v>
      </c>
      <c r="L489" s="0">
        <f>DATEDIF(J489,$L$1,"M")</f>
        <v/>
      </c>
      <c r="M489" s="0">
        <f>IF(L489&lt;18,"新品期",IF(L489&lt;=36,"老品期","衰退期"))</f>
        <v/>
      </c>
    </row>
    <row r="490" ht="15" customFormat="1" customHeight="1" s="36">
      <c r="A490" s="4" t="inlineStr">
        <is>
          <t>soebiz-CA</t>
        </is>
      </c>
      <c r="B490" s="4" t="inlineStr">
        <is>
          <t>Soebiz加拿大站</t>
        </is>
      </c>
      <c r="C490" s="4">
        <f>B490&amp;D490</f>
        <v/>
      </c>
      <c r="D490" s="4" t="inlineStr">
        <is>
          <t>AZ-US-SOEBIZ-CFSLT-BK-02</t>
        </is>
      </c>
      <c r="E490" s="4" t="inlineStr">
        <is>
          <t>420F0013BK1</t>
        </is>
      </c>
      <c r="F490" s="4" t="inlineStr">
        <is>
          <t>0013不锈钢抽拉龙头电泳黑</t>
        </is>
      </c>
      <c r="G490" s="4" t="inlineStr">
        <is>
          <t>吕凯烨</t>
        </is>
      </c>
      <c r="H490" s="4" t="inlineStr">
        <is>
          <t>厨房品线</t>
        </is>
      </c>
      <c r="I490" s="12" t="inlineStr">
        <is>
          <t>否</t>
        </is>
      </c>
      <c r="J490" s="34" t="n">
        <v>45577</v>
      </c>
      <c r="K490" s="34" t="n">
        <v>45695</v>
      </c>
      <c r="L490" s="0">
        <f>DATEDIF(J490,$L$1,"M")</f>
        <v/>
      </c>
      <c r="M490" s="0">
        <f>IF(L490&lt;18,"新品期",IF(L490&lt;=36,"老品期","衰退期"))</f>
        <v/>
      </c>
    </row>
    <row r="491" ht="15" customFormat="1" customHeight="1" s="36">
      <c r="A491" s="4" t="inlineStr">
        <is>
          <t>soebiz-BR</t>
        </is>
      </c>
      <c r="B491" s="4" t="inlineStr">
        <is>
          <t>Soebiz巴西站</t>
        </is>
      </c>
      <c r="C491" s="4">
        <f>B491&amp;D491</f>
        <v/>
      </c>
      <c r="D491" s="4" t="inlineStr">
        <is>
          <t>AZ-US-SOEBIZ-CFSLT-BK-02</t>
        </is>
      </c>
      <c r="E491" s="4" t="inlineStr">
        <is>
          <t>420F0013BK1</t>
        </is>
      </c>
      <c r="F491" s="4" t="inlineStr">
        <is>
          <t>0013不锈钢抽拉龙头电泳黑</t>
        </is>
      </c>
      <c r="G491" s="4" t="inlineStr">
        <is>
          <t>吕凯烨</t>
        </is>
      </c>
      <c r="H491" s="4" t="inlineStr">
        <is>
          <t>厨房品线</t>
        </is>
      </c>
      <c r="I491" s="12" t="inlineStr">
        <is>
          <t>否</t>
        </is>
      </c>
      <c r="J491" s="34" t="n">
        <v>45577</v>
      </c>
      <c r="K491" s="34" t="n">
        <v>45695</v>
      </c>
      <c r="L491" s="0">
        <f>DATEDIF(J491,$L$1,"M")</f>
        <v/>
      </c>
      <c r="M491" s="0">
        <f>IF(L491&lt;18,"新品期",IF(L491&lt;=36,"老品期","衰退期"))</f>
        <v/>
      </c>
    </row>
    <row r="492" ht="15" customFormat="1" customHeight="1" s="36">
      <c r="A492" s="4" t="inlineStr">
        <is>
          <t>soebiz-US</t>
        </is>
      </c>
      <c r="B492" s="4" t="inlineStr">
        <is>
          <t>Soebiz美国站</t>
        </is>
      </c>
      <c r="C492" s="4">
        <f>B492&amp;D492</f>
        <v/>
      </c>
      <c r="D492" s="4" t="inlineStr">
        <is>
          <t>AZ-US-SOEBIZ-CFSLT-BN-01</t>
        </is>
      </c>
      <c r="E492" s="4" t="inlineStr">
        <is>
          <t>420F0013BN5</t>
        </is>
      </c>
      <c r="F492" s="4" t="inlineStr">
        <is>
          <t>0013不锈钢抽拉龙头拉丝封油</t>
        </is>
      </c>
      <c r="G492" s="4" t="inlineStr">
        <is>
          <t>吕凯烨</t>
        </is>
      </c>
      <c r="H492" s="4" t="inlineStr">
        <is>
          <t>厨房品线</t>
        </is>
      </c>
      <c r="I492" s="12" t="inlineStr">
        <is>
          <t>否</t>
        </is>
      </c>
      <c r="J492" s="34" t="n">
        <v>45577</v>
      </c>
      <c r="K492" s="34" t="n">
        <v>45695</v>
      </c>
      <c r="L492" s="0">
        <f>DATEDIF(J492,$L$1,"M")</f>
        <v/>
      </c>
      <c r="M492" s="0">
        <f>IF(L492&lt;18,"新品期",IF(L492&lt;=36,"老品期","衰退期"))</f>
        <v/>
      </c>
    </row>
    <row r="493" ht="15" customFormat="1" customHeight="1" s="36">
      <c r="A493" s="4" t="inlineStr">
        <is>
          <t>soebiz-CA</t>
        </is>
      </c>
      <c r="B493" s="4" t="inlineStr">
        <is>
          <t>Soebiz加拿大站</t>
        </is>
      </c>
      <c r="C493" s="4">
        <f>B493&amp;D493</f>
        <v/>
      </c>
      <c r="D493" s="4" t="inlineStr">
        <is>
          <t>AZ-US-SOEBIZ-CFSLT-BN-01</t>
        </is>
      </c>
      <c r="E493" s="4" t="inlineStr">
        <is>
          <t>420F0013BN5</t>
        </is>
      </c>
      <c r="F493" s="4" t="inlineStr">
        <is>
          <t>0013不锈钢抽拉龙头拉丝封油</t>
        </is>
      </c>
      <c r="G493" s="4" t="inlineStr">
        <is>
          <t>吕凯烨</t>
        </is>
      </c>
      <c r="H493" s="4" t="inlineStr">
        <is>
          <t>厨房品线</t>
        </is>
      </c>
      <c r="I493" s="12" t="inlineStr">
        <is>
          <t>否</t>
        </is>
      </c>
      <c r="J493" s="34" t="n">
        <v>45577</v>
      </c>
      <c r="K493" s="34" t="n">
        <v>45695</v>
      </c>
      <c r="L493" s="0">
        <f>DATEDIF(J493,$L$1,"M")</f>
        <v/>
      </c>
      <c r="M493" s="0">
        <f>IF(L493&lt;18,"新品期",IF(L493&lt;=36,"老品期","衰退期"))</f>
        <v/>
      </c>
    </row>
    <row r="494" ht="15" customFormat="1" customHeight="1" s="36">
      <c r="A494" s="4" t="inlineStr">
        <is>
          <t>soebiz-BR</t>
        </is>
      </c>
      <c r="B494" s="4" t="inlineStr">
        <is>
          <t>Soebiz巴西站</t>
        </is>
      </c>
      <c r="C494" s="4">
        <f>B494&amp;D494</f>
        <v/>
      </c>
      <c r="D494" s="4" t="inlineStr">
        <is>
          <t>AZ-US-SOEBIZ-CFSLT-BN-01</t>
        </is>
      </c>
      <c r="E494" s="4" t="inlineStr">
        <is>
          <t>420F0013BN5</t>
        </is>
      </c>
      <c r="F494" s="4" t="inlineStr">
        <is>
          <t>0013不锈钢抽拉龙头拉丝封油</t>
        </is>
      </c>
      <c r="G494" s="4" t="inlineStr">
        <is>
          <t>吕凯烨</t>
        </is>
      </c>
      <c r="H494" s="4" t="inlineStr">
        <is>
          <t>厨房品线</t>
        </is>
      </c>
      <c r="I494" s="12" t="inlineStr">
        <is>
          <t>否</t>
        </is>
      </c>
      <c r="J494" s="34" t="n">
        <v>45577</v>
      </c>
      <c r="K494" s="34" t="n">
        <v>45695</v>
      </c>
      <c r="L494" s="0">
        <f>DATEDIF(J494,$L$1,"M")</f>
        <v/>
      </c>
      <c r="M494" s="0">
        <f>IF(L494&lt;18,"新品期",IF(L494&lt;=36,"老品期","衰退期"))</f>
        <v/>
      </c>
    </row>
    <row r="495" ht="15" customFormat="1" customHeight="1" s="36">
      <c r="A495" s="4" t="inlineStr">
        <is>
          <t>soebiz-US</t>
        </is>
      </c>
      <c r="B495" s="4" t="inlineStr">
        <is>
          <t>Soebiz美国站</t>
        </is>
      </c>
      <c r="C495" s="4">
        <f>B495&amp;D495</f>
        <v/>
      </c>
      <c r="D495" s="4" t="inlineStr">
        <is>
          <t>AZ-US-SOEBIZ-CFSLT-GD-03</t>
        </is>
      </c>
      <c r="E495" s="4" t="inlineStr">
        <is>
          <t>420F0013BG3</t>
        </is>
      </c>
      <c r="F495" s="4" t="inlineStr">
        <is>
          <t>0013不锈钢抽拉龙头拉丝钛金封油</t>
        </is>
      </c>
      <c r="G495" s="4" t="inlineStr">
        <is>
          <t>吕凯烨</t>
        </is>
      </c>
      <c r="H495" s="4" t="inlineStr">
        <is>
          <t>厨房品线</t>
        </is>
      </c>
      <c r="I495" s="12" t="inlineStr">
        <is>
          <t>否</t>
        </is>
      </c>
      <c r="J495" s="34" t="n">
        <v>45577</v>
      </c>
      <c r="K495" s="34" t="n">
        <v>45695</v>
      </c>
      <c r="L495" s="0">
        <f>DATEDIF(J495,$L$1,"M")</f>
        <v/>
      </c>
      <c r="M495" s="0">
        <f>IF(L495&lt;18,"新品期",IF(L495&lt;=36,"老品期","衰退期"))</f>
        <v/>
      </c>
    </row>
    <row r="496" ht="15" customFormat="1" customHeight="1" s="36">
      <c r="A496" s="4" t="inlineStr">
        <is>
          <t>soebiz-CA</t>
        </is>
      </c>
      <c r="B496" s="4" t="inlineStr">
        <is>
          <t>Soebiz加拿大站</t>
        </is>
      </c>
      <c r="C496" s="4">
        <f>B496&amp;D496</f>
        <v/>
      </c>
      <c r="D496" s="4" t="inlineStr">
        <is>
          <t>AZ-US-SOEBIZ-CFSLT-GD-03</t>
        </is>
      </c>
      <c r="E496" s="4" t="inlineStr">
        <is>
          <t>420F0013BG3</t>
        </is>
      </c>
      <c r="F496" s="4" t="inlineStr">
        <is>
          <t>0013不锈钢抽拉龙头拉丝钛金封油</t>
        </is>
      </c>
      <c r="G496" s="4" t="inlineStr">
        <is>
          <t>吕凯烨</t>
        </is>
      </c>
      <c r="H496" s="4" t="inlineStr">
        <is>
          <t>厨房品线</t>
        </is>
      </c>
      <c r="I496" s="12" t="inlineStr">
        <is>
          <t>否</t>
        </is>
      </c>
      <c r="J496" s="34" t="n">
        <v>45577</v>
      </c>
      <c r="K496" s="34" t="n">
        <v>45695</v>
      </c>
      <c r="L496" s="0">
        <f>DATEDIF(J496,$L$1,"M")</f>
        <v/>
      </c>
      <c r="M496" s="0">
        <f>IF(L496&lt;18,"新品期",IF(L496&lt;=36,"老品期","衰退期"))</f>
        <v/>
      </c>
    </row>
    <row r="497" ht="15" customFormat="1" customHeight="1" s="36">
      <c r="A497" s="4" t="inlineStr">
        <is>
          <t>soebiz-BR</t>
        </is>
      </c>
      <c r="B497" s="4" t="inlineStr">
        <is>
          <t>Soebiz巴西站</t>
        </is>
      </c>
      <c r="C497" s="4">
        <f>B497&amp;D497</f>
        <v/>
      </c>
      <c r="D497" s="4" t="inlineStr">
        <is>
          <t>AZ-US-SOEBIZ-CFSLT-GD-03</t>
        </is>
      </c>
      <c r="E497" s="4" t="inlineStr">
        <is>
          <t>420F0013BG3</t>
        </is>
      </c>
      <c r="F497" s="4" t="inlineStr">
        <is>
          <t>0013不锈钢抽拉龙头拉丝钛金封油</t>
        </is>
      </c>
      <c r="G497" s="4" t="inlineStr">
        <is>
          <t>吕凯烨</t>
        </is>
      </c>
      <c r="H497" s="4" t="inlineStr">
        <is>
          <t>厨房品线</t>
        </is>
      </c>
      <c r="I497" s="12" t="inlineStr">
        <is>
          <t>否</t>
        </is>
      </c>
      <c r="J497" s="34" t="n">
        <v>45577</v>
      </c>
      <c r="K497" s="34" t="n">
        <v>45695</v>
      </c>
      <c r="L497" s="0">
        <f>DATEDIF(J497,$L$1,"M")</f>
        <v/>
      </c>
      <c r="M497" s="0">
        <f>IF(L497&lt;18,"新品期",IF(L497&lt;=36,"老品期","衰退期"))</f>
        <v/>
      </c>
    </row>
    <row r="498" ht="15" customFormat="1" customHeight="1" s="36">
      <c r="A498" s="4" t="inlineStr">
        <is>
          <t>NAUKWAN-US</t>
        </is>
      </c>
      <c r="B498" s="4" t="inlineStr">
        <is>
          <t>Naukwan美国站</t>
        </is>
      </c>
      <c r="C498" s="4">
        <f>B498&amp;D498</f>
        <v/>
      </c>
      <c r="D498" s="4" t="inlineStr">
        <is>
          <t>NL2201-BG</t>
        </is>
      </c>
      <c r="E498" s="4" t="inlineStr">
        <is>
          <t>110F0022BG1</t>
        </is>
      </c>
      <c r="F498" s="4" t="inlineStr">
        <is>
          <t>22系列矮身单孔正开面盆龙头拉丝钛金封油</t>
        </is>
      </c>
      <c r="G498" s="4" t="inlineStr">
        <is>
          <t>童劲威</t>
        </is>
      </c>
      <c r="H498" s="4" t="inlineStr">
        <is>
          <t>面盆</t>
        </is>
      </c>
      <c r="I498" s="12" t="inlineStr">
        <is>
          <t>否</t>
        </is>
      </c>
      <c r="J498" s="34" t="n">
        <v>45090</v>
      </c>
      <c r="K498" s="34" t="n">
        <v>45090</v>
      </c>
      <c r="L498" s="0">
        <f>DATEDIF(J498,$L$1,"M")</f>
        <v/>
      </c>
      <c r="M498" s="0">
        <f>IF(L498&lt;18,"新品期",IF(L498&lt;=36,"老品期","衰退期"))</f>
        <v/>
      </c>
    </row>
    <row r="499" ht="15" customFormat="1" customHeight="1" s="36">
      <c r="A499" s="4" t="inlineStr">
        <is>
          <t>WINKEAR-US</t>
        </is>
      </c>
      <c r="B499" s="4" t="inlineStr">
        <is>
          <t>Winkear美国站</t>
        </is>
      </c>
      <c r="C499" s="4">
        <f>B499&amp;D499</f>
        <v/>
      </c>
      <c r="D499" s="4" t="inlineStr">
        <is>
          <t>B2206-BG</t>
        </is>
      </c>
      <c r="E499" s="4" t="inlineStr">
        <is>
          <t>230F0022BG1</t>
        </is>
      </c>
      <c r="F499" s="4" t="inlineStr">
        <is>
          <t>22系列单功能入墙浴缸龙头拉丝钛金封油</t>
        </is>
      </c>
      <c r="G499" s="4" t="inlineStr">
        <is>
          <t>胡娟娟</t>
        </is>
      </c>
      <c r="H499" s="4" t="inlineStr">
        <is>
          <t>缸边浴缸</t>
        </is>
      </c>
      <c r="I499" s="22" t="inlineStr">
        <is>
          <t>是</t>
        </is>
      </c>
      <c r="J499" s="34" t="n">
        <v>44714</v>
      </c>
      <c r="K499" s="34" t="n">
        <v>44714</v>
      </c>
      <c r="L499" s="0">
        <f>DATEDIF(J499,$L$1,"M")</f>
        <v/>
      </c>
      <c r="M499" s="0">
        <f>IF(L499&lt;18,"新品期",IF(L499&lt;=36,"老品期","衰退期"))</f>
        <v/>
      </c>
    </row>
    <row r="500" ht="15" customFormat="1" customHeight="1" s="36">
      <c r="A500" s="4" t="inlineStr">
        <is>
          <t>WINKEAR-US</t>
        </is>
      </c>
      <c r="B500" s="4" t="inlineStr">
        <is>
          <t>Winkear美国站</t>
        </is>
      </c>
      <c r="C500" s="4">
        <f>B500&amp;D500</f>
        <v/>
      </c>
      <c r="D500" s="4" t="inlineStr">
        <is>
          <t>B2206-BK</t>
        </is>
      </c>
      <c r="E500" s="4" t="inlineStr">
        <is>
          <t>230F0022BK1</t>
        </is>
      </c>
      <c r="F500" s="4" t="inlineStr">
        <is>
          <t>22系列单功能入墙浴缸龙头电泳黑</t>
        </is>
      </c>
      <c r="G500" s="4" t="inlineStr">
        <is>
          <t>胡娟娟</t>
        </is>
      </c>
      <c r="H500" s="4" t="inlineStr">
        <is>
          <t>缸边浴缸</t>
        </is>
      </c>
      <c r="I500" s="22" t="inlineStr">
        <is>
          <t>是</t>
        </is>
      </c>
      <c r="J500" s="34" t="n">
        <v>44714</v>
      </c>
      <c r="K500" s="34" t="n">
        <v>44714</v>
      </c>
      <c r="L500" s="0">
        <f>DATEDIF(J500,$L$1,"M")</f>
        <v/>
      </c>
      <c r="M500" s="0">
        <f>IF(L500&lt;18,"新品期",IF(L500&lt;=36,"老品期","衰退期"))</f>
        <v/>
      </c>
    </row>
    <row r="501" ht="15" customFormat="1" customHeight="1" s="36">
      <c r="A501" s="4" t="inlineStr">
        <is>
          <t>WINKEAR-US</t>
        </is>
      </c>
      <c r="B501" s="4" t="inlineStr">
        <is>
          <t>Winkear美国站</t>
        </is>
      </c>
      <c r="C501" s="4">
        <f>B501&amp;D501</f>
        <v/>
      </c>
      <c r="D501" s="4" t="inlineStr">
        <is>
          <t>B2206-BN</t>
        </is>
      </c>
      <c r="E501" s="4" t="inlineStr">
        <is>
          <t>230F0022BN1</t>
        </is>
      </c>
      <c r="F501" s="4" t="inlineStr">
        <is>
          <t>22系列单功能入墙浴缸龙头拉丝封油</t>
        </is>
      </c>
      <c r="G501" s="4" t="inlineStr">
        <is>
          <t>胡娟娟</t>
        </is>
      </c>
      <c r="H501" s="4" t="inlineStr">
        <is>
          <t>缸边浴缸</t>
        </is>
      </c>
      <c r="I501" s="22" t="inlineStr">
        <is>
          <t>是</t>
        </is>
      </c>
      <c r="J501" s="34" t="n">
        <v>44714</v>
      </c>
      <c r="K501" s="34" t="n">
        <v>44714</v>
      </c>
      <c r="L501" s="0">
        <f>DATEDIF(J501,$L$1,"M")</f>
        <v/>
      </c>
      <c r="M501" s="0">
        <f>IF(L501&lt;18,"新品期",IF(L501&lt;=36,"老品期","衰退期"))</f>
        <v/>
      </c>
    </row>
    <row r="502" ht="15" customFormat="1" customHeight="1" s="36">
      <c r="A502" s="4" t="inlineStr">
        <is>
          <t>WINKEAR-US</t>
        </is>
      </c>
      <c r="B502" s="4" t="inlineStr">
        <is>
          <t>Winkear美国站</t>
        </is>
      </c>
      <c r="C502" s="4">
        <f>B502&amp;D502</f>
        <v/>
      </c>
      <c r="D502" s="4" t="inlineStr">
        <is>
          <t>B2206-CP</t>
        </is>
      </c>
      <c r="E502" s="4" t="inlineStr">
        <is>
          <t>230F0022CP1</t>
        </is>
      </c>
      <c r="F502" s="4" t="inlineStr">
        <is>
          <t>22系列单功能入墙浴缸龙头铬</t>
        </is>
      </c>
      <c r="G502" s="4" t="inlineStr">
        <is>
          <t>胡娟娟</t>
        </is>
      </c>
      <c r="H502" s="4" t="inlineStr">
        <is>
          <t>缸边浴缸</t>
        </is>
      </c>
      <c r="I502" s="22" t="inlineStr">
        <is>
          <t>是</t>
        </is>
      </c>
      <c r="J502" s="34" t="n">
        <v>44714</v>
      </c>
      <c r="K502" s="34" t="n">
        <v>44714</v>
      </c>
      <c r="L502" s="0">
        <f>DATEDIF(J502,$L$1,"M")</f>
        <v/>
      </c>
      <c r="M502" s="0">
        <f>IF(L502&lt;18,"新品期",IF(L502&lt;=36,"老品期","衰退期"))</f>
        <v/>
      </c>
    </row>
    <row r="503" ht="15" customFormat="1" customHeight="1" s="36">
      <c r="A503" s="4" t="inlineStr">
        <is>
          <t>WINKEAR-US</t>
        </is>
      </c>
      <c r="B503" s="4" t="inlineStr">
        <is>
          <t>Winkear美国站</t>
        </is>
      </c>
      <c r="C503" s="4">
        <f>B503&amp;D503</f>
        <v/>
      </c>
      <c r="D503" s="4" t="inlineStr">
        <is>
          <t>B2206-ORB</t>
        </is>
      </c>
      <c r="E503" s="4" t="inlineStr">
        <is>
          <t>230F0022OB1</t>
        </is>
      </c>
      <c r="F503" s="4" t="inlineStr">
        <is>
          <t>22系列单功能入墙浴缸龙头拉丝古铜色</t>
        </is>
      </c>
      <c r="G503" s="4" t="inlineStr">
        <is>
          <t>胡娟娟</t>
        </is>
      </c>
      <c r="H503" s="4" t="inlineStr">
        <is>
          <t>缸边浴缸</t>
        </is>
      </c>
      <c r="I503" s="22" t="inlineStr">
        <is>
          <t>是</t>
        </is>
      </c>
      <c r="J503" s="34" t="n">
        <v>44714</v>
      </c>
      <c r="K503" s="34" t="n">
        <v>44714</v>
      </c>
      <c r="L503" s="0">
        <f>DATEDIF(J503,$L$1,"M")</f>
        <v/>
      </c>
      <c r="M503" s="0">
        <f>IF(L503&lt;18,"新品期",IF(L503&lt;=36,"老品期","衰退期"))</f>
        <v/>
      </c>
    </row>
    <row r="504" ht="15" customFormat="1" customHeight="1" s="36">
      <c r="A504" s="4" t="inlineStr">
        <is>
          <t>WINKEAR-US</t>
        </is>
      </c>
      <c r="B504" s="4" t="inlineStr">
        <is>
          <t>Winkear美国站</t>
        </is>
      </c>
      <c r="C504" s="4">
        <f>B504&amp;D504</f>
        <v/>
      </c>
      <c r="D504" s="4" t="inlineStr">
        <is>
          <t>B2207-BG</t>
        </is>
      </c>
      <c r="E504" s="4" t="inlineStr">
        <is>
          <t>221F0022BG1</t>
        </is>
      </c>
      <c r="F504" s="4" t="inlineStr">
        <is>
          <t>22系列三件套缸边浴缸龙头拉丝钛金封油</t>
        </is>
      </c>
      <c r="G504" s="4" t="inlineStr">
        <is>
          <t>胡娟娟</t>
        </is>
      </c>
      <c r="H504" s="4" t="inlineStr">
        <is>
          <t>缸边浴缸</t>
        </is>
      </c>
      <c r="I504" s="12" t="inlineStr">
        <is>
          <t>否</t>
        </is>
      </c>
      <c r="J504" s="34" t="n">
        <v>44714</v>
      </c>
      <c r="K504" s="34" t="n">
        <v>44714</v>
      </c>
      <c r="L504" s="0">
        <f>DATEDIF(J504,$L$1,"M")</f>
        <v/>
      </c>
      <c r="M504" s="0">
        <f>IF(L504&lt;18,"新品期",IF(L504&lt;=36,"老品期","衰退期"))</f>
        <v/>
      </c>
    </row>
    <row r="505" ht="15" customFormat="1" customHeight="1" s="36">
      <c r="A505" s="4" t="inlineStr">
        <is>
          <t>WINKEAR-US</t>
        </is>
      </c>
      <c r="B505" s="4" t="inlineStr">
        <is>
          <t>Winkear美国站</t>
        </is>
      </c>
      <c r="C505" s="4">
        <f>B505&amp;D505</f>
        <v/>
      </c>
      <c r="D505" s="4" t="inlineStr">
        <is>
          <t>B2207-BK</t>
        </is>
      </c>
      <c r="E505" s="4" t="inlineStr">
        <is>
          <t>221F0022BK1</t>
        </is>
      </c>
      <c r="F505" s="4" t="inlineStr">
        <is>
          <t>22系列三件套缸边浴缸龙头电泳黑</t>
        </is>
      </c>
      <c r="G505" s="4" t="inlineStr">
        <is>
          <t>胡娟娟</t>
        </is>
      </c>
      <c r="H505" s="4" t="inlineStr">
        <is>
          <t>缸边浴缸</t>
        </is>
      </c>
      <c r="I505" s="12" t="inlineStr">
        <is>
          <t>否</t>
        </is>
      </c>
      <c r="J505" s="34" t="n">
        <v>44714</v>
      </c>
      <c r="K505" s="34" t="n">
        <v>44714</v>
      </c>
      <c r="L505" s="0">
        <f>DATEDIF(J505,$L$1,"M")</f>
        <v/>
      </c>
      <c r="M505" s="0">
        <f>IF(L505&lt;18,"新品期",IF(L505&lt;=36,"老品期","衰退期"))</f>
        <v/>
      </c>
    </row>
    <row r="506" ht="15" customFormat="1" customHeight="1" s="36">
      <c r="A506" s="4" t="inlineStr">
        <is>
          <t>WINKEAR-US</t>
        </is>
      </c>
      <c r="B506" s="4" t="inlineStr">
        <is>
          <t>Winkear美国站</t>
        </is>
      </c>
      <c r="C506" s="4">
        <f>B506&amp;D506</f>
        <v/>
      </c>
      <c r="D506" s="4" t="inlineStr">
        <is>
          <t>B2207-BN</t>
        </is>
      </c>
      <c r="E506" s="4" t="inlineStr">
        <is>
          <t>221F0022BN1</t>
        </is>
      </c>
      <c r="F506" s="4" t="inlineStr">
        <is>
          <t>22系列三件套缸边浴缸龙头拉丝封油</t>
        </is>
      </c>
      <c r="G506" s="4" t="inlineStr">
        <is>
          <t>胡娟娟</t>
        </is>
      </c>
      <c r="H506" s="4" t="inlineStr">
        <is>
          <t>缸边浴缸</t>
        </is>
      </c>
      <c r="I506" s="12" t="inlineStr">
        <is>
          <t>否</t>
        </is>
      </c>
      <c r="J506" s="34" t="n">
        <v>44714</v>
      </c>
      <c r="K506" s="34" t="n">
        <v>44714</v>
      </c>
      <c r="L506" s="0">
        <f>DATEDIF(J506,$L$1,"M")</f>
        <v/>
      </c>
      <c r="M506" s="0">
        <f>IF(L506&lt;18,"新品期",IF(L506&lt;=36,"老品期","衰退期"))</f>
        <v/>
      </c>
    </row>
    <row r="507" ht="15" customFormat="1" customHeight="1" s="36">
      <c r="A507" s="4" t="inlineStr">
        <is>
          <t>WINKEAR-US</t>
        </is>
      </c>
      <c r="B507" s="4" t="inlineStr">
        <is>
          <t>Winkear美国站</t>
        </is>
      </c>
      <c r="C507" s="4">
        <f>B507&amp;D507</f>
        <v/>
      </c>
      <c r="D507" s="4" t="inlineStr">
        <is>
          <t>B2207-CP</t>
        </is>
      </c>
      <c r="E507" s="4" t="inlineStr">
        <is>
          <t>221F0022CP1</t>
        </is>
      </c>
      <c r="F507" s="4" t="inlineStr">
        <is>
          <t>22系列三件套缸边浴缸龙头铬</t>
        </is>
      </c>
      <c r="G507" s="4" t="inlineStr">
        <is>
          <t>胡娟娟</t>
        </is>
      </c>
      <c r="H507" s="4" t="inlineStr">
        <is>
          <t>缸边浴缸</t>
        </is>
      </c>
      <c r="I507" s="12" t="inlineStr">
        <is>
          <t>否</t>
        </is>
      </c>
      <c r="J507" s="34" t="n">
        <v>44714</v>
      </c>
      <c r="K507" s="34" t="n">
        <v>44714</v>
      </c>
      <c r="L507" s="0">
        <f>DATEDIF(J507,$L$1,"M")</f>
        <v/>
      </c>
      <c r="M507" s="0">
        <f>IF(L507&lt;18,"新品期",IF(L507&lt;=36,"老品期","衰退期"))</f>
        <v/>
      </c>
    </row>
    <row r="508" ht="15" customFormat="1" customHeight="1" s="36">
      <c r="A508" s="4" t="inlineStr">
        <is>
          <t>WINKEAR-US</t>
        </is>
      </c>
      <c r="B508" s="4" t="inlineStr">
        <is>
          <t>Winkear美国站</t>
        </is>
      </c>
      <c r="C508" s="4">
        <f>B508&amp;D508</f>
        <v/>
      </c>
      <c r="D508" s="4" t="inlineStr">
        <is>
          <t>B2207-ORB</t>
        </is>
      </c>
      <c r="E508" s="4" t="inlineStr">
        <is>
          <t>221F0022OB1</t>
        </is>
      </c>
      <c r="F508" s="4" t="inlineStr">
        <is>
          <t>22系列三件套缸边浴缸龙头拉丝古铜色</t>
        </is>
      </c>
      <c r="G508" s="4" t="inlineStr">
        <is>
          <t>胡娟娟</t>
        </is>
      </c>
      <c r="H508" s="4" t="inlineStr">
        <is>
          <t>缸边浴缸</t>
        </is>
      </c>
      <c r="I508" s="12" t="inlineStr">
        <is>
          <t>否</t>
        </is>
      </c>
      <c r="J508" s="34" t="n">
        <v>44714</v>
      </c>
      <c r="K508" s="34" t="n">
        <v>44714</v>
      </c>
      <c r="L508" s="0">
        <f>DATEDIF(J508,$L$1,"M")</f>
        <v/>
      </c>
      <c r="M508" s="0">
        <f>IF(L508&lt;18,"新品期",IF(L508&lt;=36,"老品期","衰退期"))</f>
        <v/>
      </c>
    </row>
    <row r="509" ht="15" customFormat="1" customHeight="1" s="36">
      <c r="A509" s="4" t="inlineStr">
        <is>
          <t>WINKEAR-US</t>
        </is>
      </c>
      <c r="B509" s="4" t="inlineStr">
        <is>
          <t>Winkear美国站</t>
        </is>
      </c>
      <c r="C509" s="4">
        <f>B509&amp;D509</f>
        <v/>
      </c>
      <c r="D509" s="4" t="inlineStr">
        <is>
          <t>B2208-BG</t>
        </is>
      </c>
      <c r="E509" s="4" t="inlineStr">
        <is>
          <t>222F0022BG1</t>
        </is>
      </c>
      <c r="F509" s="4" t="inlineStr">
        <is>
          <t>22系列四件套缸边浴缸龙头拉丝钛金封油</t>
        </is>
      </c>
      <c r="G509" s="4" t="inlineStr">
        <is>
          <t>胡娟娟</t>
        </is>
      </c>
      <c r="H509" s="4" t="inlineStr">
        <is>
          <t>缸边浴缸</t>
        </is>
      </c>
      <c r="I509" s="12" t="inlineStr">
        <is>
          <t>否</t>
        </is>
      </c>
      <c r="J509" s="34" t="n">
        <v>44714</v>
      </c>
      <c r="K509" s="34" t="n">
        <v>44714</v>
      </c>
      <c r="L509" s="0">
        <f>DATEDIF(J509,$L$1,"M")</f>
        <v/>
      </c>
      <c r="M509" s="0">
        <f>IF(L509&lt;18,"新品期",IF(L509&lt;=36,"老品期","衰退期"))</f>
        <v/>
      </c>
    </row>
    <row r="510" ht="15" customFormat="1" customHeight="1" s="36">
      <c r="A510" s="4" t="inlineStr">
        <is>
          <t>WINKEAR-US</t>
        </is>
      </c>
      <c r="B510" s="4" t="inlineStr">
        <is>
          <t>Winkear美国站</t>
        </is>
      </c>
      <c r="C510" s="4">
        <f>B510&amp;D510</f>
        <v/>
      </c>
      <c r="D510" s="4" t="inlineStr">
        <is>
          <t>B2208-BK</t>
        </is>
      </c>
      <c r="E510" s="4" t="inlineStr">
        <is>
          <t>222F0022BK1</t>
        </is>
      </c>
      <c r="F510" s="4" t="inlineStr">
        <is>
          <t>22系列四件套缸边浴缸龙头电泳黑</t>
        </is>
      </c>
      <c r="G510" s="4" t="inlineStr">
        <is>
          <t>胡娟娟</t>
        </is>
      </c>
      <c r="H510" s="4" t="inlineStr">
        <is>
          <t>缸边浴缸</t>
        </is>
      </c>
      <c r="I510" s="12" t="inlineStr">
        <is>
          <t>否</t>
        </is>
      </c>
      <c r="J510" s="34" t="n">
        <v>44714</v>
      </c>
      <c r="K510" s="34" t="n">
        <v>44714</v>
      </c>
      <c r="L510" s="0">
        <f>DATEDIF(J510,$L$1,"M")</f>
        <v/>
      </c>
      <c r="M510" s="0">
        <f>IF(L510&lt;18,"新品期",IF(L510&lt;=36,"老品期","衰退期"))</f>
        <v/>
      </c>
    </row>
    <row r="511" ht="15" customFormat="1" customHeight="1" s="36">
      <c r="A511" s="4" t="inlineStr">
        <is>
          <t>WINKEAR-US</t>
        </is>
      </c>
      <c r="B511" s="4" t="inlineStr">
        <is>
          <t>Winkear美国站</t>
        </is>
      </c>
      <c r="C511" s="4">
        <f>B511&amp;D511</f>
        <v/>
      </c>
      <c r="D511" s="4" t="inlineStr">
        <is>
          <t>B2208-BN</t>
        </is>
      </c>
      <c r="E511" s="4" t="inlineStr">
        <is>
          <t>222F0022BN1</t>
        </is>
      </c>
      <c r="F511" s="4" t="inlineStr">
        <is>
          <t>22系列四件套缸边浴缸龙头拉丝封油</t>
        </is>
      </c>
      <c r="G511" s="4" t="inlineStr">
        <is>
          <t>胡娟娟</t>
        </is>
      </c>
      <c r="H511" s="4" t="inlineStr">
        <is>
          <t>缸边浴缸</t>
        </is>
      </c>
      <c r="I511" s="12" t="inlineStr">
        <is>
          <t>否</t>
        </is>
      </c>
      <c r="J511" s="34" t="n">
        <v>44714</v>
      </c>
      <c r="K511" s="34" t="n">
        <v>44714</v>
      </c>
      <c r="L511" s="0">
        <f>DATEDIF(J511,$L$1,"M")</f>
        <v/>
      </c>
      <c r="M511" s="0">
        <f>IF(L511&lt;18,"新品期",IF(L511&lt;=36,"老品期","衰退期"))</f>
        <v/>
      </c>
    </row>
    <row r="512" ht="15" customFormat="1" customHeight="1" s="36">
      <c r="A512" s="4" t="inlineStr">
        <is>
          <t>WINKEAR-US</t>
        </is>
      </c>
      <c r="B512" s="4" t="inlineStr">
        <is>
          <t>Winkear美国站</t>
        </is>
      </c>
      <c r="C512" s="4">
        <f>B512&amp;D512</f>
        <v/>
      </c>
      <c r="D512" s="4" t="inlineStr">
        <is>
          <t>B2208-CP</t>
        </is>
      </c>
      <c r="E512" s="4" t="inlineStr">
        <is>
          <t>222F0022CP1</t>
        </is>
      </c>
      <c r="F512" s="4" t="inlineStr">
        <is>
          <t>22系列四件套缸边浴缸龙头铬</t>
        </is>
      </c>
      <c r="G512" s="4" t="inlineStr">
        <is>
          <t>胡娟娟</t>
        </is>
      </c>
      <c r="H512" s="4" t="inlineStr">
        <is>
          <t>缸边浴缸</t>
        </is>
      </c>
      <c r="I512" s="12" t="inlineStr">
        <is>
          <t>否</t>
        </is>
      </c>
      <c r="J512" s="34" t="n">
        <v>44714</v>
      </c>
      <c r="K512" s="34" t="n">
        <v>44714</v>
      </c>
      <c r="L512" s="0">
        <f>DATEDIF(J512,$L$1,"M")</f>
        <v/>
      </c>
      <c r="M512" s="0">
        <f>IF(L512&lt;18,"新品期",IF(L512&lt;=36,"老品期","衰退期"))</f>
        <v/>
      </c>
    </row>
    <row r="513" ht="15" customFormat="1" customHeight="1" s="36">
      <c r="A513" s="4" t="inlineStr">
        <is>
          <t>WINKEAR-US</t>
        </is>
      </c>
      <c r="B513" s="4" t="inlineStr">
        <is>
          <t>Winkear美国站</t>
        </is>
      </c>
      <c r="C513" s="4">
        <f>B513&amp;D513</f>
        <v/>
      </c>
      <c r="D513" s="4" t="inlineStr">
        <is>
          <t>B2208-ORB</t>
        </is>
      </c>
      <c r="E513" s="4" t="inlineStr">
        <is>
          <t>222F0022OB1</t>
        </is>
      </c>
      <c r="F513" s="4" t="inlineStr">
        <is>
          <t>22系列四件套缸边浴缸龙头拉丝古铜色</t>
        </is>
      </c>
      <c r="G513" s="4" t="inlineStr">
        <is>
          <t>胡娟娟</t>
        </is>
      </c>
      <c r="H513" s="4" t="inlineStr">
        <is>
          <t>缸边浴缸</t>
        </is>
      </c>
      <c r="I513" s="12" t="inlineStr">
        <is>
          <t>否</t>
        </is>
      </c>
      <c r="J513" s="34" t="n">
        <v>44714</v>
      </c>
      <c r="K513" s="34" t="n">
        <v>44714</v>
      </c>
      <c r="L513" s="0">
        <f>DATEDIF(J513,$L$1,"M")</f>
        <v/>
      </c>
      <c r="M513" s="0">
        <f>IF(L513&lt;18,"新品期",IF(L513&lt;=36,"老品期","衰退期"))</f>
        <v/>
      </c>
    </row>
    <row r="514" ht="15" customFormat="1" customHeight="1" s="36">
      <c r="A514" s="4" t="inlineStr">
        <is>
          <t>WINKEAR-US</t>
        </is>
      </c>
      <c r="B514" s="4" t="inlineStr">
        <is>
          <t>Winkear美国站</t>
        </is>
      </c>
      <c r="C514" s="4">
        <f>B514&amp;D514</f>
        <v/>
      </c>
      <c r="D514" s="4" t="inlineStr">
        <is>
          <t>B2209-BG</t>
        </is>
      </c>
      <c r="E514" s="4" t="inlineStr">
        <is>
          <t>223F0022BG1</t>
        </is>
      </c>
      <c r="F514" s="4" t="inlineStr">
        <is>
          <t>22系列五件套缸边浴缸龙头拉丝钛金封油</t>
        </is>
      </c>
      <c r="G514" s="4" t="inlineStr">
        <is>
          <t>胡娟娟</t>
        </is>
      </c>
      <c r="H514" s="4" t="inlineStr">
        <is>
          <t>缸边浴缸</t>
        </is>
      </c>
      <c r="I514" s="12" t="inlineStr">
        <is>
          <t>否</t>
        </is>
      </c>
      <c r="J514" s="34" t="n">
        <v>44714</v>
      </c>
      <c r="K514" s="34" t="n">
        <v>44714</v>
      </c>
      <c r="L514" s="0">
        <f>DATEDIF(J514,$L$1,"M")</f>
        <v/>
      </c>
      <c r="M514" s="0">
        <f>IF(L514&lt;18,"新品期",IF(L514&lt;=36,"老品期","衰退期"))</f>
        <v/>
      </c>
    </row>
    <row r="515" ht="15" customFormat="1" customHeight="1" s="36">
      <c r="A515" s="4" t="inlineStr">
        <is>
          <t>WINKEAR-US</t>
        </is>
      </c>
      <c r="B515" s="4" t="inlineStr">
        <is>
          <t>Winkear美国站</t>
        </is>
      </c>
      <c r="C515" s="4">
        <f>B515&amp;D515</f>
        <v/>
      </c>
      <c r="D515" s="4" t="inlineStr">
        <is>
          <t>B2209-BK</t>
        </is>
      </c>
      <c r="E515" s="4" t="inlineStr">
        <is>
          <t>223F0022BK1</t>
        </is>
      </c>
      <c r="F515" s="4" t="inlineStr">
        <is>
          <t>22系列五件套缸边浴缸龙头电泳黑</t>
        </is>
      </c>
      <c r="G515" s="4" t="inlineStr">
        <is>
          <t>胡娟娟</t>
        </is>
      </c>
      <c r="H515" s="4" t="inlineStr">
        <is>
          <t>缸边浴缸</t>
        </is>
      </c>
      <c r="I515" s="12" t="inlineStr">
        <is>
          <t>否</t>
        </is>
      </c>
      <c r="J515" s="34" t="n">
        <v>44714</v>
      </c>
      <c r="K515" s="34" t="n">
        <v>44714</v>
      </c>
      <c r="L515" s="0">
        <f>DATEDIF(J515,$L$1,"M")</f>
        <v/>
      </c>
      <c r="M515" s="0">
        <f>IF(L515&lt;18,"新品期",IF(L515&lt;=36,"老品期","衰退期"))</f>
        <v/>
      </c>
    </row>
    <row r="516" ht="15" customFormat="1" customHeight="1" s="36">
      <c r="A516" s="4" t="inlineStr">
        <is>
          <t>WINKEAR-US</t>
        </is>
      </c>
      <c r="B516" s="4" t="inlineStr">
        <is>
          <t>Winkear美国站</t>
        </is>
      </c>
      <c r="C516" s="4">
        <f>B516&amp;D516</f>
        <v/>
      </c>
      <c r="D516" s="4" t="inlineStr">
        <is>
          <t>B2209-BN</t>
        </is>
      </c>
      <c r="E516" s="4" t="inlineStr">
        <is>
          <t>223F0022BN1</t>
        </is>
      </c>
      <c r="F516" s="4" t="inlineStr">
        <is>
          <t>22系列五件套缸边浴缸龙头拉丝封油</t>
        </is>
      </c>
      <c r="G516" s="4" t="inlineStr">
        <is>
          <t>胡娟娟</t>
        </is>
      </c>
      <c r="H516" s="4" t="inlineStr">
        <is>
          <t>缸边浴缸</t>
        </is>
      </c>
      <c r="I516" s="12" t="inlineStr">
        <is>
          <t>否</t>
        </is>
      </c>
      <c r="J516" s="34" t="n">
        <v>44714</v>
      </c>
      <c r="K516" s="34" t="n">
        <v>44714</v>
      </c>
      <c r="L516" s="0">
        <f>DATEDIF(J516,$L$1,"M")</f>
        <v/>
      </c>
      <c r="M516" s="0">
        <f>IF(L516&lt;18,"新品期",IF(L516&lt;=36,"老品期","衰退期"))</f>
        <v/>
      </c>
    </row>
    <row r="517" ht="15" customFormat="1" customHeight="1" s="36">
      <c r="A517" s="4" t="inlineStr">
        <is>
          <t>WINKEAR-US</t>
        </is>
      </c>
      <c r="B517" s="4" t="inlineStr">
        <is>
          <t>Winkear美国站</t>
        </is>
      </c>
      <c r="C517" s="4">
        <f>B517&amp;D517</f>
        <v/>
      </c>
      <c r="D517" s="4" t="inlineStr">
        <is>
          <t>B2209-CP</t>
        </is>
      </c>
      <c r="E517" s="4" t="inlineStr">
        <is>
          <t>223F0022CP1</t>
        </is>
      </c>
      <c r="F517" s="4" t="inlineStr">
        <is>
          <t>22系列五件套缸边浴缸龙头铬</t>
        </is>
      </c>
      <c r="G517" s="4" t="inlineStr">
        <is>
          <t>胡娟娟</t>
        </is>
      </c>
      <c r="H517" s="4" t="inlineStr">
        <is>
          <t>缸边浴缸</t>
        </is>
      </c>
      <c r="I517" s="12" t="inlineStr">
        <is>
          <t>否</t>
        </is>
      </c>
      <c r="J517" s="34" t="n">
        <v>44714</v>
      </c>
      <c r="K517" s="34" t="n">
        <v>44714</v>
      </c>
      <c r="L517" s="0">
        <f>DATEDIF(J517,$L$1,"M")</f>
        <v/>
      </c>
      <c r="M517" s="0">
        <f>IF(L517&lt;18,"新品期",IF(L517&lt;=36,"老品期","衰退期"))</f>
        <v/>
      </c>
    </row>
    <row r="518" ht="15" customFormat="1" customHeight="1" s="36">
      <c r="A518" s="4" t="inlineStr">
        <is>
          <t>WINKEAR-US</t>
        </is>
      </c>
      <c r="B518" s="4" t="inlineStr">
        <is>
          <t>Winkear美国站</t>
        </is>
      </c>
      <c r="C518" s="4">
        <f>B518&amp;D518</f>
        <v/>
      </c>
      <c r="D518" s="4" t="inlineStr">
        <is>
          <t>B2209-ORB</t>
        </is>
      </c>
      <c r="E518" s="4" t="inlineStr">
        <is>
          <t>223F0022OB1</t>
        </is>
      </c>
      <c r="F518" s="4" t="inlineStr">
        <is>
          <t>22系列五件套缸边浴缸龙头拉丝古铜色</t>
        </is>
      </c>
      <c r="G518" s="4" t="inlineStr">
        <is>
          <t>胡娟娟</t>
        </is>
      </c>
      <c r="H518" s="4" t="inlineStr">
        <is>
          <t>缸边浴缸</t>
        </is>
      </c>
      <c r="I518" s="12" t="inlineStr">
        <is>
          <t>否</t>
        </is>
      </c>
      <c r="J518" s="34" t="n">
        <v>44714</v>
      </c>
      <c r="K518" s="34" t="n">
        <v>44714</v>
      </c>
      <c r="L518" s="0">
        <f>DATEDIF(J518,$L$1,"M")</f>
        <v/>
      </c>
      <c r="M518" s="0">
        <f>IF(L518&lt;18,"新品期",IF(L518&lt;=36,"老品期","衰退期"))</f>
        <v/>
      </c>
    </row>
    <row r="519" ht="15" customFormat="1" customHeight="1" s="36">
      <c r="A519" s="4" t="inlineStr">
        <is>
          <t>WINKEAR-US</t>
        </is>
      </c>
      <c r="B519" s="4" t="inlineStr">
        <is>
          <t>Winkear美国站</t>
        </is>
      </c>
      <c r="C519" s="4">
        <f>B519&amp;D519</f>
        <v/>
      </c>
      <c r="D519" s="4" t="inlineStr">
        <is>
          <t>B2211-BG</t>
        </is>
      </c>
      <c r="E519" s="4" t="inlineStr">
        <is>
          <t>211F0022BG1</t>
        </is>
      </c>
      <c r="F519" s="4" t="inlineStr">
        <is>
          <t>22系列二功能落地浴缸龙头拉丝钛金封油</t>
        </is>
      </c>
      <c r="G519" s="4" t="inlineStr">
        <is>
          <t>刘皓</t>
        </is>
      </c>
      <c r="H519" s="4" t="inlineStr">
        <is>
          <t>落地浴缸</t>
        </is>
      </c>
      <c r="I519" s="12" t="inlineStr">
        <is>
          <t>否</t>
        </is>
      </c>
      <c r="J519" s="34" t="n">
        <v>44792</v>
      </c>
      <c r="K519" s="34" t="n">
        <v>44792</v>
      </c>
      <c r="L519" s="0">
        <f>DATEDIF(J519,$L$1,"M")</f>
        <v/>
      </c>
      <c r="M519" s="0">
        <f>IF(L519&lt;18,"新品期",IF(L519&lt;=36,"老品期","衰退期"))</f>
        <v/>
      </c>
    </row>
    <row r="520" ht="15" customFormat="1" customHeight="1" s="36">
      <c r="A520" s="4" t="inlineStr">
        <is>
          <t>WINKEAR-US</t>
        </is>
      </c>
      <c r="B520" s="4" t="inlineStr">
        <is>
          <t>Winkear美国站</t>
        </is>
      </c>
      <c r="C520" s="4">
        <f>B520&amp;D520</f>
        <v/>
      </c>
      <c r="D520" s="4" t="inlineStr">
        <is>
          <t>B2211-BK</t>
        </is>
      </c>
      <c r="E520" s="4" t="inlineStr">
        <is>
          <t>211F0022BK1</t>
        </is>
      </c>
      <c r="F520" s="4" t="inlineStr">
        <is>
          <t>22系列二功能落地浴缸龙头酸铜发黑</t>
        </is>
      </c>
      <c r="G520" s="4" t="inlineStr">
        <is>
          <t>刘皓</t>
        </is>
      </c>
      <c r="H520" s="4" t="inlineStr">
        <is>
          <t>落地浴缸</t>
        </is>
      </c>
      <c r="I520" s="12" t="inlineStr">
        <is>
          <t>否</t>
        </is>
      </c>
      <c r="J520" s="34" t="n">
        <v>44792</v>
      </c>
      <c r="K520" s="34" t="n">
        <v>44792</v>
      </c>
      <c r="L520" s="0">
        <f>DATEDIF(J520,$L$1,"M")</f>
        <v/>
      </c>
      <c r="M520" s="0">
        <f>IF(L520&lt;18,"新品期",IF(L520&lt;=36,"老品期","衰退期"))</f>
        <v/>
      </c>
    </row>
    <row r="521" ht="15" customFormat="1" customHeight="1" s="36">
      <c r="A521" s="4" t="inlineStr">
        <is>
          <t>WINKEAR-US</t>
        </is>
      </c>
      <c r="B521" s="4" t="inlineStr">
        <is>
          <t>Winkear美国站</t>
        </is>
      </c>
      <c r="C521" s="4">
        <f>B521&amp;D521</f>
        <v/>
      </c>
      <c r="D521" s="4" t="inlineStr">
        <is>
          <t>B2211-BN</t>
        </is>
      </c>
      <c r="E521" s="4" t="inlineStr">
        <is>
          <t>211F0022BN1</t>
        </is>
      </c>
      <c r="F521" s="4" t="inlineStr">
        <is>
          <t>22系列二功能落地浴缸龙头拉丝封油</t>
        </is>
      </c>
      <c r="G521" s="4" t="inlineStr">
        <is>
          <t>刘皓</t>
        </is>
      </c>
      <c r="H521" s="4" t="inlineStr">
        <is>
          <t>落地浴缸</t>
        </is>
      </c>
      <c r="I521" s="12" t="inlineStr">
        <is>
          <t>否</t>
        </is>
      </c>
      <c r="J521" s="34" t="n">
        <v>44792</v>
      </c>
      <c r="K521" s="34" t="n">
        <v>44792</v>
      </c>
      <c r="L521" s="0">
        <f>DATEDIF(J521,$L$1,"M")</f>
        <v/>
      </c>
      <c r="M521" s="0">
        <f>IF(L521&lt;18,"新品期",IF(L521&lt;=36,"老品期","衰退期"))</f>
        <v/>
      </c>
    </row>
    <row r="522" ht="15" customFormat="1" customHeight="1" s="36">
      <c r="A522" s="4" t="inlineStr">
        <is>
          <t>WINKEAR-US</t>
        </is>
      </c>
      <c r="B522" s="4" t="inlineStr">
        <is>
          <t>Winkear美国站</t>
        </is>
      </c>
      <c r="C522" s="4">
        <f>B522&amp;D522</f>
        <v/>
      </c>
      <c r="D522" s="4" t="inlineStr">
        <is>
          <t>B2211-CP</t>
        </is>
      </c>
      <c r="E522" s="4" t="inlineStr">
        <is>
          <t>211F0022CP1</t>
        </is>
      </c>
      <c r="F522" s="4" t="inlineStr">
        <is>
          <t>22系列二功能落地浴缸龙头铬</t>
        </is>
      </c>
      <c r="G522" s="4" t="inlineStr">
        <is>
          <t>刘皓</t>
        </is>
      </c>
      <c r="H522" s="4" t="inlineStr">
        <is>
          <t>落地浴缸</t>
        </is>
      </c>
      <c r="I522" s="12" t="inlineStr">
        <is>
          <t>否</t>
        </is>
      </c>
      <c r="J522" s="34" t="n">
        <v>44792</v>
      </c>
      <c r="K522" s="34" t="n">
        <v>44792</v>
      </c>
      <c r="L522" s="0">
        <f>DATEDIF(J522,$L$1,"M")</f>
        <v/>
      </c>
      <c r="M522" s="0">
        <f>IF(L522&lt;18,"新品期",IF(L522&lt;=36,"老品期","衰退期"))</f>
        <v/>
      </c>
    </row>
    <row r="523" ht="15" customFormat="1" customHeight="1" s="36">
      <c r="A523" s="4" t="inlineStr">
        <is>
          <t>WINKEAR-US</t>
        </is>
      </c>
      <c r="B523" s="4" t="inlineStr">
        <is>
          <t>Winkear美国站</t>
        </is>
      </c>
      <c r="C523" s="4">
        <f>B523&amp;D523</f>
        <v/>
      </c>
      <c r="D523" s="4" t="inlineStr">
        <is>
          <t>B2211-ORB</t>
        </is>
      </c>
      <c r="E523" s="4" t="inlineStr">
        <is>
          <t>211F0022OB1</t>
        </is>
      </c>
      <c r="F523" s="4" t="inlineStr">
        <is>
          <t>22系列二功能落地浴缸龙头拉丝古铜色</t>
        </is>
      </c>
      <c r="G523" s="4" t="inlineStr">
        <is>
          <t>刘皓</t>
        </is>
      </c>
      <c r="H523" s="4" t="inlineStr">
        <is>
          <t>落地浴缸</t>
        </is>
      </c>
      <c r="I523" s="12" t="inlineStr">
        <is>
          <t>否</t>
        </is>
      </c>
      <c r="J523" s="34" t="n">
        <v>44792</v>
      </c>
      <c r="K523" s="34" t="n">
        <v>44792</v>
      </c>
      <c r="L523" s="0">
        <f>DATEDIF(J523,$L$1,"M")</f>
        <v/>
      </c>
      <c r="M523" s="0">
        <f>IF(L523&lt;18,"新品期",IF(L523&lt;=36,"老品期","衰退期"))</f>
        <v/>
      </c>
    </row>
    <row r="524" ht="15" customFormat="1" customHeight="1" s="36">
      <c r="A524" s="4" t="inlineStr">
        <is>
          <t>WINKEAR-US</t>
        </is>
      </c>
      <c r="B524" s="4" t="inlineStr">
        <is>
          <t>Winkear美国站</t>
        </is>
      </c>
      <c r="C524" s="4">
        <f>B524&amp;D524</f>
        <v/>
      </c>
      <c r="D524" s="4" t="inlineStr">
        <is>
          <t>B2212-BG</t>
        </is>
      </c>
      <c r="E524" s="4" t="inlineStr">
        <is>
          <t>320F0022BG1</t>
        </is>
      </c>
      <c r="F524" s="4" t="inlineStr">
        <is>
          <t>22系列二功能入墙暗装淋浴龙头（顶喷+手持）拉丝钛金封油</t>
        </is>
      </c>
      <c r="G524" s="4" t="inlineStr">
        <is>
          <t>宋江</t>
        </is>
      </c>
      <c r="H524" s="4" t="inlineStr">
        <is>
          <t>暗装淋浴</t>
        </is>
      </c>
      <c r="I524" s="12" t="inlineStr">
        <is>
          <t>否</t>
        </is>
      </c>
      <c r="J524" s="34" t="n">
        <v>44792</v>
      </c>
      <c r="K524" s="34" t="n">
        <v>44843</v>
      </c>
      <c r="L524" s="0">
        <f>DATEDIF(J524,$L$1,"M")</f>
        <v/>
      </c>
      <c r="M524" s="0">
        <f>IF(L524&lt;18,"新品期",IF(L524&lt;=36,"老品期","衰退期"))</f>
        <v/>
      </c>
      <c r="N524" s="36" t="inlineStr">
        <is>
          <t>2025年9月8以前何嘉威负责</t>
        </is>
      </c>
    </row>
    <row r="525" ht="15" customFormat="1" customHeight="1" s="36">
      <c r="A525" s="4" t="inlineStr">
        <is>
          <t>WINKEAR-CA</t>
        </is>
      </c>
      <c r="B525" s="4" t="inlineStr">
        <is>
          <t>Winkear加拿大站</t>
        </is>
      </c>
      <c r="C525" s="4">
        <f>B525&amp;D525</f>
        <v/>
      </c>
      <c r="D525" s="4" t="inlineStr">
        <is>
          <t>B2212-BG</t>
        </is>
      </c>
      <c r="E525" s="4" t="inlineStr">
        <is>
          <t>320F0022BG1</t>
        </is>
      </c>
      <c r="F525" s="4" t="inlineStr">
        <is>
          <t>22系列二功能入墙暗装淋浴龙头（顶喷+手持）拉丝钛金封油</t>
        </is>
      </c>
      <c r="G525" s="4" t="inlineStr">
        <is>
          <t>宋江</t>
        </is>
      </c>
      <c r="H525" s="4" t="inlineStr">
        <is>
          <t>暗装淋浴</t>
        </is>
      </c>
      <c r="I525" s="12" t="inlineStr">
        <is>
          <t>否</t>
        </is>
      </c>
      <c r="J525" s="34" t="n">
        <v>44792</v>
      </c>
      <c r="K525" s="34" t="n">
        <v>44843</v>
      </c>
      <c r="L525" s="0">
        <f>DATEDIF(J525,$L$1,"M")</f>
        <v/>
      </c>
      <c r="M525" s="0">
        <f>IF(L525&lt;18,"新品期",IF(L525&lt;=36,"老品期","衰退期"))</f>
        <v/>
      </c>
      <c r="N525" s="36" t="inlineStr">
        <is>
          <t>2025年9月8以前何嘉威负责</t>
        </is>
      </c>
    </row>
    <row r="526" ht="15" customFormat="1" customHeight="1" s="36">
      <c r="A526" s="4" t="inlineStr">
        <is>
          <t>WINKEAR-US</t>
        </is>
      </c>
      <c r="B526" s="4" t="inlineStr">
        <is>
          <t>Winkear美国站</t>
        </is>
      </c>
      <c r="C526" s="4">
        <f>B526&amp;D526</f>
        <v/>
      </c>
      <c r="D526" s="4" t="inlineStr">
        <is>
          <t>B2212-BK</t>
        </is>
      </c>
      <c r="E526" s="4" t="inlineStr">
        <is>
          <t>320F0022BK1</t>
        </is>
      </c>
      <c r="F526" s="4" t="inlineStr">
        <is>
          <t>22系列二功能入墙暗装淋浴龙头（顶喷+手持）电泳黑</t>
        </is>
      </c>
      <c r="G526" s="4" t="inlineStr">
        <is>
          <t>宋江</t>
        </is>
      </c>
      <c r="H526" s="4" t="inlineStr">
        <is>
          <t>暗装淋浴</t>
        </is>
      </c>
      <c r="I526" s="12" t="inlineStr">
        <is>
          <t>否</t>
        </is>
      </c>
      <c r="J526" s="34" t="n">
        <v>44792</v>
      </c>
      <c r="K526" s="34" t="n">
        <v>44843</v>
      </c>
      <c r="L526" s="0">
        <f>DATEDIF(J526,$L$1,"M")</f>
        <v/>
      </c>
      <c r="M526" s="0">
        <f>IF(L526&lt;18,"新品期",IF(L526&lt;=36,"老品期","衰退期"))</f>
        <v/>
      </c>
      <c r="N526" s="36" t="inlineStr">
        <is>
          <t>2025年9月8以前何嘉威负责</t>
        </is>
      </c>
    </row>
    <row r="527" ht="15" customFormat="1" customHeight="1" s="36">
      <c r="A527" s="4" t="inlineStr">
        <is>
          <t>WINKEAR-US</t>
        </is>
      </c>
      <c r="B527" s="4" t="inlineStr">
        <is>
          <t>Winkear美国站</t>
        </is>
      </c>
      <c r="C527" s="4">
        <f>B527&amp;D527</f>
        <v/>
      </c>
      <c r="D527" s="4" t="inlineStr">
        <is>
          <t>B2212-BN</t>
        </is>
      </c>
      <c r="E527" s="4" t="inlineStr">
        <is>
          <t>320F0022BN1</t>
        </is>
      </c>
      <c r="F527" s="4" t="inlineStr">
        <is>
          <t>22系列二功能入墙暗装淋浴龙头（顶喷+手持）拉丝封油</t>
        </is>
      </c>
      <c r="G527" s="4" t="inlineStr">
        <is>
          <t>宋江</t>
        </is>
      </c>
      <c r="H527" s="4" t="inlineStr">
        <is>
          <t>暗装淋浴</t>
        </is>
      </c>
      <c r="I527" s="12" t="inlineStr">
        <is>
          <t>否</t>
        </is>
      </c>
      <c r="J527" s="34" t="n">
        <v>44792</v>
      </c>
      <c r="K527" s="34" t="n">
        <v>44843</v>
      </c>
      <c r="L527" s="0">
        <f>DATEDIF(J527,$L$1,"M")</f>
        <v/>
      </c>
      <c r="M527" s="0">
        <f>IF(L527&lt;18,"新品期",IF(L527&lt;=36,"老品期","衰退期"))</f>
        <v/>
      </c>
      <c r="N527" s="36" t="inlineStr">
        <is>
          <t>2025年9月8以前何嘉威负责</t>
        </is>
      </c>
    </row>
    <row r="528" ht="15" customFormat="1" customHeight="1" s="36">
      <c r="A528" s="4" t="inlineStr">
        <is>
          <t>WINKEAR-US</t>
        </is>
      </c>
      <c r="B528" s="4" t="inlineStr">
        <is>
          <t>Winkear美国站</t>
        </is>
      </c>
      <c r="C528" s="4">
        <f>B528&amp;D528</f>
        <v/>
      </c>
      <c r="D528" s="4" t="inlineStr">
        <is>
          <t>B2212-BN-NEW</t>
        </is>
      </c>
      <c r="E528" s="4" t="inlineStr">
        <is>
          <t>320F0022BN1</t>
        </is>
      </c>
      <c r="F528" s="4" t="inlineStr">
        <is>
          <t>22系列二功能入墙暗装淋浴龙头（顶喷+手持）拉丝封油</t>
        </is>
      </c>
      <c r="G528" s="4" t="inlineStr">
        <is>
          <t>宋江</t>
        </is>
      </c>
      <c r="H528" s="4" t="inlineStr">
        <is>
          <t>暗装淋浴</t>
        </is>
      </c>
      <c r="I528" s="12" t="inlineStr">
        <is>
          <t>否</t>
        </is>
      </c>
      <c r="J528" s="34" t="n">
        <v>45576</v>
      </c>
      <c r="K528" s="34" t="n">
        <v>45717</v>
      </c>
      <c r="L528" s="0">
        <f>DATEDIF(J528,$L$1,"M")</f>
        <v/>
      </c>
      <c r="M528" s="0">
        <f>IF(L528&lt;18,"新品期",IF(L528&lt;=36,"老品期","衰退期"))</f>
        <v/>
      </c>
      <c r="N528" s="36" t="inlineStr">
        <is>
          <t>2025年9月8以前何嘉威负责</t>
        </is>
      </c>
    </row>
    <row r="529" ht="15" customFormat="1" customHeight="1" s="36">
      <c r="A529" s="4" t="inlineStr">
        <is>
          <t>WINKEAR-US</t>
        </is>
      </c>
      <c r="B529" s="4" t="inlineStr">
        <is>
          <t>Winkear美国站</t>
        </is>
      </c>
      <c r="C529" s="4">
        <f>B529&amp;D529</f>
        <v/>
      </c>
      <c r="D529" s="4" t="inlineStr">
        <is>
          <t>B2212-CP</t>
        </is>
      </c>
      <c r="E529" s="4" t="inlineStr">
        <is>
          <t>320F0022CP1</t>
        </is>
      </c>
      <c r="F529" s="4" t="inlineStr">
        <is>
          <t>22系列二功能入墙暗装淋浴龙头（顶喷+手持）铬</t>
        </is>
      </c>
      <c r="G529" s="4" t="inlineStr">
        <is>
          <t>宋江</t>
        </is>
      </c>
      <c r="H529" s="4" t="inlineStr">
        <is>
          <t>暗装淋浴</t>
        </is>
      </c>
      <c r="I529" s="12" t="inlineStr">
        <is>
          <t>否</t>
        </is>
      </c>
      <c r="J529" s="34" t="n">
        <v>44792</v>
      </c>
      <c r="K529" s="34" t="n">
        <v>44843</v>
      </c>
      <c r="L529" s="0">
        <f>DATEDIF(J529,$L$1,"M")</f>
        <v/>
      </c>
      <c r="M529" s="0">
        <f>IF(L529&lt;18,"新品期",IF(L529&lt;=36,"老品期","衰退期"))</f>
        <v/>
      </c>
      <c r="N529" s="36" t="inlineStr">
        <is>
          <t>2025年9月8以前何嘉威负责</t>
        </is>
      </c>
    </row>
    <row r="530" ht="15" customFormat="1" customHeight="1" s="36">
      <c r="A530" s="4" t="inlineStr">
        <is>
          <t>WINKEAR-CA</t>
        </is>
      </c>
      <c r="B530" s="4" t="inlineStr">
        <is>
          <t>Winkear加拿大站</t>
        </is>
      </c>
      <c r="C530" s="4">
        <f>B530&amp;D530</f>
        <v/>
      </c>
      <c r="D530" s="4" t="inlineStr">
        <is>
          <t>B2212-CP</t>
        </is>
      </c>
      <c r="E530" s="4" t="inlineStr">
        <is>
          <t>320F0022CP1</t>
        </is>
      </c>
      <c r="F530" s="4" t="inlineStr">
        <is>
          <t>22系列二功能入墙暗装淋浴龙头（顶喷+手持）铬</t>
        </is>
      </c>
      <c r="G530" s="4" t="inlineStr">
        <is>
          <t>宋江</t>
        </is>
      </c>
      <c r="H530" s="4" t="inlineStr">
        <is>
          <t>暗装淋浴</t>
        </is>
      </c>
      <c r="I530" s="12" t="inlineStr">
        <is>
          <t>否</t>
        </is>
      </c>
      <c r="J530" s="34" t="n">
        <v>44792</v>
      </c>
      <c r="K530" s="34" t="n">
        <v>44843</v>
      </c>
      <c r="L530" s="0">
        <f>DATEDIF(J530,$L$1,"M")</f>
        <v/>
      </c>
      <c r="M530" s="0">
        <f>IF(L530&lt;18,"新品期",IF(L530&lt;=36,"老品期","衰退期"))</f>
        <v/>
      </c>
      <c r="N530" s="36" t="inlineStr">
        <is>
          <t>2025年9月8以前何嘉威负责</t>
        </is>
      </c>
    </row>
    <row r="531" ht="15" customFormat="1" customHeight="1" s="36">
      <c r="A531" s="4" t="inlineStr">
        <is>
          <t>WINKEAR-US</t>
        </is>
      </c>
      <c r="B531" s="4" t="inlineStr">
        <is>
          <t>Winkear美国站</t>
        </is>
      </c>
      <c r="C531" s="4">
        <f>B531&amp;D531</f>
        <v/>
      </c>
      <c r="D531" s="4" t="inlineStr">
        <is>
          <t>B2212-ORB</t>
        </is>
      </c>
      <c r="E531" s="4" t="inlineStr">
        <is>
          <t>320F0022OB1</t>
        </is>
      </c>
      <c r="F531" s="4" t="inlineStr">
        <is>
          <t>22系列二功能入墙暗装淋浴龙头（顶喷+手持）拉丝古铜色</t>
        </is>
      </c>
      <c r="G531" s="4" t="inlineStr">
        <is>
          <t>宋江</t>
        </is>
      </c>
      <c r="H531" s="4" t="inlineStr">
        <is>
          <t>暗装淋浴</t>
        </is>
      </c>
      <c r="I531" s="12" t="inlineStr">
        <is>
          <t>否</t>
        </is>
      </c>
      <c r="J531" s="34" t="n">
        <v>44792</v>
      </c>
      <c r="K531" s="34" t="n">
        <v>44843</v>
      </c>
      <c r="L531" s="0">
        <f>DATEDIF(J531,$L$1,"M")</f>
        <v/>
      </c>
      <c r="M531" s="0">
        <f>IF(L531&lt;18,"新品期",IF(L531&lt;=36,"老品期","衰退期"))</f>
        <v/>
      </c>
      <c r="N531" s="36" t="inlineStr">
        <is>
          <t>2025年9月8以前何嘉威负责</t>
        </is>
      </c>
    </row>
    <row r="532" ht="15" customFormat="1" customHeight="1" s="36">
      <c r="A532" s="4" t="inlineStr">
        <is>
          <t>HANGORO-US</t>
        </is>
      </c>
      <c r="B532" s="4" t="inlineStr">
        <is>
          <t>Hangoro美国站</t>
        </is>
      </c>
      <c r="C532" s="4">
        <f>B532&amp;D532</f>
        <v/>
      </c>
      <c r="D532" s="4" t="inlineStr">
        <is>
          <t>B2306-BG</t>
        </is>
      </c>
      <c r="E532" s="4" t="inlineStr">
        <is>
          <t>230F0023BG1</t>
        </is>
      </c>
      <c r="F532" s="4" t="inlineStr">
        <is>
          <t>23系列单功能入墙浴缸龙头拉丝钛金封油</t>
        </is>
      </c>
      <c r="G532" s="36" t="inlineStr">
        <is>
          <t>胡娟娟</t>
        </is>
      </c>
      <c r="H532" s="4" t="inlineStr">
        <is>
          <t>缸边浴缸</t>
        </is>
      </c>
      <c r="I532" s="12" t="inlineStr">
        <is>
          <t>否</t>
        </is>
      </c>
      <c r="J532" s="34" t="n">
        <v>44638</v>
      </c>
      <c r="K532" s="34" t="n">
        <v>44638</v>
      </c>
      <c r="L532" s="0">
        <f>DATEDIF(J532,$L$1,"M")</f>
        <v/>
      </c>
      <c r="M532" s="0">
        <f>IF(L532&lt;18,"新品期",IF(L532&lt;=36,"老品期","衰退期"))</f>
        <v/>
      </c>
      <c r="N532" s="36" t="inlineStr">
        <is>
          <t>2026年1月以前王幸负责，2026年1月开始胡娟娟负责</t>
        </is>
      </c>
    </row>
    <row r="533" ht="15" customFormat="1" customHeight="1" s="36">
      <c r="A533" s="4" t="inlineStr">
        <is>
          <t>HANGORO-US</t>
        </is>
      </c>
      <c r="B533" s="4" t="inlineStr">
        <is>
          <t>Hangoro美国站</t>
        </is>
      </c>
      <c r="C533" s="4">
        <f>B533&amp;D533</f>
        <v/>
      </c>
      <c r="D533" s="4" t="inlineStr">
        <is>
          <t>B2306-BK</t>
        </is>
      </c>
      <c r="E533" s="4" t="inlineStr">
        <is>
          <t>230F0023BK1</t>
        </is>
      </c>
      <c r="F533" s="4" t="inlineStr">
        <is>
          <t>23系列单功能入墙浴缸龙头电泳黑</t>
        </is>
      </c>
      <c r="G533" s="36" t="inlineStr">
        <is>
          <t>胡娟娟</t>
        </is>
      </c>
      <c r="H533" s="4" t="inlineStr">
        <is>
          <t>缸边浴缸</t>
        </is>
      </c>
      <c r="I533" s="12" t="inlineStr">
        <is>
          <t>否</t>
        </is>
      </c>
      <c r="J533" s="34" t="n">
        <v>44638</v>
      </c>
      <c r="K533" s="34" t="n">
        <v>44638</v>
      </c>
      <c r="L533" s="0">
        <f>DATEDIF(J533,$L$1,"M")</f>
        <v/>
      </c>
      <c r="M533" s="0">
        <f>IF(L533&lt;18,"新品期",IF(L533&lt;=36,"老品期","衰退期"))</f>
        <v/>
      </c>
      <c r="N533" s="36" t="inlineStr">
        <is>
          <t>2026年1月以前王幸负责，2026年1月开始胡娟娟负责</t>
        </is>
      </c>
    </row>
    <row r="534" ht="15" customFormat="1" customHeight="1" s="36">
      <c r="A534" s="4" t="inlineStr">
        <is>
          <t>HANGORO-US</t>
        </is>
      </c>
      <c r="B534" s="4" t="inlineStr">
        <is>
          <t>Hangoro美国站</t>
        </is>
      </c>
      <c r="C534" s="4">
        <f>B534&amp;D534</f>
        <v/>
      </c>
      <c r="D534" s="4" t="inlineStr">
        <is>
          <t>B2306-BN</t>
        </is>
      </c>
      <c r="E534" s="4" t="inlineStr">
        <is>
          <t>230F0023BN1</t>
        </is>
      </c>
      <c r="F534" s="4" t="inlineStr">
        <is>
          <t>23系列单功能入墙浴缸龙头拉丝封油</t>
        </is>
      </c>
      <c r="G534" s="36" t="inlineStr">
        <is>
          <t>胡娟娟</t>
        </is>
      </c>
      <c r="H534" s="4" t="inlineStr">
        <is>
          <t>缸边浴缸</t>
        </is>
      </c>
      <c r="I534" s="12" t="inlineStr">
        <is>
          <t>否</t>
        </is>
      </c>
      <c r="J534" s="34" t="n">
        <v>44638</v>
      </c>
      <c r="K534" s="34" t="n">
        <v>44638</v>
      </c>
      <c r="L534" s="0">
        <f>DATEDIF(J534,$L$1,"M")</f>
        <v/>
      </c>
      <c r="M534" s="0">
        <f>IF(L534&lt;18,"新品期",IF(L534&lt;=36,"老品期","衰退期"))</f>
        <v/>
      </c>
      <c r="N534" s="36" t="inlineStr">
        <is>
          <t>2026年1月以前王幸负责，2026年1月开始胡娟娟负责</t>
        </is>
      </c>
    </row>
    <row r="535" ht="15" customFormat="1" customHeight="1" s="36">
      <c r="A535" s="4" t="inlineStr">
        <is>
          <t>HANGORO-US</t>
        </is>
      </c>
      <c r="B535" s="4" t="inlineStr">
        <is>
          <t>Hangoro美国站</t>
        </is>
      </c>
      <c r="C535" s="4">
        <f>B535&amp;D535</f>
        <v/>
      </c>
      <c r="D535" s="4" t="inlineStr">
        <is>
          <t>B2306-CP</t>
        </is>
      </c>
      <c r="E535" s="4" t="inlineStr">
        <is>
          <t>230F0023CP1</t>
        </is>
      </c>
      <c r="F535" s="4" t="inlineStr">
        <is>
          <t>23系列单功能入墙浴缸龙头铬</t>
        </is>
      </c>
      <c r="G535" s="36" t="inlineStr">
        <is>
          <t>胡娟娟</t>
        </is>
      </c>
      <c r="H535" s="4" t="inlineStr">
        <is>
          <t>缸边浴缸</t>
        </is>
      </c>
      <c r="I535" s="12" t="inlineStr">
        <is>
          <t>否</t>
        </is>
      </c>
      <c r="J535" s="34" t="n">
        <v>44638</v>
      </c>
      <c r="K535" s="34" t="n">
        <v>44638</v>
      </c>
      <c r="L535" s="0">
        <f>DATEDIF(J535,$L$1,"M")</f>
        <v/>
      </c>
      <c r="M535" s="0">
        <f>IF(L535&lt;18,"新品期",IF(L535&lt;=36,"老品期","衰退期"))</f>
        <v/>
      </c>
      <c r="N535" s="36" t="inlineStr">
        <is>
          <t>2026年1月以前王幸负责，2026年1月开始胡娟娟负责</t>
        </is>
      </c>
    </row>
    <row r="536" ht="15" customFormat="1" customHeight="1" s="36">
      <c r="A536" s="4" t="inlineStr">
        <is>
          <t>HANGORO-US</t>
        </is>
      </c>
      <c r="B536" s="4" t="inlineStr">
        <is>
          <t>Hangoro美国站</t>
        </is>
      </c>
      <c r="C536" s="4">
        <f>B536&amp;D536</f>
        <v/>
      </c>
      <c r="D536" s="4" t="inlineStr">
        <is>
          <t>B2306-ORB</t>
        </is>
      </c>
      <c r="E536" s="4" t="inlineStr">
        <is>
          <t>230F0023OB1</t>
        </is>
      </c>
      <c r="F536" s="4" t="inlineStr">
        <is>
          <t>23系列单功能入墙浴缸龙头拉丝古铜色</t>
        </is>
      </c>
      <c r="G536" s="36" t="inlineStr">
        <is>
          <t>胡娟娟</t>
        </is>
      </c>
      <c r="H536" s="4" t="inlineStr">
        <is>
          <t>缸边浴缸</t>
        </is>
      </c>
      <c r="I536" s="12" t="inlineStr">
        <is>
          <t>否</t>
        </is>
      </c>
      <c r="J536" s="34" t="n">
        <v>44638</v>
      </c>
      <c r="K536" s="34" t="n">
        <v>44638</v>
      </c>
      <c r="L536" s="0">
        <f>DATEDIF(J536,$L$1,"M")</f>
        <v/>
      </c>
      <c r="M536" s="0">
        <f>IF(L536&lt;18,"新品期",IF(L536&lt;=36,"老品期","衰退期"))</f>
        <v/>
      </c>
      <c r="N536" s="36" t="inlineStr">
        <is>
          <t>2026年1月以前王幸负责，2026年1月开始胡娟娟负责</t>
        </is>
      </c>
    </row>
    <row r="537" ht="15" customFormat="1" customHeight="1" s="36">
      <c r="A537" s="4" t="inlineStr">
        <is>
          <t>HANGORO-US</t>
        </is>
      </c>
      <c r="B537" s="4" t="inlineStr">
        <is>
          <t>Hangoro美国站</t>
        </is>
      </c>
      <c r="C537" s="4">
        <f>B537&amp;D537</f>
        <v/>
      </c>
      <c r="D537" s="4" t="inlineStr">
        <is>
          <t>B2306-ORB2</t>
        </is>
      </c>
      <c r="E537" s="4" t="inlineStr">
        <is>
          <t>230F0023OB1</t>
        </is>
      </c>
      <c r="F537" s="4" t="inlineStr">
        <is>
          <t>23系列单功能入墙浴缸龙头拉丝古铜色</t>
        </is>
      </c>
      <c r="G537" s="36" t="inlineStr">
        <is>
          <t>胡娟娟</t>
        </is>
      </c>
      <c r="H537" s="4" t="inlineStr">
        <is>
          <t>缸边浴缸</t>
        </is>
      </c>
      <c r="I537" s="12" t="inlineStr">
        <is>
          <t>否</t>
        </is>
      </c>
      <c r="J537" s="34" t="n">
        <v>44638</v>
      </c>
      <c r="K537" s="34" t="n">
        <v>44638</v>
      </c>
      <c r="L537" s="0">
        <f>DATEDIF(J537,$L$1,"M")</f>
        <v/>
      </c>
      <c r="M537" s="0">
        <f>IF(L537&lt;18,"新品期",IF(L537&lt;=36,"老品期","衰退期"))</f>
        <v/>
      </c>
      <c r="N537" s="36" t="inlineStr">
        <is>
          <t>2026年1月以前王幸负责，2026年1月开始胡娟娟负责</t>
        </is>
      </c>
    </row>
    <row r="538" ht="15" customFormat="1" customHeight="1" s="36">
      <c r="A538" s="4" t="inlineStr">
        <is>
          <t>HANGORO-US</t>
        </is>
      </c>
      <c r="B538" s="4" t="inlineStr">
        <is>
          <t>Hangoro美国站</t>
        </is>
      </c>
      <c r="C538" s="4">
        <f>B538&amp;D538</f>
        <v/>
      </c>
      <c r="D538" s="4" t="inlineStr">
        <is>
          <t>B2307-BG</t>
        </is>
      </c>
      <c r="E538" s="4" t="inlineStr">
        <is>
          <t>221F0023BG1</t>
        </is>
      </c>
      <c r="F538" s="4" t="inlineStr">
        <is>
          <t>23系列三件套缸边浴缸龙头拉丝钛金封油</t>
        </is>
      </c>
      <c r="G538" s="36" t="inlineStr">
        <is>
          <t>胡娟娟</t>
        </is>
      </c>
      <c r="H538" s="4" t="inlineStr">
        <is>
          <t>缸边浴缸</t>
        </is>
      </c>
      <c r="I538" s="12" t="inlineStr">
        <is>
          <t>否</t>
        </is>
      </c>
      <c r="J538" s="34" t="n">
        <v>44638</v>
      </c>
      <c r="K538" s="34" t="n">
        <v>44638</v>
      </c>
      <c r="L538" s="0">
        <f>DATEDIF(J538,$L$1,"M")</f>
        <v/>
      </c>
      <c r="M538" s="0">
        <f>IF(L538&lt;18,"新品期",IF(L538&lt;=36,"老品期","衰退期"))</f>
        <v/>
      </c>
      <c r="N538" s="36" t="inlineStr">
        <is>
          <t>2026年1月以前王幸负责，2026年1月开始胡娟娟负责</t>
        </is>
      </c>
    </row>
    <row r="539" ht="15" customFormat="1" customHeight="1" s="36">
      <c r="A539" s="4" t="inlineStr">
        <is>
          <t>HANGORO-US</t>
        </is>
      </c>
      <c r="B539" s="4" t="inlineStr">
        <is>
          <t>Hangoro美国站</t>
        </is>
      </c>
      <c r="C539" s="4">
        <f>B539&amp;D539</f>
        <v/>
      </c>
      <c r="D539" s="4" t="inlineStr">
        <is>
          <t>B2307-BK</t>
        </is>
      </c>
      <c r="E539" s="4" t="inlineStr">
        <is>
          <t>221F0023BK1</t>
        </is>
      </c>
      <c r="F539" s="4" t="inlineStr">
        <is>
          <t>23系列三件套缸边浴缸龙头电泳黑</t>
        </is>
      </c>
      <c r="G539" s="36" t="inlineStr">
        <is>
          <t>胡娟娟</t>
        </is>
      </c>
      <c r="H539" s="4" t="inlineStr">
        <is>
          <t>缸边浴缸</t>
        </is>
      </c>
      <c r="I539" s="12" t="inlineStr">
        <is>
          <t>否</t>
        </is>
      </c>
      <c r="J539" s="34" t="n">
        <v>44638</v>
      </c>
      <c r="K539" s="34" t="n">
        <v>44638</v>
      </c>
      <c r="L539" s="0">
        <f>DATEDIF(J539,$L$1,"M")</f>
        <v/>
      </c>
      <c r="M539" s="0">
        <f>IF(L539&lt;18,"新品期",IF(L539&lt;=36,"老品期","衰退期"))</f>
        <v/>
      </c>
      <c r="N539" s="36" t="inlineStr">
        <is>
          <t>2026年1月以前王幸负责，2026年1月开始胡娟娟负责</t>
        </is>
      </c>
    </row>
    <row r="540" ht="15" customFormat="1" customHeight="1" s="36">
      <c r="A540" s="4" t="inlineStr">
        <is>
          <t>HANGORO-US</t>
        </is>
      </c>
      <c r="B540" s="4" t="inlineStr">
        <is>
          <t>Hangoro美国站</t>
        </is>
      </c>
      <c r="C540" s="4">
        <f>B540&amp;D540</f>
        <v/>
      </c>
      <c r="D540" s="4" t="inlineStr">
        <is>
          <t>B2307-BN</t>
        </is>
      </c>
      <c r="E540" s="4" t="inlineStr">
        <is>
          <t>221F0023BN1</t>
        </is>
      </c>
      <c r="F540" s="4" t="inlineStr">
        <is>
          <t>23系列三件套缸边浴缸龙头拉丝封油</t>
        </is>
      </c>
      <c r="G540" s="36" t="inlineStr">
        <is>
          <t>胡娟娟</t>
        </is>
      </c>
      <c r="H540" s="4" t="inlineStr">
        <is>
          <t>缸边浴缸</t>
        </is>
      </c>
      <c r="I540" s="12" t="inlineStr">
        <is>
          <t>否</t>
        </is>
      </c>
      <c r="J540" s="34" t="n">
        <v>44638</v>
      </c>
      <c r="K540" s="34" t="n">
        <v>44638</v>
      </c>
      <c r="L540" s="0">
        <f>DATEDIF(J540,$L$1,"M")</f>
        <v/>
      </c>
      <c r="M540" s="0">
        <f>IF(L540&lt;18,"新品期",IF(L540&lt;=36,"老品期","衰退期"))</f>
        <v/>
      </c>
      <c r="N540" s="36" t="inlineStr">
        <is>
          <t>2026年1月以前王幸负责，2026年1月开始胡娟娟负责</t>
        </is>
      </c>
    </row>
    <row r="541" ht="15" customFormat="1" customHeight="1" s="36">
      <c r="A541" s="4" t="inlineStr">
        <is>
          <t>HANGORO-US</t>
        </is>
      </c>
      <c r="B541" s="4" t="inlineStr">
        <is>
          <t>Hangoro美国站</t>
        </is>
      </c>
      <c r="C541" s="4">
        <f>B541&amp;D541</f>
        <v/>
      </c>
      <c r="D541" s="4" t="inlineStr">
        <is>
          <t>B2307-CP</t>
        </is>
      </c>
      <c r="E541" s="4" t="inlineStr">
        <is>
          <t>221F0023CP1</t>
        </is>
      </c>
      <c r="F541" s="4" t="inlineStr">
        <is>
          <t>23系列三件套缸边浴缸龙头铬</t>
        </is>
      </c>
      <c r="G541" s="36" t="inlineStr">
        <is>
          <t>胡娟娟</t>
        </is>
      </c>
      <c r="H541" s="4" t="inlineStr">
        <is>
          <t>缸边浴缸</t>
        </is>
      </c>
      <c r="I541" s="12" t="inlineStr">
        <is>
          <t>否</t>
        </is>
      </c>
      <c r="J541" s="34" t="n">
        <v>44638</v>
      </c>
      <c r="K541" s="34" t="n">
        <v>44638</v>
      </c>
      <c r="L541" s="0">
        <f>DATEDIF(J541,$L$1,"M")</f>
        <v/>
      </c>
      <c r="M541" s="0">
        <f>IF(L541&lt;18,"新品期",IF(L541&lt;=36,"老品期","衰退期"))</f>
        <v/>
      </c>
      <c r="N541" s="36" t="inlineStr">
        <is>
          <t>2026年1月以前王幸负责，2026年1月开始胡娟娟负责</t>
        </is>
      </c>
    </row>
    <row r="542" ht="15" customFormat="1" customHeight="1" s="36">
      <c r="A542" s="4" t="inlineStr">
        <is>
          <t>HANGORO-US</t>
        </is>
      </c>
      <c r="B542" s="4" t="inlineStr">
        <is>
          <t>Hangoro美国站</t>
        </is>
      </c>
      <c r="C542" s="4">
        <f>B542&amp;D542</f>
        <v/>
      </c>
      <c r="D542" s="4" t="inlineStr">
        <is>
          <t>B2307-ORB</t>
        </is>
      </c>
      <c r="E542" s="4" t="inlineStr">
        <is>
          <t>221F0023OB1</t>
        </is>
      </c>
      <c r="F542" s="4" t="inlineStr">
        <is>
          <t>23系列三件套缸边浴缸龙头拉丝古铜色</t>
        </is>
      </c>
      <c r="G542" s="36" t="inlineStr">
        <is>
          <t>胡娟娟</t>
        </is>
      </c>
      <c r="H542" s="4" t="inlineStr">
        <is>
          <t>缸边浴缸</t>
        </is>
      </c>
      <c r="I542" s="12" t="inlineStr">
        <is>
          <t>否</t>
        </is>
      </c>
      <c r="J542" s="34" t="n">
        <v>44638</v>
      </c>
      <c r="K542" s="34" t="n">
        <v>44638</v>
      </c>
      <c r="L542" s="0">
        <f>DATEDIF(J542,$L$1,"M")</f>
        <v/>
      </c>
      <c r="M542" s="0">
        <f>IF(L542&lt;18,"新品期",IF(L542&lt;=36,"老品期","衰退期"))</f>
        <v/>
      </c>
      <c r="N542" s="36" t="inlineStr">
        <is>
          <t>2026年1月以前王幸负责，2026年1月开始胡娟娟负责</t>
        </is>
      </c>
    </row>
    <row r="543" ht="15" customFormat="1" customHeight="1" s="36">
      <c r="A543" s="4" t="inlineStr">
        <is>
          <t>HANGORO-US</t>
        </is>
      </c>
      <c r="B543" s="4" t="inlineStr">
        <is>
          <t>Hangoro美国站</t>
        </is>
      </c>
      <c r="C543" s="4">
        <f>B543&amp;D543</f>
        <v/>
      </c>
      <c r="D543" s="4" t="inlineStr">
        <is>
          <t>B2309-BG</t>
        </is>
      </c>
      <c r="E543" s="4" t="inlineStr">
        <is>
          <t>223F0023BG1</t>
        </is>
      </c>
      <c r="F543" s="4" t="inlineStr">
        <is>
          <t>23系列五件套缸边浴缸龙头拉丝钛金封油</t>
        </is>
      </c>
      <c r="G543" s="36" t="inlineStr">
        <is>
          <t>胡娟娟</t>
        </is>
      </c>
      <c r="H543" s="4" t="inlineStr">
        <is>
          <t>缸边浴缸</t>
        </is>
      </c>
      <c r="I543" s="12" t="inlineStr">
        <is>
          <t>否</t>
        </is>
      </c>
      <c r="J543" s="34" t="n">
        <v>44827</v>
      </c>
      <c r="K543" s="34" t="n">
        <v>44827</v>
      </c>
      <c r="L543" s="0">
        <f>DATEDIF(J543,$L$1,"M")</f>
        <v/>
      </c>
      <c r="M543" s="0">
        <f>IF(L543&lt;18,"新品期",IF(L543&lt;=36,"老品期","衰退期"))</f>
        <v/>
      </c>
      <c r="N543" s="36" t="inlineStr">
        <is>
          <t>2026年1月以前王幸负责，2026年1月开始胡娟娟负责</t>
        </is>
      </c>
    </row>
    <row r="544" ht="15" customFormat="1" customHeight="1" s="36">
      <c r="A544" s="4" t="inlineStr">
        <is>
          <t>HANGORO-US</t>
        </is>
      </c>
      <c r="B544" s="4" t="inlineStr">
        <is>
          <t>Hangoro美国站</t>
        </is>
      </c>
      <c r="C544" s="4">
        <f>B544&amp;D544</f>
        <v/>
      </c>
      <c r="D544" s="4" t="inlineStr">
        <is>
          <t>B2309-BK</t>
        </is>
      </c>
      <c r="E544" s="4" t="inlineStr">
        <is>
          <t>223F0023BK1</t>
        </is>
      </c>
      <c r="F544" s="4" t="inlineStr">
        <is>
          <t>23系列五件套缸边浴缸龙头电泳黑</t>
        </is>
      </c>
      <c r="G544" s="36" t="inlineStr">
        <is>
          <t>胡娟娟</t>
        </is>
      </c>
      <c r="H544" s="4" t="inlineStr">
        <is>
          <t>缸边浴缸</t>
        </is>
      </c>
      <c r="I544" s="12" t="inlineStr">
        <is>
          <t>否</t>
        </is>
      </c>
      <c r="J544" s="34" t="n">
        <v>44827</v>
      </c>
      <c r="K544" s="34" t="n">
        <v>44827</v>
      </c>
      <c r="L544" s="0">
        <f>DATEDIF(J544,$L$1,"M")</f>
        <v/>
      </c>
      <c r="M544" s="0">
        <f>IF(L544&lt;18,"新品期",IF(L544&lt;=36,"老品期","衰退期"))</f>
        <v/>
      </c>
      <c r="N544" s="36" t="inlineStr">
        <is>
          <t>2026年1月以前王幸负责，2026年1月开始胡娟娟负责</t>
        </is>
      </c>
    </row>
    <row r="545" ht="15" customFormat="1" customHeight="1" s="36">
      <c r="A545" s="4" t="inlineStr">
        <is>
          <t>HANGORO-US</t>
        </is>
      </c>
      <c r="B545" s="4" t="inlineStr">
        <is>
          <t>Hangoro美国站</t>
        </is>
      </c>
      <c r="C545" s="4">
        <f>B545&amp;D545</f>
        <v/>
      </c>
      <c r="D545" s="4" t="inlineStr">
        <is>
          <t>B2309-BK-NEW</t>
        </is>
      </c>
      <c r="E545" s="4" t="inlineStr">
        <is>
          <t>223F0023BK1</t>
        </is>
      </c>
      <c r="F545" s="4" t="inlineStr">
        <is>
          <t>23系列五件套缸边浴缸龙头电泳黑</t>
        </is>
      </c>
      <c r="G545" s="36" t="inlineStr">
        <is>
          <t>胡娟娟</t>
        </is>
      </c>
      <c r="H545" s="4" t="inlineStr">
        <is>
          <t>缸边浴缸</t>
        </is>
      </c>
      <c r="I545" s="12" t="inlineStr">
        <is>
          <t>否</t>
        </is>
      </c>
      <c r="J545" s="34" t="n">
        <v>44827</v>
      </c>
      <c r="K545" s="34" t="n">
        <v>44827</v>
      </c>
      <c r="L545" s="0">
        <f>DATEDIF(J545,$L$1,"M")</f>
        <v/>
      </c>
      <c r="M545" s="0">
        <f>IF(L545&lt;18,"新品期",IF(L545&lt;=36,"老品期","衰退期"))</f>
        <v/>
      </c>
      <c r="N545" s="36" t="inlineStr">
        <is>
          <t>2026年1月以前王幸负责，2026年1月开始胡娟娟负责</t>
        </is>
      </c>
    </row>
    <row r="546" ht="15" customFormat="1" customHeight="1" s="36">
      <c r="A546" s="4" t="inlineStr">
        <is>
          <t>HANGORO-US</t>
        </is>
      </c>
      <c r="B546" s="4" t="inlineStr">
        <is>
          <t>Hangoro美国站</t>
        </is>
      </c>
      <c r="C546" s="4">
        <f>B546&amp;D546</f>
        <v/>
      </c>
      <c r="D546" s="4" t="inlineStr">
        <is>
          <t>B2309-BN</t>
        </is>
      </c>
      <c r="E546" s="4" t="inlineStr">
        <is>
          <t>223F0023BN1</t>
        </is>
      </c>
      <c r="F546" s="4" t="inlineStr">
        <is>
          <t>23系列五件套缸边浴缸龙头拉丝封油</t>
        </is>
      </c>
      <c r="G546" s="36" t="inlineStr">
        <is>
          <t>胡娟娟</t>
        </is>
      </c>
      <c r="H546" s="4" t="inlineStr">
        <is>
          <t>缸边浴缸</t>
        </is>
      </c>
      <c r="I546" s="12" t="inlineStr">
        <is>
          <t>否</t>
        </is>
      </c>
      <c r="J546" s="34" t="n">
        <v>44827</v>
      </c>
      <c r="K546" s="34" t="n">
        <v>44827</v>
      </c>
      <c r="L546" s="0">
        <f>DATEDIF(J546,$L$1,"M")</f>
        <v/>
      </c>
      <c r="M546" s="0">
        <f>IF(L546&lt;18,"新品期",IF(L546&lt;=36,"老品期","衰退期"))</f>
        <v/>
      </c>
      <c r="N546" s="36" t="inlineStr">
        <is>
          <t>2026年1月以前王幸负责，2026年1月开始胡娟娟负责</t>
        </is>
      </c>
    </row>
    <row r="547" ht="15" customFormat="1" customHeight="1" s="36">
      <c r="A547" s="4" t="inlineStr">
        <is>
          <t>HANGORO-US</t>
        </is>
      </c>
      <c r="B547" s="4" t="inlineStr">
        <is>
          <t>Hangoro美国站</t>
        </is>
      </c>
      <c r="C547" s="4">
        <f>B547&amp;D547</f>
        <v/>
      </c>
      <c r="D547" s="4" t="inlineStr">
        <is>
          <t>B2309-CP</t>
        </is>
      </c>
      <c r="E547" s="4" t="inlineStr">
        <is>
          <t>223F0023CP1</t>
        </is>
      </c>
      <c r="F547" s="4" t="inlineStr">
        <is>
          <t>23系列五件套缸边浴缸龙头铬</t>
        </is>
      </c>
      <c r="G547" s="36" t="inlineStr">
        <is>
          <t>胡娟娟</t>
        </is>
      </c>
      <c r="H547" s="4" t="inlineStr">
        <is>
          <t>缸边浴缸</t>
        </is>
      </c>
      <c r="I547" s="12" t="inlineStr">
        <is>
          <t>否</t>
        </is>
      </c>
      <c r="J547" s="34" t="n">
        <v>44827</v>
      </c>
      <c r="K547" s="34" t="n">
        <v>44827</v>
      </c>
      <c r="L547" s="0">
        <f>DATEDIF(J547,$L$1,"M")</f>
        <v/>
      </c>
      <c r="M547" s="0">
        <f>IF(L547&lt;18,"新品期",IF(L547&lt;=36,"老品期","衰退期"))</f>
        <v/>
      </c>
      <c r="N547" s="36" t="inlineStr">
        <is>
          <t>2026年1月以前王幸负责，2026年1月开始胡娟娟负责</t>
        </is>
      </c>
    </row>
    <row r="548" ht="15" customFormat="1" customHeight="1" s="36">
      <c r="A548" s="4" t="inlineStr">
        <is>
          <t>HANGORO-US</t>
        </is>
      </c>
      <c r="B548" s="4" t="inlineStr">
        <is>
          <t>Hangoro美国站</t>
        </is>
      </c>
      <c r="C548" s="4">
        <f>B548&amp;D548</f>
        <v/>
      </c>
      <c r="D548" s="4" t="inlineStr">
        <is>
          <t>B2309-ORB</t>
        </is>
      </c>
      <c r="E548" s="4" t="inlineStr">
        <is>
          <t>223F0023OB1</t>
        </is>
      </c>
      <c r="F548" s="4" t="inlineStr">
        <is>
          <t>23系列五件套缸边浴缸龙头拉丝古铜色</t>
        </is>
      </c>
      <c r="G548" s="36" t="inlineStr">
        <is>
          <t>胡娟娟</t>
        </is>
      </c>
      <c r="H548" s="4" t="inlineStr">
        <is>
          <t>缸边浴缸</t>
        </is>
      </c>
      <c r="I548" s="12" t="inlineStr">
        <is>
          <t>否</t>
        </is>
      </c>
      <c r="J548" s="34" t="n">
        <v>44827</v>
      </c>
      <c r="K548" s="34" t="n">
        <v>44827</v>
      </c>
      <c r="L548" s="0">
        <f>DATEDIF(J548,$L$1,"M")</f>
        <v/>
      </c>
      <c r="M548" s="0">
        <f>IF(L548&lt;18,"新品期",IF(L548&lt;=36,"老品期","衰退期"))</f>
        <v/>
      </c>
      <c r="N548" s="36" t="inlineStr">
        <is>
          <t>2026年1月以前王幸负责，2026年1月开始胡娟娟负责</t>
        </is>
      </c>
    </row>
    <row r="549" ht="15" customFormat="1" customHeight="1" s="36">
      <c r="A549" s="4" t="inlineStr">
        <is>
          <t>HANGORO-US</t>
        </is>
      </c>
      <c r="B549" s="4" t="inlineStr">
        <is>
          <t>Hangoro美国站</t>
        </is>
      </c>
      <c r="C549" s="4">
        <f>B549&amp;D549</f>
        <v/>
      </c>
      <c r="D549" s="4" t="inlineStr">
        <is>
          <t>B2311-BG</t>
        </is>
      </c>
      <c r="E549" s="4" t="inlineStr">
        <is>
          <t>211F0023BG1</t>
        </is>
      </c>
      <c r="F549" s="4" t="inlineStr">
        <is>
          <t>22系列二功能落地浴缸龙头拉丝钛金封油</t>
        </is>
      </c>
      <c r="G549" s="37" t="inlineStr">
        <is>
          <t>刘皓</t>
        </is>
      </c>
      <c r="H549" s="4" t="inlineStr">
        <is>
          <t>落地浴缸</t>
        </is>
      </c>
      <c r="I549" s="12" t="inlineStr">
        <is>
          <t>否</t>
        </is>
      </c>
      <c r="J549" s="34" t="n">
        <v>44792</v>
      </c>
      <c r="K549" s="34" t="n">
        <v>44792</v>
      </c>
      <c r="L549" s="0">
        <f>DATEDIF(J549,$L$1,"M")</f>
        <v/>
      </c>
      <c r="M549" s="0">
        <f>IF(L549&lt;18,"新品期",IF(L549&lt;=36,"老品期","衰退期"))</f>
        <v/>
      </c>
      <c r="N549" s="37" t="inlineStr">
        <is>
          <t>2026年4月17日之前王幸负责</t>
        </is>
      </c>
    </row>
    <row r="550" ht="15" customFormat="1" customHeight="1" s="36">
      <c r="A550" s="4" t="inlineStr">
        <is>
          <t>HANGORO-US</t>
        </is>
      </c>
      <c r="B550" s="4" t="inlineStr">
        <is>
          <t>Hangoro美国站</t>
        </is>
      </c>
      <c r="C550" s="4">
        <f>B550&amp;D550</f>
        <v/>
      </c>
      <c r="D550" s="4" t="inlineStr">
        <is>
          <t>B2311-BK</t>
        </is>
      </c>
      <c r="E550" s="4" t="inlineStr">
        <is>
          <t>211F0023BK1</t>
        </is>
      </c>
      <c r="F550" s="4" t="inlineStr">
        <is>
          <t>22系列二功能落地浴缸龙头酸铜发黑</t>
        </is>
      </c>
      <c r="G550" s="37" t="inlineStr">
        <is>
          <t>刘皓</t>
        </is>
      </c>
      <c r="H550" s="4" t="inlineStr">
        <is>
          <t>落地浴缸</t>
        </is>
      </c>
      <c r="I550" s="12" t="inlineStr">
        <is>
          <t>否</t>
        </is>
      </c>
      <c r="J550" s="34" t="n">
        <v>44792</v>
      </c>
      <c r="K550" s="34" t="n">
        <v>44792</v>
      </c>
      <c r="L550" s="0">
        <f>DATEDIF(J550,$L$1,"M")</f>
        <v/>
      </c>
      <c r="M550" s="0">
        <f>IF(L550&lt;18,"新品期",IF(L550&lt;=36,"老品期","衰退期"))</f>
        <v/>
      </c>
      <c r="N550" s="37" t="inlineStr">
        <is>
          <t>2026年4月17日之前王幸负责</t>
        </is>
      </c>
    </row>
    <row r="551" ht="15" customFormat="1" customHeight="1" s="36">
      <c r="A551" s="4" t="inlineStr">
        <is>
          <t>HANGORO-US</t>
        </is>
      </c>
      <c r="B551" s="4" t="inlineStr">
        <is>
          <t>Hangoro美国站</t>
        </is>
      </c>
      <c r="C551" s="4">
        <f>B551&amp;D551</f>
        <v/>
      </c>
      <c r="D551" s="4" t="inlineStr">
        <is>
          <t>B2311-BN</t>
        </is>
      </c>
      <c r="E551" s="4" t="inlineStr">
        <is>
          <t>211F0023BN1</t>
        </is>
      </c>
      <c r="F551" s="4" t="inlineStr">
        <is>
          <t>22系列二功能落地浴缸龙头拉丝封油</t>
        </is>
      </c>
      <c r="G551" s="37" t="inlineStr">
        <is>
          <t>刘皓</t>
        </is>
      </c>
      <c r="H551" s="4" t="inlineStr">
        <is>
          <t>落地浴缸</t>
        </is>
      </c>
      <c r="I551" s="12" t="inlineStr">
        <is>
          <t>否</t>
        </is>
      </c>
      <c r="J551" s="34" t="n">
        <v>44792</v>
      </c>
      <c r="K551" s="34" t="n">
        <v>44792</v>
      </c>
      <c r="L551" s="0">
        <f>DATEDIF(J551,$L$1,"M")</f>
        <v/>
      </c>
      <c r="M551" s="0">
        <f>IF(L551&lt;18,"新品期",IF(L551&lt;=36,"老品期","衰退期"))</f>
        <v/>
      </c>
      <c r="N551" s="37" t="inlineStr">
        <is>
          <t>2026年4月17日之前王幸负责</t>
        </is>
      </c>
    </row>
    <row r="552" ht="15" customFormat="1" customHeight="1" s="36">
      <c r="A552" s="4" t="inlineStr">
        <is>
          <t>HANGORO-US</t>
        </is>
      </c>
      <c r="B552" s="4" t="inlineStr">
        <is>
          <t>Hangoro美国站</t>
        </is>
      </c>
      <c r="C552" s="4">
        <f>B552&amp;D552</f>
        <v/>
      </c>
      <c r="D552" s="4" t="inlineStr">
        <is>
          <t>B2311-CP</t>
        </is>
      </c>
      <c r="E552" s="4" t="inlineStr">
        <is>
          <t>211F0023CP1</t>
        </is>
      </c>
      <c r="F552" s="4" t="inlineStr">
        <is>
          <t>22系列二功能落地浴缸龙头铬</t>
        </is>
      </c>
      <c r="G552" s="37" t="inlineStr">
        <is>
          <t>刘皓</t>
        </is>
      </c>
      <c r="H552" s="4" t="inlineStr">
        <is>
          <t>落地浴缸</t>
        </is>
      </c>
      <c r="I552" s="12" t="inlineStr">
        <is>
          <t>否</t>
        </is>
      </c>
      <c r="J552" s="34" t="n">
        <v>44792</v>
      </c>
      <c r="K552" s="34" t="n">
        <v>44792</v>
      </c>
      <c r="L552" s="0">
        <f>DATEDIF(J552,$L$1,"M")</f>
        <v/>
      </c>
      <c r="M552" s="0">
        <f>IF(L552&lt;18,"新品期",IF(L552&lt;=36,"老品期","衰退期"))</f>
        <v/>
      </c>
      <c r="N552" s="37" t="inlineStr">
        <is>
          <t>2026年4月17日之前王幸负责</t>
        </is>
      </c>
    </row>
    <row r="553" ht="15" customFormat="1" customHeight="1" s="36">
      <c r="A553" s="4" t="inlineStr">
        <is>
          <t>HANGORO-US</t>
        </is>
      </c>
      <c r="B553" s="4" t="inlineStr">
        <is>
          <t>Hangoro美国站</t>
        </is>
      </c>
      <c r="C553" s="4">
        <f>B553&amp;D553</f>
        <v/>
      </c>
      <c r="D553" s="4" t="inlineStr">
        <is>
          <t>B2311-ORB</t>
        </is>
      </c>
      <c r="E553" s="4" t="inlineStr">
        <is>
          <t>211F0023OB1</t>
        </is>
      </c>
      <c r="F553" s="4" t="inlineStr">
        <is>
          <t>22系列二功能落地浴缸龙头拉丝古铜色</t>
        </is>
      </c>
      <c r="G553" s="37" t="inlineStr">
        <is>
          <t>刘皓</t>
        </is>
      </c>
      <c r="H553" s="4" t="inlineStr">
        <is>
          <t>落地浴缸</t>
        </is>
      </c>
      <c r="I553" s="12" t="inlineStr">
        <is>
          <t>否</t>
        </is>
      </c>
      <c r="J553" s="34" t="n">
        <v>44792</v>
      </c>
      <c r="K553" s="34" t="n">
        <v>44792</v>
      </c>
      <c r="L553" s="0">
        <f>DATEDIF(J553,$L$1,"M")</f>
        <v/>
      </c>
      <c r="M553" s="0">
        <f>IF(L553&lt;18,"新品期",IF(L553&lt;=36,"老品期","衰退期"))</f>
        <v/>
      </c>
      <c r="N553" s="37" t="inlineStr">
        <is>
          <t>2026年4月17日之前王幸负责</t>
        </is>
      </c>
    </row>
    <row r="554" ht="15" customFormat="1" customHeight="1" s="36">
      <c r="A554" s="4" t="inlineStr">
        <is>
          <t>HANGORO-US</t>
        </is>
      </c>
      <c r="B554" s="4" t="inlineStr">
        <is>
          <t>Hangoro美国站</t>
        </is>
      </c>
      <c r="C554" s="4">
        <f>B554&amp;D554</f>
        <v/>
      </c>
      <c r="D554" s="4" t="inlineStr">
        <is>
          <t>B2312-BG</t>
        </is>
      </c>
      <c r="E554" s="4" t="inlineStr">
        <is>
          <t>320F0023BG1</t>
        </is>
      </c>
      <c r="F554" s="4" t="inlineStr">
        <is>
          <t>23系列二功能入墙暗装淋浴龙头（顶喷+手持）拉丝钛金封油</t>
        </is>
      </c>
      <c r="G554" s="4" t="inlineStr">
        <is>
          <t>宋江</t>
        </is>
      </c>
      <c r="H554" s="4" t="inlineStr">
        <is>
          <t>暗装淋浴</t>
        </is>
      </c>
      <c r="I554" s="12" t="inlineStr">
        <is>
          <t>否</t>
        </is>
      </c>
      <c r="J554" s="34" t="n">
        <v>44792</v>
      </c>
      <c r="K554" s="34" t="n">
        <v>44843</v>
      </c>
      <c r="L554" s="0">
        <f>DATEDIF(J554,$L$1,"M")</f>
        <v/>
      </c>
      <c r="M554" s="0">
        <f>IF(L554&lt;18,"新品期",IF(L554&lt;=36,"老品期","衰退期"))</f>
        <v/>
      </c>
      <c r="N554" s="36" t="inlineStr">
        <is>
          <t>2025年9月8以前何嘉威负责</t>
        </is>
      </c>
    </row>
    <row r="555" ht="15" customFormat="1" customHeight="1" s="36">
      <c r="A555" s="4" t="inlineStr">
        <is>
          <t>HANGORO-US</t>
        </is>
      </c>
      <c r="B555" s="4" t="inlineStr">
        <is>
          <t>Hangoro美国站</t>
        </is>
      </c>
      <c r="C555" s="4">
        <f>B555&amp;D555</f>
        <v/>
      </c>
      <c r="D555" s="4" t="inlineStr">
        <is>
          <t>B2312-BK</t>
        </is>
      </c>
      <c r="E555" s="4" t="inlineStr">
        <is>
          <t>320F0023BK1</t>
        </is>
      </c>
      <c r="F555" s="4" t="inlineStr">
        <is>
          <t>23系列二功能入墙暗装淋浴龙头（顶喷+手持）电泳黑</t>
        </is>
      </c>
      <c r="G555" s="4" t="inlineStr">
        <is>
          <t>宋江</t>
        </is>
      </c>
      <c r="H555" s="4" t="inlineStr">
        <is>
          <t>暗装淋浴</t>
        </is>
      </c>
      <c r="I555" s="12" t="inlineStr">
        <is>
          <t>否</t>
        </is>
      </c>
      <c r="J555" s="34" t="n">
        <v>44792</v>
      </c>
      <c r="K555" s="34" t="n">
        <v>44843</v>
      </c>
      <c r="L555" s="0">
        <f>DATEDIF(J555,$L$1,"M")</f>
        <v/>
      </c>
      <c r="M555" s="0">
        <f>IF(L555&lt;18,"新品期",IF(L555&lt;=36,"老品期","衰退期"))</f>
        <v/>
      </c>
      <c r="N555" s="36" t="inlineStr">
        <is>
          <t>2025年9月8以前何嘉威负责</t>
        </is>
      </c>
    </row>
    <row r="556" ht="15" customFormat="1" customHeight="1" s="36">
      <c r="A556" s="4" t="inlineStr">
        <is>
          <t>HANGORO-US</t>
        </is>
      </c>
      <c r="B556" s="4" t="inlineStr">
        <is>
          <t>Hangoro美国站</t>
        </is>
      </c>
      <c r="C556" s="4">
        <f>B556&amp;D556</f>
        <v/>
      </c>
      <c r="D556" s="4" t="inlineStr">
        <is>
          <t>B2312-BN</t>
        </is>
      </c>
      <c r="E556" s="4" t="inlineStr">
        <is>
          <t>320F0023BN1</t>
        </is>
      </c>
      <c r="F556" s="4" t="inlineStr">
        <is>
          <t>23系列二功能入墙暗装淋浴龙头（顶喷+手持）拉丝封油</t>
        </is>
      </c>
      <c r="G556" s="4" t="inlineStr">
        <is>
          <t>宋江</t>
        </is>
      </c>
      <c r="H556" s="4" t="inlineStr">
        <is>
          <t>暗装淋浴</t>
        </is>
      </c>
      <c r="I556" s="12" t="inlineStr">
        <is>
          <t>否</t>
        </is>
      </c>
      <c r="J556" s="34" t="n">
        <v>44792</v>
      </c>
      <c r="K556" s="34" t="n">
        <v>44843</v>
      </c>
      <c r="L556" s="0">
        <f>DATEDIF(J556,$L$1,"M")</f>
        <v/>
      </c>
      <c r="M556" s="0">
        <f>IF(L556&lt;18,"新品期",IF(L556&lt;=36,"老品期","衰退期"))</f>
        <v/>
      </c>
      <c r="N556" s="36" t="inlineStr">
        <is>
          <t>2025年9月8以前何嘉威负责</t>
        </is>
      </c>
    </row>
    <row r="557" ht="15" customFormat="1" customHeight="1" s="36">
      <c r="A557" s="4" t="inlineStr">
        <is>
          <t>HANGORO-US</t>
        </is>
      </c>
      <c r="B557" s="4" t="inlineStr">
        <is>
          <t>Hangoro美国站</t>
        </is>
      </c>
      <c r="C557" s="4">
        <f>B557&amp;D557</f>
        <v/>
      </c>
      <c r="D557" s="4" t="inlineStr">
        <is>
          <t>B2312-CP</t>
        </is>
      </c>
      <c r="E557" s="4" t="inlineStr">
        <is>
          <t>320F0023CP1</t>
        </is>
      </c>
      <c r="F557" s="4" t="inlineStr">
        <is>
          <t>23系列二功能入墙暗装淋浴龙头（顶喷+手持）铬</t>
        </is>
      </c>
      <c r="G557" s="4" t="inlineStr">
        <is>
          <t>宋江</t>
        </is>
      </c>
      <c r="H557" s="4" t="inlineStr">
        <is>
          <t>暗装淋浴</t>
        </is>
      </c>
      <c r="I557" s="12" t="inlineStr">
        <is>
          <t>否</t>
        </is>
      </c>
      <c r="J557" s="34" t="n">
        <v>44792</v>
      </c>
      <c r="K557" s="34" t="n">
        <v>44843</v>
      </c>
      <c r="L557" s="0">
        <f>DATEDIF(J557,$L$1,"M")</f>
        <v/>
      </c>
      <c r="M557" s="0">
        <f>IF(L557&lt;18,"新品期",IF(L557&lt;=36,"老品期","衰退期"))</f>
        <v/>
      </c>
      <c r="N557" s="36" t="inlineStr">
        <is>
          <t>2025年9月8以前何嘉威负责</t>
        </is>
      </c>
    </row>
    <row r="558" ht="15" customFormat="1" customHeight="1" s="36">
      <c r="A558" s="4" t="inlineStr">
        <is>
          <t>HANGORO-US</t>
        </is>
      </c>
      <c r="B558" s="4" t="inlineStr">
        <is>
          <t>Hangoro美国站</t>
        </is>
      </c>
      <c r="C558" s="4">
        <f>B558&amp;D558</f>
        <v/>
      </c>
      <c r="D558" s="4" t="inlineStr">
        <is>
          <t>B2312-ORB</t>
        </is>
      </c>
      <c r="E558" s="4" t="inlineStr">
        <is>
          <t>320F0023OB1</t>
        </is>
      </c>
      <c r="F558" s="4" t="inlineStr">
        <is>
          <t>23系列二功能入墙暗装淋浴龙头（顶喷+手持）拉丝古铜色</t>
        </is>
      </c>
      <c r="G558" s="4" t="inlineStr">
        <is>
          <t>宋江</t>
        </is>
      </c>
      <c r="H558" s="4" t="inlineStr">
        <is>
          <t>暗装淋浴</t>
        </is>
      </c>
      <c r="I558" s="12" t="inlineStr">
        <is>
          <t>否</t>
        </is>
      </c>
      <c r="J558" s="34" t="n">
        <v>44792</v>
      </c>
      <c r="K558" s="34" t="n">
        <v>44843</v>
      </c>
      <c r="L558" s="0">
        <f>DATEDIF(J558,$L$1,"M")</f>
        <v/>
      </c>
      <c r="M558" s="0">
        <f>IF(L558&lt;18,"新品期",IF(L558&lt;=36,"老品期","衰退期"))</f>
        <v/>
      </c>
      <c r="N558" s="36" t="inlineStr">
        <is>
          <t>2025年9月8以前何嘉威负责</t>
        </is>
      </c>
    </row>
    <row r="559" ht="15" customFormat="1" customHeight="1" s="36">
      <c r="A559" s="4" t="inlineStr">
        <is>
          <t>NAUKWAN-US</t>
        </is>
      </c>
      <c r="B559" s="4" t="inlineStr">
        <is>
          <t>Naukwan美国站</t>
        </is>
      </c>
      <c r="C559" s="4">
        <f>B559&amp;D559</f>
        <v/>
      </c>
      <c r="D559" s="4" t="inlineStr">
        <is>
          <t>B6206-BG</t>
        </is>
      </c>
      <c r="E559" s="4" t="inlineStr">
        <is>
          <t>230F3005BG1</t>
        </is>
      </c>
      <c r="F559" s="4" t="inlineStr">
        <is>
          <t>3005单功能入墙浴缸龙头拉丝钛金封油</t>
        </is>
      </c>
      <c r="G559" s="4" t="inlineStr">
        <is>
          <t>刘皓</t>
        </is>
      </c>
      <c r="H559" s="4" t="inlineStr">
        <is>
          <t>缸边浴缸</t>
        </is>
      </c>
      <c r="I559" s="12" t="inlineStr">
        <is>
          <t>是</t>
        </is>
      </c>
      <c r="J559" s="34" t="n">
        <v>44661</v>
      </c>
      <c r="K559" s="34" t="n">
        <v>44661</v>
      </c>
      <c r="L559" s="0">
        <f>DATEDIF(J559,$L$1,"M")</f>
        <v/>
      </c>
      <c r="M559" s="0">
        <f>IF(L559&lt;18,"新品期",IF(L559&lt;=36,"老品期","衰退期"))</f>
        <v/>
      </c>
    </row>
    <row r="560" ht="15" customFormat="1" customHeight="1" s="36">
      <c r="A560" s="4" t="inlineStr">
        <is>
          <t>NAUKWAN-US</t>
        </is>
      </c>
      <c r="B560" s="4" t="inlineStr">
        <is>
          <t>Naukwan美国站</t>
        </is>
      </c>
      <c r="C560" s="4">
        <f>B560&amp;D560</f>
        <v/>
      </c>
      <c r="D560" s="4" t="inlineStr">
        <is>
          <t>B6206-BK</t>
        </is>
      </c>
      <c r="E560" s="4" t="inlineStr">
        <is>
          <t>230F3005BK1</t>
        </is>
      </c>
      <c r="F560" s="4" t="inlineStr">
        <is>
          <t>3005单功能入墙浴缸龙头电泳黑</t>
        </is>
      </c>
      <c r="G560" s="4" t="inlineStr">
        <is>
          <t>刘皓</t>
        </is>
      </c>
      <c r="H560" s="4" t="inlineStr">
        <is>
          <t>缸边浴缸</t>
        </is>
      </c>
      <c r="I560" s="12" t="inlineStr">
        <is>
          <t>是</t>
        </is>
      </c>
      <c r="J560" s="34" t="n">
        <v>44661</v>
      </c>
      <c r="K560" s="34" t="n">
        <v>44661</v>
      </c>
      <c r="L560" s="0">
        <f>DATEDIF(J560,$L$1,"M")</f>
        <v/>
      </c>
      <c r="M560" s="0">
        <f>IF(L560&lt;18,"新品期",IF(L560&lt;=36,"老品期","衰退期"))</f>
        <v/>
      </c>
    </row>
    <row r="561" ht="15" customFormat="1" customHeight="1" s="36">
      <c r="A561" s="4" t="inlineStr">
        <is>
          <t>NAUKWAN-US</t>
        </is>
      </c>
      <c r="B561" s="4" t="inlineStr">
        <is>
          <t>Naukwan美国站</t>
        </is>
      </c>
      <c r="C561" s="4">
        <f>B561&amp;D561</f>
        <v/>
      </c>
      <c r="D561" s="4" t="inlineStr">
        <is>
          <t>B6206-GY</t>
        </is>
      </c>
      <c r="E561" s="4" t="inlineStr">
        <is>
          <t>F3-3005GY</t>
        </is>
      </c>
      <c r="F561" s="4" t="inlineStr">
        <is>
          <t>3005三件套枪灰拉丝封哑油</t>
        </is>
      </c>
      <c r="G561" s="4" t="inlineStr">
        <is>
          <t>刘皓</t>
        </is>
      </c>
      <c r="H561" s="4" t="inlineStr">
        <is>
          <t>缸边浴缸</t>
        </is>
      </c>
      <c r="I561" s="12" t="inlineStr">
        <is>
          <t>是</t>
        </is>
      </c>
      <c r="J561" s="34" t="n">
        <v>44661</v>
      </c>
      <c r="K561" s="34" t="n">
        <v>44661</v>
      </c>
      <c r="L561" s="0">
        <f>DATEDIF(J561,$L$1,"M")</f>
        <v/>
      </c>
      <c r="M561" s="0">
        <f>IF(L561&lt;18,"新品期",IF(L561&lt;=36,"老品期","衰退期"))</f>
        <v/>
      </c>
    </row>
    <row r="562" ht="15" customFormat="1" customHeight="1" s="36">
      <c r="A562" s="4" t="inlineStr">
        <is>
          <t>Wintap-US</t>
        </is>
      </c>
      <c r="B562" s="4" t="inlineStr">
        <is>
          <t>Wintap美国站</t>
        </is>
      </c>
      <c r="C562" s="4">
        <f>B562&amp;D562</f>
        <v/>
      </c>
      <c r="D562" s="4" t="inlineStr">
        <is>
          <t>CR-NOCP-Z21P</t>
        </is>
      </c>
      <c r="E562" s="4" t="inlineStr">
        <is>
          <t>211F8000BG1</t>
        </is>
      </c>
      <c r="F562" s="4" t="inlineStr">
        <is>
          <t>8000二功能落地浴缸龙头拉丝钛金封油</t>
        </is>
      </c>
      <c r="G562" s="4" t="inlineStr">
        <is>
          <t>刘皓</t>
        </is>
      </c>
      <c r="H562" s="4" t="inlineStr">
        <is>
          <t>落地浴缸</t>
        </is>
      </c>
      <c r="I562" s="12" t="inlineStr">
        <is>
          <t>是</t>
        </is>
      </c>
      <c r="J562" s="34" t="n">
        <v>44854</v>
      </c>
      <c r="K562" s="34" t="n">
        <v>44854</v>
      </c>
      <c r="L562" s="0">
        <f>DATEDIF(J562,$L$1,"M")</f>
        <v/>
      </c>
      <c r="M562" s="0">
        <f>IF(L562&lt;18,"新品期",IF(L562&lt;=36,"老品期","衰退期"))</f>
        <v/>
      </c>
    </row>
    <row r="563" ht="15" customFormat="1" customHeight="1" s="36">
      <c r="A563" s="4" t="inlineStr">
        <is>
          <t>Wintap-CA</t>
        </is>
      </c>
      <c r="B563" s="4" t="inlineStr">
        <is>
          <t>Wintap加拿大站</t>
        </is>
      </c>
      <c r="C563" s="4">
        <f>B563&amp;D563</f>
        <v/>
      </c>
      <c r="D563" s="4" t="inlineStr">
        <is>
          <t>CR-NOCP-Z21P</t>
        </is>
      </c>
      <c r="E563" s="4" t="inlineStr">
        <is>
          <t>211F8000BG1</t>
        </is>
      </c>
      <c r="F563" s="4" t="inlineStr">
        <is>
          <t>8000二功能落地浴缸龙头拉丝钛金封油</t>
        </is>
      </c>
      <c r="G563" s="4" t="inlineStr">
        <is>
          <t>刘皓</t>
        </is>
      </c>
      <c r="H563" s="4" t="inlineStr">
        <is>
          <t>落地浴缸</t>
        </is>
      </c>
      <c r="I563" s="12" t="inlineStr">
        <is>
          <t>是</t>
        </is>
      </c>
      <c r="J563" s="34" t="n">
        <v>44854</v>
      </c>
      <c r="K563" s="34" t="n">
        <v>44854</v>
      </c>
      <c r="L563" s="0">
        <f>DATEDIF(J563,$L$1,"M")</f>
        <v/>
      </c>
      <c r="M563" s="0">
        <f>IF(L563&lt;18,"新品期",IF(L563&lt;=36,"老品期","衰退期"))</f>
        <v/>
      </c>
    </row>
    <row r="564" ht="15" customFormat="1" customHeight="1" s="36">
      <c r="A564" s="4" t="inlineStr">
        <is>
          <t>Wintap-MX</t>
        </is>
      </c>
      <c r="B564" s="4" t="inlineStr">
        <is>
          <t>Wintap墨西哥站</t>
        </is>
      </c>
      <c r="C564" s="4">
        <f>B564&amp;D564</f>
        <v/>
      </c>
      <c r="D564" s="4" t="inlineStr">
        <is>
          <t>CR-NOCP-Z21P</t>
        </is>
      </c>
      <c r="E564" s="4" t="inlineStr">
        <is>
          <t>211F8000BG1</t>
        </is>
      </c>
      <c r="F564" s="4" t="inlineStr">
        <is>
          <t>8000二功能落地浴缸龙头拉丝钛金封油</t>
        </is>
      </c>
      <c r="G564" s="4" t="inlineStr">
        <is>
          <t>刘皓</t>
        </is>
      </c>
      <c r="H564" s="4" t="inlineStr">
        <is>
          <t>落地浴缸</t>
        </is>
      </c>
      <c r="I564" s="12" t="inlineStr">
        <is>
          <t>是</t>
        </is>
      </c>
      <c r="J564" s="34" t="n">
        <v>44854</v>
      </c>
      <c r="K564" s="34" t="n">
        <v>44854</v>
      </c>
      <c r="L564" s="0">
        <f>DATEDIF(J564,$L$1,"M")</f>
        <v/>
      </c>
      <c r="M564" s="0">
        <f>IF(L564&lt;18,"新品期",IF(L564&lt;=36,"老品期","衰退期"))</f>
        <v/>
      </c>
    </row>
    <row r="565" ht="15" customFormat="1" customHeight="1" s="36">
      <c r="A565" s="4" t="inlineStr">
        <is>
          <t>WINKEAR-US</t>
        </is>
      </c>
      <c r="B565" s="4" t="inlineStr">
        <is>
          <t>Winkear美国站</t>
        </is>
      </c>
      <c r="C565" s="4">
        <f>B565&amp;D565</f>
        <v/>
      </c>
      <c r="D565" s="4" t="inlineStr">
        <is>
          <t>K2213-BG</t>
        </is>
      </c>
      <c r="E565" s="4" t="inlineStr">
        <is>
          <t>420F0022BG3</t>
        </is>
      </c>
      <c r="F565" s="4" t="inlineStr">
        <is>
          <t>22系列抽拉厨房龙头拉丝锆金封油</t>
        </is>
      </c>
      <c r="G565" s="4" t="inlineStr">
        <is>
          <t>吕凯烨</t>
        </is>
      </c>
      <c r="H565" s="4" t="inlineStr">
        <is>
          <t>厨房品线</t>
        </is>
      </c>
      <c r="I565" s="12" t="inlineStr">
        <is>
          <t>否</t>
        </is>
      </c>
      <c r="J565" s="34" t="n">
        <v>45349</v>
      </c>
      <c r="K565" s="34" t="n">
        <v>45376</v>
      </c>
      <c r="L565" s="0">
        <f>DATEDIF(J565,$L$1,"M")</f>
        <v/>
      </c>
      <c r="M565" s="0">
        <f>IF(L565&lt;18,"新品期",IF(L565&lt;=36,"老品期","衰退期"))</f>
        <v/>
      </c>
    </row>
    <row r="566" ht="15" customFormat="1" customHeight="1" s="36">
      <c r="A566" s="4" t="inlineStr">
        <is>
          <t>WINKEAR-US</t>
        </is>
      </c>
      <c r="B566" s="4" t="inlineStr">
        <is>
          <t>Winkear美国站</t>
        </is>
      </c>
      <c r="C566" s="4">
        <f>B566&amp;D566</f>
        <v/>
      </c>
      <c r="D566" s="4" t="inlineStr">
        <is>
          <t>K2213-BK</t>
        </is>
      </c>
      <c r="E566" s="4" t="inlineStr">
        <is>
          <t>420F0022BK1</t>
        </is>
      </c>
      <c r="F566" s="4" t="inlineStr">
        <is>
          <t>22系列抽拉厨房龙头电泳黑</t>
        </is>
      </c>
      <c r="G566" s="4" t="inlineStr">
        <is>
          <t>吕凯烨</t>
        </is>
      </c>
      <c r="H566" s="4" t="inlineStr">
        <is>
          <t>厨房品线</t>
        </is>
      </c>
      <c r="I566" s="12" t="inlineStr">
        <is>
          <t>否</t>
        </is>
      </c>
      <c r="J566" s="34" t="n">
        <v>45422</v>
      </c>
      <c r="K566" s="34" t="n">
        <v>45471</v>
      </c>
      <c r="L566" s="0">
        <f>DATEDIF(J566,$L$1,"M")</f>
        <v/>
      </c>
      <c r="M566" s="0">
        <f>IF(L566&lt;18,"新品期",IF(L566&lt;=36,"老品期","衰退期"))</f>
        <v/>
      </c>
    </row>
    <row r="567" ht="15" customFormat="1" customHeight="1" s="36">
      <c r="A567" s="4" t="inlineStr">
        <is>
          <t>WINKEAR-US</t>
        </is>
      </c>
      <c r="B567" s="4" t="inlineStr">
        <is>
          <t>Winkear美国站</t>
        </is>
      </c>
      <c r="C567" s="4">
        <f>B567&amp;D567</f>
        <v/>
      </c>
      <c r="D567" s="4" t="inlineStr">
        <is>
          <t>K2213-BN</t>
        </is>
      </c>
      <c r="E567" s="4" t="inlineStr">
        <is>
          <t>420F0022BN1</t>
        </is>
      </c>
      <c r="F567" s="4" t="inlineStr">
        <is>
          <t>22系列抽拉厨房龙头拉丝封油</t>
        </is>
      </c>
      <c r="G567" s="4" t="inlineStr">
        <is>
          <t>吕凯烨</t>
        </is>
      </c>
      <c r="H567" s="4" t="inlineStr">
        <is>
          <t>厨房品线</t>
        </is>
      </c>
      <c r="I567" s="12" t="inlineStr">
        <is>
          <t>是</t>
        </is>
      </c>
      <c r="J567" s="34" t="n">
        <v>45422</v>
      </c>
      <c r="K567" s="34" t="n">
        <v>45471</v>
      </c>
      <c r="L567" s="0">
        <f>DATEDIF(J567,$L$1,"M")</f>
        <v/>
      </c>
      <c r="M567" s="0">
        <f>IF(L567&lt;18,"新品期",IF(L567&lt;=36,"老品期","衰退期"))</f>
        <v/>
      </c>
    </row>
    <row r="568" ht="15" customFormat="1" customHeight="1" s="36">
      <c r="A568" s="4" t="inlineStr">
        <is>
          <t>WINKEAR-US</t>
        </is>
      </c>
      <c r="B568" s="4" t="inlineStr">
        <is>
          <t>Winkear美国站</t>
        </is>
      </c>
      <c r="C568" s="4">
        <f>B568&amp;D568</f>
        <v/>
      </c>
      <c r="D568" s="4" t="inlineStr">
        <is>
          <t>K2213-CP</t>
        </is>
      </c>
      <c r="E568" s="4" t="inlineStr">
        <is>
          <t>420F0022CP1</t>
        </is>
      </c>
      <c r="F568" s="4" t="inlineStr">
        <is>
          <t>22系列抽拉厨房龙头铬</t>
        </is>
      </c>
      <c r="G568" s="4" t="inlineStr">
        <is>
          <t>吕凯烨</t>
        </is>
      </c>
      <c r="H568" s="4" t="inlineStr">
        <is>
          <t>厨房品线</t>
        </is>
      </c>
      <c r="I568" s="12" t="inlineStr">
        <is>
          <t>是</t>
        </is>
      </c>
      <c r="J568" s="34" t="n">
        <v>45349</v>
      </c>
      <c r="K568" s="34" t="n">
        <v>45376</v>
      </c>
      <c r="L568" s="0">
        <f>DATEDIF(J568,$L$1,"M")</f>
        <v/>
      </c>
      <c r="M568" s="0">
        <f>IF(L568&lt;18,"新品期",IF(L568&lt;=36,"老品期","衰退期"))</f>
        <v/>
      </c>
    </row>
    <row r="569" ht="15" customFormat="1" customHeight="1" s="36">
      <c r="A569" s="4" t="inlineStr">
        <is>
          <t>WINKEAR-US</t>
        </is>
      </c>
      <c r="B569" s="4" t="inlineStr">
        <is>
          <t>Winkear美国站</t>
        </is>
      </c>
      <c r="C569" s="4">
        <f>B569&amp;D569</f>
        <v/>
      </c>
      <c r="D569" s="4" t="inlineStr">
        <is>
          <t>K2213-ORB</t>
        </is>
      </c>
      <c r="E569" s="4" t="inlineStr">
        <is>
          <t>420F0022OB1</t>
        </is>
      </c>
      <c r="F569" s="4" t="inlineStr">
        <is>
          <t>22系列抽拉厨房龙头拉丝古铜色</t>
        </is>
      </c>
      <c r="G569" s="4" t="inlineStr">
        <is>
          <t>吕凯烨</t>
        </is>
      </c>
      <c r="H569" s="4" t="inlineStr">
        <is>
          <t>厨房品线</t>
        </is>
      </c>
      <c r="I569" s="12" t="inlineStr">
        <is>
          <t>否</t>
        </is>
      </c>
      <c r="J569" s="34" t="n">
        <v>45422</v>
      </c>
      <c r="K569" s="34" t="n">
        <v>45471</v>
      </c>
      <c r="L569" s="0">
        <f>DATEDIF(J569,$L$1,"M")</f>
        <v/>
      </c>
      <c r="M569" s="0">
        <f>IF(L569&lt;18,"新品期",IF(L569&lt;=36,"老品期","衰退期"))</f>
        <v/>
      </c>
    </row>
    <row r="570" ht="15" customFormat="1" customHeight="1" s="36">
      <c r="A570" s="4" t="inlineStr">
        <is>
          <t>WINKEAR-US</t>
        </is>
      </c>
      <c r="B570" s="4" t="inlineStr">
        <is>
          <t>Winkear美国站</t>
        </is>
      </c>
      <c r="C570" s="4">
        <f>B570&amp;D570</f>
        <v/>
      </c>
      <c r="D570" s="4" t="inlineStr">
        <is>
          <t>KSD01-BG</t>
        </is>
      </c>
      <c r="E570" s="4" t="inlineStr">
        <is>
          <t>490F0022BG1</t>
        </is>
      </c>
      <c r="F570" s="4" t="inlineStr">
        <is>
          <t>皂液器拉丝钛金封油</t>
        </is>
      </c>
      <c r="G570" s="4" t="inlineStr">
        <is>
          <t>吕凯烨</t>
        </is>
      </c>
      <c r="H570" s="4" t="inlineStr">
        <is>
          <t>厨房品线</t>
        </is>
      </c>
      <c r="I570" s="12" t="inlineStr">
        <is>
          <t>否</t>
        </is>
      </c>
      <c r="J570" s="34" t="n">
        <v>45117</v>
      </c>
      <c r="K570" s="34" t="n">
        <v>45171</v>
      </c>
      <c r="L570" s="0">
        <f>DATEDIF(J570,$L$1,"M")</f>
        <v/>
      </c>
      <c r="M570" s="0">
        <f>IF(L570&lt;18,"新品期",IF(L570&lt;=36,"老品期","衰退期"))</f>
        <v/>
      </c>
    </row>
    <row r="571" ht="15" customFormat="1" customHeight="1" s="36">
      <c r="A571" s="4" t="inlineStr">
        <is>
          <t>WINKEAR-US</t>
        </is>
      </c>
      <c r="B571" s="4" t="inlineStr">
        <is>
          <t>Winkear美国站</t>
        </is>
      </c>
      <c r="C571" s="4">
        <f>B571&amp;D571</f>
        <v/>
      </c>
      <c r="D571" s="4" t="inlineStr">
        <is>
          <t>KSD01-BK</t>
        </is>
      </c>
      <c r="E571" s="4" t="inlineStr">
        <is>
          <t>490F0022BK1</t>
        </is>
      </c>
      <c r="F571" s="4" t="inlineStr">
        <is>
          <t>皂液器电泳黑</t>
        </is>
      </c>
      <c r="G571" s="4" t="inlineStr">
        <is>
          <t>吕凯烨</t>
        </is>
      </c>
      <c r="H571" s="4" t="inlineStr">
        <is>
          <t>厨房品线</t>
        </is>
      </c>
      <c r="I571" s="12" t="inlineStr">
        <is>
          <t>是</t>
        </is>
      </c>
      <c r="J571" s="34" t="n">
        <v>45117</v>
      </c>
      <c r="K571" s="34" t="n">
        <v>45171</v>
      </c>
      <c r="L571" s="0">
        <f>DATEDIF(J571,$L$1,"M")</f>
        <v/>
      </c>
      <c r="M571" s="0">
        <f>IF(L571&lt;18,"新品期",IF(L571&lt;=36,"老品期","衰退期"))</f>
        <v/>
      </c>
    </row>
    <row r="572" ht="15" customFormat="1" customHeight="1" s="36">
      <c r="A572" s="4" t="inlineStr">
        <is>
          <t>WINKEAR-US</t>
        </is>
      </c>
      <c r="B572" s="4" t="inlineStr">
        <is>
          <t>Winkear美国站</t>
        </is>
      </c>
      <c r="C572" s="4">
        <f>B572&amp;D572</f>
        <v/>
      </c>
      <c r="D572" s="4" t="inlineStr">
        <is>
          <t>KSD01-BN</t>
        </is>
      </c>
      <c r="E572" s="4" t="inlineStr">
        <is>
          <t>490F0001BN3</t>
        </is>
      </c>
      <c r="F572" s="4" t="inlineStr">
        <is>
          <t>皂液器拉丝封油</t>
        </is>
      </c>
      <c r="G572" s="4" t="inlineStr">
        <is>
          <t>吕凯烨</t>
        </is>
      </c>
      <c r="H572" s="4" t="inlineStr">
        <is>
          <t>厨房品线</t>
        </is>
      </c>
      <c r="I572" s="12" t="inlineStr">
        <is>
          <t>否</t>
        </is>
      </c>
      <c r="J572" s="34" t="n">
        <v>45117</v>
      </c>
      <c r="K572" s="34" t="n">
        <v>45171</v>
      </c>
      <c r="L572" s="0">
        <f>DATEDIF(J572,$L$1,"M")</f>
        <v/>
      </c>
      <c r="M572" s="0">
        <f>IF(L572&lt;18,"新品期",IF(L572&lt;=36,"老品期","衰退期"))</f>
        <v/>
      </c>
    </row>
    <row r="573" ht="15" customFormat="1" customHeight="1" s="36">
      <c r="A573" s="4" t="inlineStr">
        <is>
          <t>WINKEAR-US</t>
        </is>
      </c>
      <c r="B573" s="4" t="inlineStr">
        <is>
          <t>Winkear美国站</t>
        </is>
      </c>
      <c r="C573" s="4">
        <f>B573&amp;D573</f>
        <v/>
      </c>
      <c r="D573" s="4" t="inlineStr">
        <is>
          <t>KSD01-CP</t>
        </is>
      </c>
      <c r="E573" s="4" t="inlineStr">
        <is>
          <t>490F0022CP1</t>
        </is>
      </c>
      <c r="F573" s="4" t="inlineStr">
        <is>
          <t>皂液器铬</t>
        </is>
      </c>
      <c r="G573" s="4" t="inlineStr">
        <is>
          <t>吕凯烨</t>
        </is>
      </c>
      <c r="H573" s="4" t="inlineStr">
        <is>
          <t>厨房品线</t>
        </is>
      </c>
      <c r="I573" s="12" t="inlineStr">
        <is>
          <t>否</t>
        </is>
      </c>
      <c r="J573" s="34" t="n">
        <v>45117</v>
      </c>
      <c r="K573" s="34" t="n">
        <v>45171</v>
      </c>
      <c r="L573" s="0">
        <f>DATEDIF(J573,$L$1,"M")</f>
        <v/>
      </c>
      <c r="M573" s="0">
        <f>IF(L573&lt;18,"新品期",IF(L573&lt;=36,"老品期","衰退期"))</f>
        <v/>
      </c>
    </row>
    <row r="574" ht="15" customFormat="1" customHeight="1" s="36">
      <c r="A574" s="4" t="inlineStr">
        <is>
          <t>WINKEAR-US</t>
        </is>
      </c>
      <c r="B574" s="4" t="inlineStr">
        <is>
          <t>Winkear美国站</t>
        </is>
      </c>
      <c r="C574" s="4">
        <f>B574&amp;D574</f>
        <v/>
      </c>
      <c r="D574" s="4" t="inlineStr">
        <is>
          <t>KSD01-ORB</t>
        </is>
      </c>
      <c r="E574" s="4" t="inlineStr">
        <is>
          <t>490F0001OB1</t>
        </is>
      </c>
      <c r="F574" s="4" t="inlineStr">
        <is>
          <t>皂液器拉丝古铜色</t>
        </is>
      </c>
      <c r="G574" s="4" t="inlineStr">
        <is>
          <t>吕凯烨</t>
        </is>
      </c>
      <c r="H574" s="4" t="inlineStr">
        <is>
          <t>厨房品线</t>
        </is>
      </c>
      <c r="I574" s="12" t="inlineStr">
        <is>
          <t>否</t>
        </is>
      </c>
      <c r="J574" s="34" t="n">
        <v>45117</v>
      </c>
      <c r="K574" s="34" t="n">
        <v>45171</v>
      </c>
      <c r="L574" s="0">
        <f>DATEDIF(J574,$L$1,"M")</f>
        <v/>
      </c>
      <c r="M574" s="0">
        <f>IF(L574&lt;18,"新品期",IF(L574&lt;=36,"老品期","衰退期"))</f>
        <v/>
      </c>
    </row>
    <row r="575" ht="15" customFormat="1" customHeight="1" s="36">
      <c r="A575" s="4" t="inlineStr">
        <is>
          <t>KZ-liu-US</t>
        </is>
      </c>
      <c r="B575" s="4" t="inlineStr">
        <is>
          <t>Kruzoo美国站</t>
        </is>
      </c>
      <c r="C575" s="4">
        <f>B575&amp;D575</f>
        <v/>
      </c>
      <c r="D575" s="4" t="inlineStr">
        <is>
          <t>KZ-3002BK-ZZ</t>
        </is>
      </c>
      <c r="E575" s="4" t="inlineStr">
        <is>
          <t>221F3002BK1</t>
        </is>
      </c>
      <c r="F575" s="4" t="inlineStr">
        <is>
          <t>3002三件套缸边浴缸龙头电泳黑</t>
        </is>
      </c>
      <c r="G575" s="4" t="inlineStr">
        <is>
          <t>胡娟娟</t>
        </is>
      </c>
      <c r="H575" s="4" t="inlineStr">
        <is>
          <t>缸边浴缸</t>
        </is>
      </c>
      <c r="I575" s="22" t="inlineStr">
        <is>
          <t>是</t>
        </is>
      </c>
      <c r="J575" s="4" t="inlineStr">
        <is>
          <t>/</t>
        </is>
      </c>
      <c r="K575" s="4" t="inlineStr">
        <is>
          <t>/</t>
        </is>
      </c>
      <c r="L575" s="0">
        <f>DATEDIF(J575,$L$1,"M")</f>
        <v/>
      </c>
      <c r="M575" s="0">
        <f>IF(L575&lt;18,"新品期",IF(L575&lt;=36,"老品期","衰退期"))</f>
        <v/>
      </c>
      <c r="N575" s="15" t="inlineStr">
        <is>
          <t>只是建了链接 没发货的</t>
        </is>
      </c>
    </row>
    <row r="576" ht="15" customFormat="1" customHeight="1" s="36">
      <c r="A576" s="4" t="inlineStr">
        <is>
          <t>KZ-liu-US</t>
        </is>
      </c>
      <c r="B576" s="4" t="inlineStr">
        <is>
          <t>Kruzoo美国站</t>
        </is>
      </c>
      <c r="C576" s="4">
        <f>B576&amp;D576</f>
        <v/>
      </c>
      <c r="D576" s="4" t="inlineStr">
        <is>
          <t>KZ-3002CP-ZZ</t>
        </is>
      </c>
      <c r="E576" s="4" t="inlineStr">
        <is>
          <t>221F3002CP1</t>
        </is>
      </c>
      <c r="F576" s="4" t="inlineStr">
        <is>
          <t>3002三件套缸边浴缸龙头铬</t>
        </is>
      </c>
      <c r="G576" s="4" t="inlineStr">
        <is>
          <t>胡娟娟</t>
        </is>
      </c>
      <c r="H576" s="4" t="inlineStr">
        <is>
          <t>缸边浴缸</t>
        </is>
      </c>
      <c r="I576" s="22" t="inlineStr">
        <is>
          <t>是</t>
        </is>
      </c>
      <c r="J576" s="4" t="inlineStr">
        <is>
          <t>/</t>
        </is>
      </c>
      <c r="K576" s="4" t="inlineStr">
        <is>
          <t>/</t>
        </is>
      </c>
      <c r="L576" s="0">
        <f>DATEDIF(J576,$L$1,"M")</f>
        <v/>
      </c>
      <c r="M576" s="0">
        <f>IF(L576&lt;18,"新品期",IF(L576&lt;=36,"老品期","衰退期"))</f>
        <v/>
      </c>
      <c r="N576" s="15" t="inlineStr">
        <is>
          <t>只是建了链接 没发货的</t>
        </is>
      </c>
    </row>
    <row r="577" ht="15" customFormat="1" customHeight="1" s="36">
      <c r="A577" s="4" t="inlineStr">
        <is>
          <t>KZ-liu-US</t>
        </is>
      </c>
      <c r="B577" s="4" t="inlineStr">
        <is>
          <t>Kruzoo美国站</t>
        </is>
      </c>
      <c r="C577" s="4">
        <f>B577&amp;D577</f>
        <v/>
      </c>
      <c r="D577" s="4" t="inlineStr">
        <is>
          <t>KZ-9601BG</t>
        </is>
      </c>
      <c r="E577" s="4" t="inlineStr">
        <is>
          <t>110F0096BG1</t>
        </is>
      </c>
      <c r="F577" s="4" t="inlineStr">
        <is>
          <t>96系列矮身单孔正开面盆龙头拉丝钛金封油</t>
        </is>
      </c>
      <c r="G577" s="4" t="inlineStr">
        <is>
          <t>曾志发</t>
        </is>
      </c>
      <c r="H577" s="4" t="inlineStr">
        <is>
          <t>面盆</t>
        </is>
      </c>
      <c r="I577" s="12" t="inlineStr">
        <is>
          <t>是</t>
        </is>
      </c>
      <c r="J577" s="34" t="n">
        <v>45431</v>
      </c>
      <c r="K577" s="34" t="n">
        <v>45431</v>
      </c>
      <c r="L577" s="0">
        <f>DATEDIF(J577,$L$1,"M")</f>
        <v/>
      </c>
      <c r="M577" s="0">
        <f>IF(L577&lt;18,"新品期",IF(L577&lt;=36,"老品期","衰退期"))</f>
        <v/>
      </c>
      <c r="N577" s="36" t="inlineStr">
        <is>
          <t>清完不卖，2025年9月1号以前梁丽梅负责</t>
        </is>
      </c>
    </row>
    <row r="578" ht="15" customFormat="1" customHeight="1" s="36">
      <c r="A578" s="4" t="inlineStr">
        <is>
          <t>KZ-liu-US</t>
        </is>
      </c>
      <c r="B578" s="4" t="inlineStr">
        <is>
          <t>Kruzoo美国站</t>
        </is>
      </c>
      <c r="C578" s="4">
        <f>B578&amp;D578</f>
        <v/>
      </c>
      <c r="D578" s="4" t="inlineStr">
        <is>
          <t>KZ-9601BG-ZZ</t>
        </is>
      </c>
      <c r="E578" s="4" t="inlineStr">
        <is>
          <t>110F0096BG1</t>
        </is>
      </c>
      <c r="F578" s="4" t="inlineStr">
        <is>
          <t>96系列矮身单孔正开面盆龙头拉丝钛金封油</t>
        </is>
      </c>
      <c r="G578" s="4" t="inlineStr">
        <is>
          <t>曾志发</t>
        </is>
      </c>
      <c r="H578" s="4" t="inlineStr">
        <is>
          <t>面盆</t>
        </is>
      </c>
      <c r="I578" s="12" t="inlineStr">
        <is>
          <t>是</t>
        </is>
      </c>
      <c r="J578" s="34" t="n">
        <v>45431</v>
      </c>
      <c r="K578" s="34" t="n">
        <v>45431</v>
      </c>
      <c r="L578" s="0">
        <f>DATEDIF(J578,$L$1,"M")</f>
        <v/>
      </c>
      <c r="M578" s="0">
        <f>IF(L578&lt;18,"新品期",IF(L578&lt;=36,"老品期","衰退期"))</f>
        <v/>
      </c>
      <c r="N578" s="36" t="inlineStr">
        <is>
          <t>清完不卖，2025年9月1号以前梁丽梅负责</t>
        </is>
      </c>
    </row>
    <row r="579" ht="15" customFormat="1" customHeight="1" s="36">
      <c r="A579" s="4" t="inlineStr">
        <is>
          <t>KZ-liu-CA</t>
        </is>
      </c>
      <c r="B579" s="4" t="inlineStr">
        <is>
          <t>Kruzoo加拿大站</t>
        </is>
      </c>
      <c r="C579" s="4">
        <f>B579&amp;D579</f>
        <v/>
      </c>
      <c r="D579" s="4" t="inlineStr">
        <is>
          <t>KZ-9601BG-ZZ</t>
        </is>
      </c>
      <c r="E579" s="4" t="inlineStr">
        <is>
          <t>110F0096BG1</t>
        </is>
      </c>
      <c r="F579" s="4" t="inlineStr">
        <is>
          <t>96系列矮身单孔正开面盆龙头拉丝钛金封油</t>
        </is>
      </c>
      <c r="G579" s="4" t="inlineStr">
        <is>
          <t>曾志发</t>
        </is>
      </c>
      <c r="H579" s="4" t="inlineStr">
        <is>
          <t>面盆</t>
        </is>
      </c>
      <c r="I579" s="12" t="inlineStr">
        <is>
          <t>是</t>
        </is>
      </c>
      <c r="J579" s="34" t="n">
        <v>45431</v>
      </c>
      <c r="K579" s="34" t="n">
        <v>45431</v>
      </c>
      <c r="L579" s="0">
        <f>DATEDIF(J579,$L$1,"M")</f>
        <v/>
      </c>
      <c r="M579" s="0">
        <f>IF(L579&lt;18,"新品期",IF(L579&lt;=36,"老品期","衰退期"))</f>
        <v/>
      </c>
      <c r="N579" s="36" t="inlineStr">
        <is>
          <t>没有运营，2025年9月1号以前梁丽梅负责</t>
        </is>
      </c>
    </row>
    <row r="580" ht="15" customFormat="1" customHeight="1" s="36">
      <c r="A580" s="4" t="inlineStr">
        <is>
          <t>KZ-liu-US</t>
        </is>
      </c>
      <c r="B580" s="4" t="inlineStr">
        <is>
          <t>Kruzoo美国站</t>
        </is>
      </c>
      <c r="C580" s="4">
        <f>B580&amp;D580</f>
        <v/>
      </c>
      <c r="D580" s="4" t="inlineStr">
        <is>
          <t>KZ-9601BK</t>
        </is>
      </c>
      <c r="E580" s="4" t="inlineStr">
        <is>
          <t>110F0096BK1</t>
        </is>
      </c>
      <c r="F580" s="4" t="inlineStr">
        <is>
          <t>96系列矮身单孔正开面盆龙头电泳黑</t>
        </is>
      </c>
      <c r="G580" s="4" t="inlineStr">
        <is>
          <t>曾志发</t>
        </is>
      </c>
      <c r="H580" s="4" t="inlineStr">
        <is>
          <t>面盆</t>
        </is>
      </c>
      <c r="I580" s="12" t="inlineStr">
        <is>
          <t>是</t>
        </is>
      </c>
      <c r="J580" s="34" t="n">
        <v>45431</v>
      </c>
      <c r="K580" s="34" t="n">
        <v>45431</v>
      </c>
      <c r="L580" s="0">
        <f>DATEDIF(J580,$L$1,"M")</f>
        <v/>
      </c>
      <c r="M580" s="0">
        <f>IF(L580&lt;18,"新品期",IF(L580&lt;=36,"老品期","衰退期"))</f>
        <v/>
      </c>
      <c r="N580" s="36" t="inlineStr">
        <is>
          <t>清完不卖，2025年9月1号以前梁丽梅负责</t>
        </is>
      </c>
    </row>
    <row r="581" ht="15" customFormat="1" customHeight="1" s="36">
      <c r="A581" s="4" t="inlineStr">
        <is>
          <t>KZ-liu-US</t>
        </is>
      </c>
      <c r="B581" s="4" t="inlineStr">
        <is>
          <t>Kruzoo美国站</t>
        </is>
      </c>
      <c r="C581" s="4">
        <f>B581&amp;D581</f>
        <v/>
      </c>
      <c r="D581" s="4" t="inlineStr">
        <is>
          <t>KZ-9601BK-ZZ</t>
        </is>
      </c>
      <c r="E581" s="4" t="inlineStr">
        <is>
          <t>110F0096BK1</t>
        </is>
      </c>
      <c r="F581" s="4" t="inlineStr">
        <is>
          <t>96系列矮身单孔正开面盆龙头电泳黑</t>
        </is>
      </c>
      <c r="G581" s="4" t="inlineStr">
        <is>
          <t>曾志发</t>
        </is>
      </c>
      <c r="H581" s="4" t="inlineStr">
        <is>
          <t>面盆</t>
        </is>
      </c>
      <c r="I581" s="12" t="inlineStr">
        <is>
          <t>是</t>
        </is>
      </c>
      <c r="J581" s="34" t="n">
        <v>45431</v>
      </c>
      <c r="K581" s="34" t="n">
        <v>45431</v>
      </c>
      <c r="L581" s="0">
        <f>DATEDIF(J581,$L$1,"M")</f>
        <v/>
      </c>
      <c r="M581" s="0">
        <f>IF(L581&lt;18,"新品期",IF(L581&lt;=36,"老品期","衰退期"))</f>
        <v/>
      </c>
      <c r="N581" s="36" t="inlineStr">
        <is>
          <t>清完不卖，2025年9月1号以前梁丽梅负责</t>
        </is>
      </c>
    </row>
    <row r="582" ht="15" customFormat="1" customHeight="1" s="36">
      <c r="A582" s="4" t="inlineStr">
        <is>
          <t>KZ-liu-US</t>
        </is>
      </c>
      <c r="B582" s="4" t="inlineStr">
        <is>
          <t>Kruzoo美国站</t>
        </is>
      </c>
      <c r="C582" s="4">
        <f>B582&amp;D582</f>
        <v/>
      </c>
      <c r="D582" s="4" t="inlineStr">
        <is>
          <t>KZ-9601BN</t>
        </is>
      </c>
      <c r="E582" s="4" t="inlineStr">
        <is>
          <t>110F0096BN1</t>
        </is>
      </c>
      <c r="F582" s="4" t="inlineStr">
        <is>
          <t>96系列矮身单孔正开面盆龙头拉丝封油</t>
        </is>
      </c>
      <c r="G582" s="4" t="inlineStr">
        <is>
          <t>曾志发</t>
        </is>
      </c>
      <c r="H582" s="4" t="inlineStr">
        <is>
          <t>面盆</t>
        </is>
      </c>
      <c r="I582" s="12" t="inlineStr">
        <is>
          <t>是</t>
        </is>
      </c>
      <c r="J582" s="34" t="n">
        <v>45431</v>
      </c>
      <c r="K582" s="34" t="n">
        <v>45431</v>
      </c>
      <c r="L582" s="0">
        <f>DATEDIF(J582,$L$1,"M")</f>
        <v/>
      </c>
      <c r="M582" s="0">
        <f>IF(L582&lt;18,"新品期",IF(L582&lt;=36,"老品期","衰退期"))</f>
        <v/>
      </c>
      <c r="N582" s="36" t="inlineStr">
        <is>
          <t>清完不卖，2025年9月1号以前梁丽梅负责</t>
        </is>
      </c>
    </row>
    <row r="583" ht="15" customFormat="1" customHeight="1" s="36">
      <c r="A583" s="4" t="inlineStr">
        <is>
          <t>KZ-liu-US</t>
        </is>
      </c>
      <c r="B583" s="4" t="inlineStr">
        <is>
          <t>Kruzoo美国站</t>
        </is>
      </c>
      <c r="C583" s="4">
        <f>B583&amp;D583</f>
        <v/>
      </c>
      <c r="D583" s="4" t="inlineStr">
        <is>
          <t>KZ-9601CP</t>
        </is>
      </c>
      <c r="E583" s="4" t="inlineStr">
        <is>
          <t>110F0096CP1</t>
        </is>
      </c>
      <c r="F583" s="4" t="inlineStr">
        <is>
          <t>96系列矮身单孔正开面盆龙头铬</t>
        </is>
      </c>
      <c r="G583" s="4" t="inlineStr">
        <is>
          <t>曾志发</t>
        </is>
      </c>
      <c r="H583" s="4" t="inlineStr">
        <is>
          <t>面盆</t>
        </is>
      </c>
      <c r="I583" s="12" t="inlineStr">
        <is>
          <t>是</t>
        </is>
      </c>
      <c r="J583" s="34" t="n">
        <v>45431</v>
      </c>
      <c r="K583" s="34" t="n">
        <v>45431</v>
      </c>
      <c r="L583" s="0">
        <f>DATEDIF(J583,$L$1,"M")</f>
        <v/>
      </c>
      <c r="M583" s="0">
        <f>IF(L583&lt;18,"新品期",IF(L583&lt;=36,"老品期","衰退期"))</f>
        <v/>
      </c>
      <c r="N583" s="36" t="inlineStr">
        <is>
          <t>清完不卖，2025年9月1号以前梁丽梅负责</t>
        </is>
      </c>
    </row>
    <row r="584" ht="15" customFormat="1" customHeight="1" s="36">
      <c r="A584" s="4" t="inlineStr">
        <is>
          <t>KZ-liu-US</t>
        </is>
      </c>
      <c r="B584" s="4" t="inlineStr">
        <is>
          <t>Kruzoo美国站</t>
        </is>
      </c>
      <c r="C584" s="4">
        <f>B584&amp;D584</f>
        <v/>
      </c>
      <c r="D584" s="4" t="inlineStr">
        <is>
          <t>KZ-9601ORB</t>
        </is>
      </c>
      <c r="E584" s="4" t="inlineStr">
        <is>
          <t>110F0096OB1</t>
        </is>
      </c>
      <c r="F584" s="4" t="inlineStr">
        <is>
          <t>96系列矮身单孔正开面盆龙头 拉丝古铜色</t>
        </is>
      </c>
      <c r="G584" s="4" t="inlineStr">
        <is>
          <t>曾志发</t>
        </is>
      </c>
      <c r="H584" s="4" t="inlineStr">
        <is>
          <t>面盆</t>
        </is>
      </c>
      <c r="I584" s="12" t="inlineStr">
        <is>
          <t>是</t>
        </is>
      </c>
      <c r="J584" s="34" t="n">
        <v>45431</v>
      </c>
      <c r="K584" s="34" t="n">
        <v>45431</v>
      </c>
      <c r="L584" s="0">
        <f>DATEDIF(J584,$L$1,"M")</f>
        <v/>
      </c>
      <c r="M584" s="0">
        <f>IF(L584&lt;18,"新品期",IF(L584&lt;=36,"老品期","衰退期"))</f>
        <v/>
      </c>
      <c r="N584" s="36" t="inlineStr">
        <is>
          <t>清完不卖，2025年9月1号以前梁丽梅负责</t>
        </is>
      </c>
    </row>
    <row r="585" ht="15" customFormat="1" customHeight="1" s="36">
      <c r="A585" s="4" t="inlineStr">
        <is>
          <t>KZ-liu-US</t>
        </is>
      </c>
      <c r="B585" s="4" t="inlineStr">
        <is>
          <t>Kruzoo美国站</t>
        </is>
      </c>
      <c r="C585" s="4">
        <f>B585&amp;D585</f>
        <v/>
      </c>
      <c r="D585" s="4" t="inlineStr">
        <is>
          <t>KZ-9604BG</t>
        </is>
      </c>
      <c r="E585" s="4" t="inlineStr">
        <is>
          <t>140F0096BG1</t>
        </is>
      </c>
      <c r="F585" s="4" t="inlineStr">
        <is>
          <t>96系列分体面盆龙头拉丝钛金封油</t>
        </is>
      </c>
      <c r="G585" s="4" t="inlineStr">
        <is>
          <t>曾志发</t>
        </is>
      </c>
      <c r="H585" s="4" t="inlineStr">
        <is>
          <t>面盆</t>
        </is>
      </c>
      <c r="I585" s="12" t="inlineStr">
        <is>
          <t>是</t>
        </is>
      </c>
      <c r="J585" s="34" t="n">
        <v>45432</v>
      </c>
      <c r="K585" s="34" t="n">
        <v>45432</v>
      </c>
      <c r="L585" s="0">
        <f>DATEDIF(J585,$L$1,"M")</f>
        <v/>
      </c>
      <c r="M585" s="0">
        <f>IF(L585&lt;18,"新品期",IF(L585&lt;=36,"老品期","衰退期"))</f>
        <v/>
      </c>
      <c r="N585" s="36" t="inlineStr">
        <is>
          <t>清完不卖，2025年9月1号以前梁丽梅负责</t>
        </is>
      </c>
    </row>
    <row r="586" ht="15" customFormat="1" customHeight="1" s="36">
      <c r="A586" s="4" t="inlineStr">
        <is>
          <t>KZ-liu-US</t>
        </is>
      </c>
      <c r="B586" s="4" t="inlineStr">
        <is>
          <t>Kruzoo美国站</t>
        </is>
      </c>
      <c r="C586" s="4">
        <f>B586&amp;D586</f>
        <v/>
      </c>
      <c r="D586" s="4" t="inlineStr">
        <is>
          <t>KZ-9604BG-ZZ</t>
        </is>
      </c>
      <c r="E586" s="4" t="inlineStr">
        <is>
          <t>140F0096BG1</t>
        </is>
      </c>
      <c r="F586" s="4" t="inlineStr">
        <is>
          <t>96系列分体面盆龙头拉丝钛金封油</t>
        </is>
      </c>
      <c r="G586" s="4" t="inlineStr">
        <is>
          <t>曾志发</t>
        </is>
      </c>
      <c r="H586" s="4" t="inlineStr">
        <is>
          <t>面盆</t>
        </is>
      </c>
      <c r="I586" s="12" t="inlineStr">
        <is>
          <t>是</t>
        </is>
      </c>
      <c r="J586" s="34" t="n">
        <v>45432</v>
      </c>
      <c r="K586" s="34" t="n">
        <v>45432</v>
      </c>
      <c r="L586" s="0">
        <f>DATEDIF(J586,$L$1,"M")</f>
        <v/>
      </c>
      <c r="M586" s="0">
        <f>IF(L586&lt;18,"新品期",IF(L586&lt;=36,"老品期","衰退期"))</f>
        <v/>
      </c>
      <c r="N586" s="36" t="inlineStr">
        <is>
          <t>清完不卖，2025年9月1号以前梁丽梅负责</t>
        </is>
      </c>
    </row>
    <row r="587" ht="15" customFormat="1" customHeight="1" s="36">
      <c r="A587" s="4" t="inlineStr">
        <is>
          <t>KZ-liu-US</t>
        </is>
      </c>
      <c r="B587" s="4" t="inlineStr">
        <is>
          <t>Kruzoo美国站</t>
        </is>
      </c>
      <c r="C587" s="4">
        <f>B587&amp;D587</f>
        <v/>
      </c>
      <c r="D587" s="4" t="inlineStr">
        <is>
          <t>KZ-9604BK</t>
        </is>
      </c>
      <c r="E587" s="4" t="inlineStr">
        <is>
          <t>140F0096BK1</t>
        </is>
      </c>
      <c r="F587" s="4" t="inlineStr">
        <is>
          <t>96系列分体面盆龙头电泳黑</t>
        </is>
      </c>
      <c r="G587" s="4" t="inlineStr">
        <is>
          <t>曾志发</t>
        </is>
      </c>
      <c r="H587" s="4" t="inlineStr">
        <is>
          <t>面盆</t>
        </is>
      </c>
      <c r="I587" s="12" t="inlineStr">
        <is>
          <t>是</t>
        </is>
      </c>
      <c r="J587" s="34" t="n">
        <v>45432</v>
      </c>
      <c r="K587" s="34" t="n">
        <v>45432</v>
      </c>
      <c r="L587" s="0">
        <f>DATEDIF(J587,$L$1,"M")</f>
        <v/>
      </c>
      <c r="M587" s="0">
        <f>IF(L587&lt;18,"新品期",IF(L587&lt;=36,"老品期","衰退期"))</f>
        <v/>
      </c>
      <c r="N587" s="36" t="inlineStr">
        <is>
          <t>清完不卖，2025年9月1号以前梁丽梅负责</t>
        </is>
      </c>
    </row>
    <row r="588" ht="15" customFormat="1" customHeight="1" s="36">
      <c r="A588" s="4" t="inlineStr">
        <is>
          <t>KZ-liu-US</t>
        </is>
      </c>
      <c r="B588" s="4" t="inlineStr">
        <is>
          <t>Kruzoo美国站</t>
        </is>
      </c>
      <c r="C588" s="4">
        <f>B588&amp;D588</f>
        <v/>
      </c>
      <c r="D588" s="4" t="inlineStr">
        <is>
          <t>KZ-9604BK-ZZ</t>
        </is>
      </c>
      <c r="E588" s="4" t="inlineStr">
        <is>
          <t>140F0096BK1</t>
        </is>
      </c>
      <c r="F588" s="4" t="inlineStr">
        <is>
          <t>96系列分体面盆龙头电泳黑</t>
        </is>
      </c>
      <c r="G588" s="4" t="inlineStr">
        <is>
          <t>曾志发</t>
        </is>
      </c>
      <c r="H588" s="4" t="inlineStr">
        <is>
          <t>面盆</t>
        </is>
      </c>
      <c r="I588" s="12" t="inlineStr">
        <is>
          <t>是</t>
        </is>
      </c>
      <c r="J588" s="34" t="n">
        <v>45432</v>
      </c>
      <c r="K588" s="34" t="n">
        <v>45432</v>
      </c>
      <c r="L588" s="0">
        <f>DATEDIF(J588,$L$1,"M")</f>
        <v/>
      </c>
      <c r="M588" s="0">
        <f>IF(L588&lt;18,"新品期",IF(L588&lt;=36,"老品期","衰退期"))</f>
        <v/>
      </c>
      <c r="N588" s="36" t="inlineStr">
        <is>
          <t>清完不卖，2025年9月1号以前梁丽梅负责</t>
        </is>
      </c>
    </row>
    <row r="589" ht="15" customFormat="1" customHeight="1" s="36">
      <c r="A589" s="4" t="inlineStr">
        <is>
          <t>KZ-liu-US</t>
        </is>
      </c>
      <c r="B589" s="4" t="inlineStr">
        <is>
          <t>Kruzoo美国站</t>
        </is>
      </c>
      <c r="C589" s="4">
        <f>B589&amp;D589</f>
        <v/>
      </c>
      <c r="D589" s="4" t="inlineStr">
        <is>
          <t>KZ-9604BN</t>
        </is>
      </c>
      <c r="E589" s="4" t="inlineStr">
        <is>
          <t>140F0096BN1</t>
        </is>
      </c>
      <c r="F589" s="4" t="inlineStr">
        <is>
          <t>96系列分体面盆龙头拉丝封油</t>
        </is>
      </c>
      <c r="G589" s="4" t="inlineStr">
        <is>
          <t>曾志发</t>
        </is>
      </c>
      <c r="H589" s="4" t="inlineStr">
        <is>
          <t>面盆</t>
        </is>
      </c>
      <c r="I589" s="12" t="inlineStr">
        <is>
          <t>是</t>
        </is>
      </c>
      <c r="J589" s="34" t="n">
        <v>45432</v>
      </c>
      <c r="K589" s="34" t="n">
        <v>45432</v>
      </c>
      <c r="L589" s="0">
        <f>DATEDIF(J589,$L$1,"M")</f>
        <v/>
      </c>
      <c r="M589" s="0">
        <f>IF(L589&lt;18,"新品期",IF(L589&lt;=36,"老品期","衰退期"))</f>
        <v/>
      </c>
      <c r="N589" s="36" t="inlineStr">
        <is>
          <t>清完不卖，2025年9月1号以前梁丽梅负责</t>
        </is>
      </c>
    </row>
    <row r="590" ht="15" customFormat="1" customHeight="1" s="36">
      <c r="A590" s="4" t="inlineStr">
        <is>
          <t>KZ-liu-US</t>
        </is>
      </c>
      <c r="B590" s="4" t="inlineStr">
        <is>
          <t>Kruzoo美国站</t>
        </is>
      </c>
      <c r="C590" s="4">
        <f>B590&amp;D590</f>
        <v/>
      </c>
      <c r="D590" s="4" t="inlineStr">
        <is>
          <t>KZ-9604CP</t>
        </is>
      </c>
      <c r="E590" s="4" t="inlineStr">
        <is>
          <t>140F0096CP1</t>
        </is>
      </c>
      <c r="F590" s="4" t="inlineStr">
        <is>
          <t>96系列分体面盆龙头铬</t>
        </is>
      </c>
      <c r="G590" s="4" t="inlineStr">
        <is>
          <t>曾志发</t>
        </is>
      </c>
      <c r="H590" s="4" t="inlineStr">
        <is>
          <t>面盆</t>
        </is>
      </c>
      <c r="I590" s="12" t="inlineStr">
        <is>
          <t>是</t>
        </is>
      </c>
      <c r="J590" s="34" t="n">
        <v>45432</v>
      </c>
      <c r="K590" s="34" t="n">
        <v>45432</v>
      </c>
      <c r="L590" s="0">
        <f>DATEDIF(J590,$L$1,"M")</f>
        <v/>
      </c>
      <c r="M590" s="0">
        <f>IF(L590&lt;18,"新品期",IF(L590&lt;=36,"老品期","衰退期"))</f>
        <v/>
      </c>
      <c r="N590" s="36" t="inlineStr">
        <is>
          <t>清完不卖，2025年9月1号以前梁丽梅负责</t>
        </is>
      </c>
    </row>
    <row r="591" ht="15" customFormat="1" customHeight="1" s="36">
      <c r="A591" s="4" t="inlineStr">
        <is>
          <t>KZ-liu-US</t>
        </is>
      </c>
      <c r="B591" s="4" t="inlineStr">
        <is>
          <t>Kruzoo美国站</t>
        </is>
      </c>
      <c r="C591" s="4">
        <f>B591&amp;D591</f>
        <v/>
      </c>
      <c r="D591" s="4" t="inlineStr">
        <is>
          <t>KZ-9604ORB</t>
        </is>
      </c>
      <c r="E591" s="4" t="inlineStr">
        <is>
          <t>140F0096OB1</t>
        </is>
      </c>
      <c r="F591" s="4" t="inlineStr">
        <is>
          <t>96系列分体面盆龙头 拉丝古铜色</t>
        </is>
      </c>
      <c r="G591" s="4" t="inlineStr">
        <is>
          <t>曾志发</t>
        </is>
      </c>
      <c r="H591" s="4" t="inlineStr">
        <is>
          <t>面盆</t>
        </is>
      </c>
      <c r="I591" s="12" t="inlineStr">
        <is>
          <t>是</t>
        </is>
      </c>
      <c r="J591" s="34" t="n">
        <v>45432</v>
      </c>
      <c r="K591" s="34" t="n">
        <v>45432</v>
      </c>
      <c r="L591" s="0">
        <f>DATEDIF(J591,$L$1,"M")</f>
        <v/>
      </c>
      <c r="M591" s="0">
        <f>IF(L591&lt;18,"新品期",IF(L591&lt;=36,"老品期","衰退期"))</f>
        <v/>
      </c>
      <c r="N591" s="36" t="inlineStr">
        <is>
          <t>清完不卖，2025年9月1号以前梁丽梅负责</t>
        </is>
      </c>
    </row>
    <row r="592" ht="15" customFormat="1" customHeight="1" s="36">
      <c r="A592" s="4" t="inlineStr">
        <is>
          <t>KZ-liu-US</t>
        </is>
      </c>
      <c r="B592" s="4" t="inlineStr">
        <is>
          <t>Kruzoo美国站</t>
        </is>
      </c>
      <c r="C592" s="4">
        <f>B592&amp;D592</f>
        <v/>
      </c>
      <c r="D592" s="4" t="inlineStr">
        <is>
          <t>KZ-9607BG</t>
        </is>
      </c>
      <c r="E592" s="4" t="inlineStr">
        <is>
          <t>221F0096BG1</t>
        </is>
      </c>
      <c r="F592" s="4" t="inlineStr">
        <is>
          <t>96系列三件套缸边浴缸龙头拉丝钛金封油</t>
        </is>
      </c>
      <c r="G592" s="4" t="inlineStr">
        <is>
          <t>胡娟娟</t>
        </is>
      </c>
      <c r="H592" s="4" t="inlineStr">
        <is>
          <t>缸边浴缸</t>
        </is>
      </c>
      <c r="I592" s="22" t="inlineStr">
        <is>
          <t>是</t>
        </is>
      </c>
      <c r="J592" s="34" t="n">
        <v>45581</v>
      </c>
      <c r="K592" s="34" t="n">
        <v>45581</v>
      </c>
      <c r="L592" s="0">
        <f>DATEDIF(J592,$L$1,"M")</f>
        <v/>
      </c>
      <c r="M592" s="0">
        <f>IF(L592&lt;18,"新品期",IF(L592&lt;=36,"老品期","衰退期"))</f>
        <v/>
      </c>
    </row>
    <row r="593" ht="15" customFormat="1" customHeight="1" s="36">
      <c r="A593" s="4" t="inlineStr">
        <is>
          <t>KZ-liu-US</t>
        </is>
      </c>
      <c r="B593" s="4" t="inlineStr">
        <is>
          <t>Kruzoo美国站</t>
        </is>
      </c>
      <c r="C593" s="4">
        <f>B593&amp;D593</f>
        <v/>
      </c>
      <c r="D593" s="4" t="inlineStr">
        <is>
          <t>KZ-9607BG-ZZ</t>
        </is>
      </c>
      <c r="E593" s="4" t="inlineStr">
        <is>
          <t>221F0096BG1</t>
        </is>
      </c>
      <c r="F593" s="4" t="inlineStr">
        <is>
          <t>96系列三件套缸边浴缸龙头拉丝钛金封油</t>
        </is>
      </c>
      <c r="G593" s="4" t="inlineStr">
        <is>
          <t>胡娟娟</t>
        </is>
      </c>
      <c r="H593" s="4" t="inlineStr">
        <is>
          <t>缸边浴缸</t>
        </is>
      </c>
      <c r="I593" s="22" t="inlineStr">
        <is>
          <t>是</t>
        </is>
      </c>
      <c r="J593" s="34" t="n">
        <v>45581</v>
      </c>
      <c r="K593" s="34" t="n">
        <v>45581</v>
      </c>
      <c r="L593" s="0">
        <f>DATEDIF(J593,$L$1,"M")</f>
        <v/>
      </c>
      <c r="M593" s="0">
        <f>IF(L593&lt;18,"新品期",IF(L593&lt;=36,"老品期","衰退期"))</f>
        <v/>
      </c>
    </row>
    <row r="594" ht="15" customFormat="1" customHeight="1" s="36">
      <c r="A594" s="4" t="inlineStr">
        <is>
          <t>KZ-liu-US</t>
        </is>
      </c>
      <c r="B594" s="4" t="inlineStr">
        <is>
          <t>Kruzoo美国站</t>
        </is>
      </c>
      <c r="C594" s="4">
        <f>B594&amp;D594</f>
        <v/>
      </c>
      <c r="D594" s="4" t="inlineStr">
        <is>
          <t>KZ-9607BK</t>
        </is>
      </c>
      <c r="E594" s="4" t="inlineStr">
        <is>
          <t>221F0096BK1</t>
        </is>
      </c>
      <c r="F594" s="4" t="inlineStr">
        <is>
          <t>96系列三件套缸边浴缸龙头电泳黑</t>
        </is>
      </c>
      <c r="G594" s="4" t="inlineStr">
        <is>
          <t>胡娟娟</t>
        </is>
      </c>
      <c r="H594" s="4" t="inlineStr">
        <is>
          <t>缸边浴缸</t>
        </is>
      </c>
      <c r="I594" s="22" t="inlineStr">
        <is>
          <t>是</t>
        </is>
      </c>
      <c r="J594" s="34" t="n">
        <v>45581</v>
      </c>
      <c r="K594" s="34" t="n">
        <v>45581</v>
      </c>
      <c r="L594" s="0">
        <f>DATEDIF(J594,$L$1,"M")</f>
        <v/>
      </c>
      <c r="M594" s="0">
        <f>IF(L594&lt;18,"新品期",IF(L594&lt;=36,"老品期","衰退期"))</f>
        <v/>
      </c>
    </row>
    <row r="595" ht="15" customFormat="1" customHeight="1" s="36">
      <c r="A595" s="4" t="inlineStr">
        <is>
          <t>KZ-liu-US</t>
        </is>
      </c>
      <c r="B595" s="4" t="inlineStr">
        <is>
          <t>Kruzoo美国站</t>
        </is>
      </c>
      <c r="C595" s="4">
        <f>B595&amp;D595</f>
        <v/>
      </c>
      <c r="D595" s="4" t="inlineStr">
        <is>
          <t>KZ-9607BK-ZZ</t>
        </is>
      </c>
      <c r="E595" s="4" t="inlineStr">
        <is>
          <t>221F0096BK1</t>
        </is>
      </c>
      <c r="F595" s="4" t="inlineStr">
        <is>
          <t>96系列三件套缸边浴缸龙头电泳黑</t>
        </is>
      </c>
      <c r="G595" s="4" t="inlineStr">
        <is>
          <t>胡娟娟</t>
        </is>
      </c>
      <c r="H595" s="4" t="inlineStr">
        <is>
          <t>缸边浴缸</t>
        </is>
      </c>
      <c r="I595" s="22" t="inlineStr">
        <is>
          <t>是</t>
        </is>
      </c>
      <c r="J595" s="34" t="n">
        <v>45581</v>
      </c>
      <c r="K595" s="34" t="n">
        <v>45581</v>
      </c>
      <c r="L595" s="0">
        <f>DATEDIF(J595,$L$1,"M")</f>
        <v/>
      </c>
      <c r="M595" s="0">
        <f>IF(L595&lt;18,"新品期",IF(L595&lt;=36,"老品期","衰退期"))</f>
        <v/>
      </c>
    </row>
    <row r="596" ht="15" customFormat="1" customHeight="1" s="36">
      <c r="A596" s="4" t="inlineStr">
        <is>
          <t>KZ-liu-CA</t>
        </is>
      </c>
      <c r="B596" s="4" t="inlineStr">
        <is>
          <t>Kruzoo加拿大站</t>
        </is>
      </c>
      <c r="C596" s="4">
        <f>B596&amp;D596</f>
        <v/>
      </c>
      <c r="D596" s="4" t="inlineStr">
        <is>
          <t>KZ-9607BK-ZZ</t>
        </is>
      </c>
      <c r="E596" s="4" t="inlineStr">
        <is>
          <t>221F0096BK1</t>
        </is>
      </c>
      <c r="F596" s="4" t="inlineStr">
        <is>
          <t>96系列三件套缸边浴缸龙头电泳黑</t>
        </is>
      </c>
      <c r="G596" s="4" t="inlineStr">
        <is>
          <t>胡娟娟</t>
        </is>
      </c>
      <c r="H596" s="4" t="inlineStr">
        <is>
          <t>缸边浴缸</t>
        </is>
      </c>
      <c r="I596" s="22" t="inlineStr">
        <is>
          <t>是</t>
        </is>
      </c>
      <c r="J596" s="34" t="n">
        <v>45581</v>
      </c>
      <c r="K596" s="34" t="n">
        <v>45581</v>
      </c>
      <c r="L596" s="0">
        <f>DATEDIF(J596,$L$1,"M")</f>
        <v/>
      </c>
      <c r="M596" s="0">
        <f>IF(L596&lt;18,"新品期",IF(L596&lt;=36,"老品期","衰退期"))</f>
        <v/>
      </c>
    </row>
    <row r="597" ht="15" customFormat="1" customHeight="1" s="36">
      <c r="A597" s="4" t="inlineStr">
        <is>
          <t>KZ-liu-US</t>
        </is>
      </c>
      <c r="B597" s="4" t="inlineStr">
        <is>
          <t>Kruzoo美国站</t>
        </is>
      </c>
      <c r="C597" s="4">
        <f>B597&amp;D597</f>
        <v/>
      </c>
      <c r="D597" s="4" t="inlineStr">
        <is>
          <t>KZ-9607BN</t>
        </is>
      </c>
      <c r="E597" s="4" t="inlineStr">
        <is>
          <t>221F0096BN1</t>
        </is>
      </c>
      <c r="F597" s="4" t="inlineStr">
        <is>
          <t>96系列三件套缸边浴缸龙头拉丝封油</t>
        </is>
      </c>
      <c r="G597" s="4" t="inlineStr">
        <is>
          <t>胡娟娟</t>
        </is>
      </c>
      <c r="H597" s="4" t="inlineStr">
        <is>
          <t>缸边浴缸</t>
        </is>
      </c>
      <c r="I597" s="22" t="inlineStr">
        <is>
          <t>是</t>
        </is>
      </c>
      <c r="J597" s="34" t="n">
        <v>45581</v>
      </c>
      <c r="K597" s="34" t="n">
        <v>45581</v>
      </c>
      <c r="L597" s="0">
        <f>DATEDIF(J597,$L$1,"M")</f>
        <v/>
      </c>
      <c r="M597" s="0">
        <f>IF(L597&lt;18,"新品期",IF(L597&lt;=36,"老品期","衰退期"))</f>
        <v/>
      </c>
    </row>
    <row r="598" ht="15" customFormat="1" customHeight="1" s="36">
      <c r="A598" s="4" t="inlineStr">
        <is>
          <t>KZ-liu-CA</t>
        </is>
      </c>
      <c r="B598" s="4" t="inlineStr">
        <is>
          <t>Kruzoo加拿大站</t>
        </is>
      </c>
      <c r="C598" s="4">
        <f>B598&amp;D598</f>
        <v/>
      </c>
      <c r="D598" s="4" t="inlineStr">
        <is>
          <t>KZ-9607BN</t>
        </is>
      </c>
      <c r="E598" s="4" t="inlineStr">
        <is>
          <t>221F0096BN1</t>
        </is>
      </c>
      <c r="F598" s="4" t="inlineStr">
        <is>
          <t>96系列三件套缸边浴缸龙头拉丝封油</t>
        </is>
      </c>
      <c r="G598" s="4" t="inlineStr">
        <is>
          <t>胡娟娟</t>
        </is>
      </c>
      <c r="H598" s="4" t="inlineStr">
        <is>
          <t>缸边浴缸</t>
        </is>
      </c>
      <c r="I598" s="22" t="inlineStr">
        <is>
          <t>是</t>
        </is>
      </c>
      <c r="J598" s="34" t="n">
        <v>45581</v>
      </c>
      <c r="K598" s="34" t="n">
        <v>45581</v>
      </c>
      <c r="L598" s="0">
        <f>DATEDIF(J598,$L$1,"M")</f>
        <v/>
      </c>
      <c r="M598" s="0">
        <f>IF(L598&lt;18,"新品期",IF(L598&lt;=36,"老品期","衰退期"))</f>
        <v/>
      </c>
    </row>
    <row r="599" ht="15" customFormat="1" customHeight="1" s="36">
      <c r="A599" s="4" t="inlineStr">
        <is>
          <t>KZ-liu-US</t>
        </is>
      </c>
      <c r="B599" s="4" t="inlineStr">
        <is>
          <t>Kruzoo美国站</t>
        </is>
      </c>
      <c r="C599" s="4">
        <f>B599&amp;D599</f>
        <v/>
      </c>
      <c r="D599" s="4" t="inlineStr">
        <is>
          <t>KZ-9607CP</t>
        </is>
      </c>
      <c r="E599" s="4" t="inlineStr">
        <is>
          <t>221F0096CP1</t>
        </is>
      </c>
      <c r="F599" s="4" t="inlineStr">
        <is>
          <t>96系列三件套缸边浴缸龙头铬</t>
        </is>
      </c>
      <c r="G599" s="4" t="inlineStr">
        <is>
          <t>胡娟娟</t>
        </is>
      </c>
      <c r="H599" s="4" t="inlineStr">
        <is>
          <t>缸边浴缸</t>
        </is>
      </c>
      <c r="I599" s="22" t="inlineStr">
        <is>
          <t>是</t>
        </is>
      </c>
      <c r="J599" s="34" t="n">
        <v>45581</v>
      </c>
      <c r="K599" s="34" t="n">
        <v>45581</v>
      </c>
      <c r="L599" s="0">
        <f>DATEDIF(J599,$L$1,"M")</f>
        <v/>
      </c>
      <c r="M599" s="0">
        <f>IF(L599&lt;18,"新品期",IF(L599&lt;=36,"老品期","衰退期"))</f>
        <v/>
      </c>
    </row>
    <row r="600" ht="15" customFormat="1" customHeight="1" s="36">
      <c r="A600" s="4" t="inlineStr">
        <is>
          <t>KZ-liu-CA</t>
        </is>
      </c>
      <c r="B600" s="4" t="inlineStr">
        <is>
          <t>Kruzoo加拿大站</t>
        </is>
      </c>
      <c r="C600" s="4">
        <f>B600&amp;D600</f>
        <v/>
      </c>
      <c r="D600" s="4" t="inlineStr">
        <is>
          <t>KZ-9607CP</t>
        </is>
      </c>
      <c r="E600" s="4" t="inlineStr">
        <is>
          <t>221F0096CP1</t>
        </is>
      </c>
      <c r="F600" s="4" t="inlineStr">
        <is>
          <t>96系列三件套缸边浴缸龙头铬</t>
        </is>
      </c>
      <c r="G600" s="4" t="inlineStr">
        <is>
          <t>胡娟娟</t>
        </is>
      </c>
      <c r="H600" s="4" t="inlineStr">
        <is>
          <t>缸边浴缸</t>
        </is>
      </c>
      <c r="I600" s="22" t="inlineStr">
        <is>
          <t>是</t>
        </is>
      </c>
      <c r="J600" s="34" t="n">
        <v>45581</v>
      </c>
      <c r="K600" s="34" t="n">
        <v>45581</v>
      </c>
      <c r="L600" s="0">
        <f>DATEDIF(J600,$L$1,"M")</f>
        <v/>
      </c>
      <c r="M600" s="0">
        <f>IF(L600&lt;18,"新品期",IF(L600&lt;=36,"老品期","衰退期"))</f>
        <v/>
      </c>
    </row>
    <row r="601" ht="15" customFormat="1" customHeight="1" s="36">
      <c r="A601" s="4" t="inlineStr">
        <is>
          <t>KZ-liu-US</t>
        </is>
      </c>
      <c r="B601" s="4" t="inlineStr">
        <is>
          <t>Kruzoo美国站</t>
        </is>
      </c>
      <c r="C601" s="4">
        <f>B601&amp;D601</f>
        <v/>
      </c>
      <c r="D601" s="4" t="inlineStr">
        <is>
          <t>KZ-9607ORB</t>
        </is>
      </c>
      <c r="E601" s="4" t="inlineStr">
        <is>
          <t>221F0096OB1</t>
        </is>
      </c>
      <c r="F601" s="4" t="inlineStr">
        <is>
          <t>96系列三件套缸边浴缸龙头 拉丝古铜色</t>
        </is>
      </c>
      <c r="G601" s="4" t="inlineStr">
        <is>
          <t>胡娟娟</t>
        </is>
      </c>
      <c r="H601" s="4" t="inlineStr">
        <is>
          <t>缸边浴缸</t>
        </is>
      </c>
      <c r="I601" s="22" t="inlineStr">
        <is>
          <t>是</t>
        </is>
      </c>
      <c r="J601" s="34" t="n">
        <v>45581</v>
      </c>
      <c r="K601" s="34" t="n">
        <v>45581</v>
      </c>
      <c r="L601" s="0">
        <f>DATEDIF(J601,$L$1,"M")</f>
        <v/>
      </c>
      <c r="M601" s="0">
        <f>IF(L601&lt;18,"新品期",IF(L601&lt;=36,"老品期","衰退期"))</f>
        <v/>
      </c>
    </row>
    <row r="602" ht="15" customFormat="1" customHeight="1" s="36">
      <c r="A602" s="4" t="inlineStr">
        <is>
          <t>KZ-liu-CA</t>
        </is>
      </c>
      <c r="B602" s="4" t="inlineStr">
        <is>
          <t>Kruzoo加拿大站</t>
        </is>
      </c>
      <c r="C602" s="4">
        <f>B602&amp;D602</f>
        <v/>
      </c>
      <c r="D602" s="4" t="inlineStr">
        <is>
          <t>KZ-9607ORB</t>
        </is>
      </c>
      <c r="E602" s="4" t="inlineStr">
        <is>
          <t>221F0096OB1</t>
        </is>
      </c>
      <c r="F602" s="4" t="inlineStr">
        <is>
          <t>96系列三件套缸边浴缸龙头 拉丝古铜色</t>
        </is>
      </c>
      <c r="G602" s="4" t="inlineStr">
        <is>
          <t>胡娟娟</t>
        </is>
      </c>
      <c r="H602" s="4" t="inlineStr">
        <is>
          <t>缸边浴缸</t>
        </is>
      </c>
      <c r="I602" s="22" t="inlineStr">
        <is>
          <t>是</t>
        </is>
      </c>
      <c r="J602" s="34" t="n">
        <v>45581</v>
      </c>
      <c r="K602" s="34" t="n">
        <v>45581</v>
      </c>
      <c r="L602" s="0">
        <f>DATEDIF(J602,$L$1,"M")</f>
        <v/>
      </c>
      <c r="M602" s="0">
        <f>IF(L602&lt;18,"新品期",IF(L602&lt;=36,"老品期","衰退期"))</f>
        <v/>
      </c>
    </row>
    <row r="603" ht="15" customFormat="1" customHeight="1" s="36">
      <c r="A603" s="4" t="inlineStr">
        <is>
          <t>KZ-liu-US</t>
        </is>
      </c>
      <c r="B603" s="4" t="inlineStr">
        <is>
          <t>Kruzoo美国站</t>
        </is>
      </c>
      <c r="C603" s="4">
        <f>B603&amp;D603</f>
        <v/>
      </c>
      <c r="D603" s="4" t="inlineStr">
        <is>
          <t>KZ-9608BG</t>
        </is>
      </c>
      <c r="E603" s="4" t="inlineStr">
        <is>
          <t>222F0096BG1</t>
        </is>
      </c>
      <c r="F603" s="4" t="inlineStr">
        <is>
          <t>96系列四件套缸边浴缸龙头拉丝钛金封油</t>
        </is>
      </c>
      <c r="G603" s="4" t="inlineStr">
        <is>
          <t>胡娟娟</t>
        </is>
      </c>
      <c r="H603" s="4" t="inlineStr">
        <is>
          <t>缸边浴缸</t>
        </is>
      </c>
      <c r="I603" s="22" t="inlineStr">
        <is>
          <t>是</t>
        </is>
      </c>
      <c r="J603" s="34" t="n">
        <v>45581</v>
      </c>
      <c r="K603" s="34" t="n">
        <v>45581</v>
      </c>
      <c r="L603" s="0">
        <f>DATEDIF(J603,$L$1,"M")</f>
        <v/>
      </c>
      <c r="M603" s="0">
        <f>IF(L603&lt;18,"新品期",IF(L603&lt;=36,"老品期","衰退期"))</f>
        <v/>
      </c>
    </row>
    <row r="604" ht="15" customFormat="1" customHeight="1" s="36">
      <c r="A604" s="4" t="inlineStr">
        <is>
          <t>KZ-liu-CA</t>
        </is>
      </c>
      <c r="B604" s="4" t="inlineStr">
        <is>
          <t>Kruzoo加拿大站</t>
        </is>
      </c>
      <c r="C604" s="4">
        <f>B604&amp;D604</f>
        <v/>
      </c>
      <c r="D604" s="4" t="inlineStr">
        <is>
          <t>KZ-9608BG</t>
        </is>
      </c>
      <c r="E604" s="4" t="inlineStr">
        <is>
          <t>222F0096BG1</t>
        </is>
      </c>
      <c r="F604" s="4" t="inlineStr">
        <is>
          <t>96系列四件套缸边浴缸龙头拉丝钛金封油</t>
        </is>
      </c>
      <c r="G604" s="4" t="inlineStr">
        <is>
          <t>胡娟娟</t>
        </is>
      </c>
      <c r="H604" s="4" t="inlineStr">
        <is>
          <t>缸边浴缸</t>
        </is>
      </c>
      <c r="I604" s="22" t="inlineStr">
        <is>
          <t>是</t>
        </is>
      </c>
      <c r="J604" s="34" t="n">
        <v>45581</v>
      </c>
      <c r="K604" s="34" t="n">
        <v>45581</v>
      </c>
      <c r="L604" s="0">
        <f>DATEDIF(J604,$L$1,"M")</f>
        <v/>
      </c>
      <c r="M604" s="0">
        <f>IF(L604&lt;18,"新品期",IF(L604&lt;=36,"老品期","衰退期"))</f>
        <v/>
      </c>
    </row>
    <row r="605" ht="15" customFormat="1" customHeight="1" s="36">
      <c r="A605" s="4" t="inlineStr">
        <is>
          <t>KZ-liu-US</t>
        </is>
      </c>
      <c r="B605" s="4" t="inlineStr">
        <is>
          <t>Kruzoo美国站</t>
        </is>
      </c>
      <c r="C605" s="4">
        <f>B605&amp;D605</f>
        <v/>
      </c>
      <c r="D605" s="4" t="inlineStr">
        <is>
          <t>KZ-9608BK</t>
        </is>
      </c>
      <c r="E605" s="4" t="inlineStr">
        <is>
          <t>222F0096BK1</t>
        </is>
      </c>
      <c r="F605" s="4" t="inlineStr">
        <is>
          <t>96系列四件套缸边浴缸龙头电泳黑</t>
        </is>
      </c>
      <c r="G605" s="4" t="inlineStr">
        <is>
          <t>胡娟娟</t>
        </is>
      </c>
      <c r="H605" s="4" t="inlineStr">
        <is>
          <t>缸边浴缸</t>
        </is>
      </c>
      <c r="I605" s="22" t="inlineStr">
        <is>
          <t>是</t>
        </is>
      </c>
      <c r="J605" s="34" t="n">
        <v>45581</v>
      </c>
      <c r="K605" s="34" t="n">
        <v>45581</v>
      </c>
      <c r="L605" s="0">
        <f>DATEDIF(J605,$L$1,"M")</f>
        <v/>
      </c>
      <c r="M605" s="0">
        <f>IF(L605&lt;18,"新品期",IF(L605&lt;=36,"老品期","衰退期"))</f>
        <v/>
      </c>
    </row>
    <row r="606" ht="15" customFormat="1" customHeight="1" s="36">
      <c r="A606" s="4" t="inlineStr">
        <is>
          <t>KZ-liu-CA</t>
        </is>
      </c>
      <c r="B606" s="4" t="inlineStr">
        <is>
          <t>Kruzoo加拿大站</t>
        </is>
      </c>
      <c r="C606" s="4">
        <f>B606&amp;D606</f>
        <v/>
      </c>
      <c r="D606" s="4" t="inlineStr">
        <is>
          <t>KZ-9608BK</t>
        </is>
      </c>
      <c r="E606" s="4" t="inlineStr">
        <is>
          <t>222F0096BK1</t>
        </is>
      </c>
      <c r="F606" s="4" t="inlineStr">
        <is>
          <t>96系列四件套缸边浴缸龙头电泳黑</t>
        </is>
      </c>
      <c r="G606" s="4" t="inlineStr">
        <is>
          <t>胡娟娟</t>
        </is>
      </c>
      <c r="H606" s="4" t="inlineStr">
        <is>
          <t>缸边浴缸</t>
        </is>
      </c>
      <c r="I606" s="22" t="inlineStr">
        <is>
          <t>是</t>
        </is>
      </c>
      <c r="J606" s="34" t="n">
        <v>45581</v>
      </c>
      <c r="K606" s="34" t="n">
        <v>45581</v>
      </c>
      <c r="L606" s="0">
        <f>DATEDIF(J606,$L$1,"M")</f>
        <v/>
      </c>
      <c r="M606" s="0">
        <f>IF(L606&lt;18,"新品期",IF(L606&lt;=36,"老品期","衰退期"))</f>
        <v/>
      </c>
    </row>
    <row r="607" ht="15" customFormat="1" customHeight="1" s="36">
      <c r="A607" s="4" t="inlineStr">
        <is>
          <t>KZ-liu-US</t>
        </is>
      </c>
      <c r="B607" s="4" t="inlineStr">
        <is>
          <t>Kruzoo美国站</t>
        </is>
      </c>
      <c r="C607" s="4">
        <f>B607&amp;D607</f>
        <v/>
      </c>
      <c r="D607" s="4" t="inlineStr">
        <is>
          <t>KZ-9608BN</t>
        </is>
      </c>
      <c r="E607" s="4" t="inlineStr">
        <is>
          <t>222F0096BN1</t>
        </is>
      </c>
      <c r="F607" s="4" t="inlineStr">
        <is>
          <t>96系列四件套缸边浴缸龙头拉丝封油</t>
        </is>
      </c>
      <c r="G607" s="4" t="inlineStr">
        <is>
          <t>胡娟娟</t>
        </is>
      </c>
      <c r="H607" s="4" t="inlineStr">
        <is>
          <t>缸边浴缸</t>
        </is>
      </c>
      <c r="I607" s="22" t="inlineStr">
        <is>
          <t>是</t>
        </is>
      </c>
      <c r="J607" s="34" t="n">
        <v>45581</v>
      </c>
      <c r="K607" s="34" t="n">
        <v>45581</v>
      </c>
      <c r="L607" s="0">
        <f>DATEDIF(J607,$L$1,"M")</f>
        <v/>
      </c>
      <c r="M607" s="0">
        <f>IF(L607&lt;18,"新品期",IF(L607&lt;=36,"老品期","衰退期"))</f>
        <v/>
      </c>
    </row>
    <row r="608" ht="15" customFormat="1" customHeight="1" s="36">
      <c r="A608" s="4" t="inlineStr">
        <is>
          <t>KZ-liu-CA</t>
        </is>
      </c>
      <c r="B608" s="4" t="inlineStr">
        <is>
          <t>Kruzoo加拿大站</t>
        </is>
      </c>
      <c r="C608" s="4">
        <f>B608&amp;D608</f>
        <v/>
      </c>
      <c r="D608" s="4" t="inlineStr">
        <is>
          <t>KZ-9608BN</t>
        </is>
      </c>
      <c r="E608" s="4" t="inlineStr">
        <is>
          <t>222F0096BN1</t>
        </is>
      </c>
      <c r="F608" s="4" t="inlineStr">
        <is>
          <t>96系列四件套缸边浴缸龙头拉丝封油</t>
        </is>
      </c>
      <c r="G608" s="4" t="inlineStr">
        <is>
          <t>胡娟娟</t>
        </is>
      </c>
      <c r="H608" s="4" t="inlineStr">
        <is>
          <t>缸边浴缸</t>
        </is>
      </c>
      <c r="I608" s="22" t="inlineStr">
        <is>
          <t>是</t>
        </is>
      </c>
      <c r="J608" s="34" t="n">
        <v>45581</v>
      </c>
      <c r="K608" s="34" t="n">
        <v>45581</v>
      </c>
      <c r="L608" s="0">
        <f>DATEDIF(J608,$L$1,"M")</f>
        <v/>
      </c>
      <c r="M608" s="0">
        <f>IF(L608&lt;18,"新品期",IF(L608&lt;=36,"老品期","衰退期"))</f>
        <v/>
      </c>
    </row>
    <row r="609" ht="15" customFormat="1" customHeight="1" s="36">
      <c r="A609" s="4" t="inlineStr">
        <is>
          <t>KZ-liu-US</t>
        </is>
      </c>
      <c r="B609" s="4" t="inlineStr">
        <is>
          <t>Kruzoo美国站</t>
        </is>
      </c>
      <c r="C609" s="4">
        <f>B609&amp;D609</f>
        <v/>
      </c>
      <c r="D609" s="4" t="inlineStr">
        <is>
          <t>KZ-9608CP</t>
        </is>
      </c>
      <c r="E609" s="4" t="inlineStr">
        <is>
          <t>222F0096CP1</t>
        </is>
      </c>
      <c r="F609" s="4" t="inlineStr">
        <is>
          <t>96系列四件套缸边浴缸龙头铬</t>
        </is>
      </c>
      <c r="G609" s="4" t="inlineStr">
        <is>
          <t>胡娟娟</t>
        </is>
      </c>
      <c r="H609" s="4" t="inlineStr">
        <is>
          <t>缸边浴缸</t>
        </is>
      </c>
      <c r="I609" s="22" t="inlineStr">
        <is>
          <t>是</t>
        </is>
      </c>
      <c r="J609" s="34" t="n">
        <v>45581</v>
      </c>
      <c r="K609" s="34" t="n">
        <v>45581</v>
      </c>
      <c r="L609" s="0">
        <f>DATEDIF(J609,$L$1,"M")</f>
        <v/>
      </c>
      <c r="M609" s="0">
        <f>IF(L609&lt;18,"新品期",IF(L609&lt;=36,"老品期","衰退期"))</f>
        <v/>
      </c>
    </row>
    <row r="610" ht="15" customFormat="1" customHeight="1" s="36">
      <c r="A610" s="4" t="inlineStr">
        <is>
          <t>KZ-liu-CA</t>
        </is>
      </c>
      <c r="B610" s="4" t="inlineStr">
        <is>
          <t>Kruzoo加拿大站</t>
        </is>
      </c>
      <c r="C610" s="4">
        <f>B610&amp;D610</f>
        <v/>
      </c>
      <c r="D610" s="4" t="inlineStr">
        <is>
          <t>KZ-9608CP</t>
        </is>
      </c>
      <c r="E610" s="4" t="inlineStr">
        <is>
          <t>222F0096CP1</t>
        </is>
      </c>
      <c r="F610" s="4" t="inlineStr">
        <is>
          <t>96系列四件套缸边浴缸龙头铬</t>
        </is>
      </c>
      <c r="G610" s="4" t="inlineStr">
        <is>
          <t>胡娟娟</t>
        </is>
      </c>
      <c r="H610" s="4" t="inlineStr">
        <is>
          <t>缸边浴缸</t>
        </is>
      </c>
      <c r="I610" s="22" t="inlineStr">
        <is>
          <t>是</t>
        </is>
      </c>
      <c r="J610" s="34" t="n">
        <v>45581</v>
      </c>
      <c r="K610" s="34" t="n">
        <v>45581</v>
      </c>
      <c r="L610" s="0">
        <f>DATEDIF(J610,$L$1,"M")</f>
        <v/>
      </c>
      <c r="M610" s="0">
        <f>IF(L610&lt;18,"新品期",IF(L610&lt;=36,"老品期","衰退期"))</f>
        <v/>
      </c>
    </row>
    <row r="611" ht="15" customFormat="1" customHeight="1" s="36">
      <c r="A611" s="4" t="inlineStr">
        <is>
          <t>KZ-liu-US</t>
        </is>
      </c>
      <c r="B611" s="4" t="inlineStr">
        <is>
          <t>Kruzoo美国站</t>
        </is>
      </c>
      <c r="C611" s="4">
        <f>B611&amp;D611</f>
        <v/>
      </c>
      <c r="D611" s="4" t="inlineStr">
        <is>
          <t>KZ-9608ORB</t>
        </is>
      </c>
      <c r="E611" s="4" t="inlineStr">
        <is>
          <t>222F0096OB1</t>
        </is>
      </c>
      <c r="F611" s="4" t="inlineStr">
        <is>
          <t>96系列四件套缸边浴缸龙头 拉丝古铜色</t>
        </is>
      </c>
      <c r="G611" s="4" t="inlineStr">
        <is>
          <t>胡娟娟</t>
        </is>
      </c>
      <c r="H611" s="4" t="inlineStr">
        <is>
          <t>缸边浴缸</t>
        </is>
      </c>
      <c r="I611" s="22" t="inlineStr">
        <is>
          <t>是</t>
        </is>
      </c>
      <c r="J611" s="34" t="n">
        <v>45581</v>
      </c>
      <c r="K611" s="34" t="n">
        <v>45581</v>
      </c>
      <c r="L611" s="0">
        <f>DATEDIF(J611,$L$1,"M")</f>
        <v/>
      </c>
      <c r="M611" s="0">
        <f>IF(L611&lt;18,"新品期",IF(L611&lt;=36,"老品期","衰退期"))</f>
        <v/>
      </c>
    </row>
    <row r="612" ht="15" customFormat="1" customHeight="1" s="36">
      <c r="A612" s="4" t="inlineStr">
        <is>
          <t>KZ-liu-CA</t>
        </is>
      </c>
      <c r="B612" s="4" t="inlineStr">
        <is>
          <t>Kruzoo加拿大站</t>
        </is>
      </c>
      <c r="C612" s="4">
        <f>B612&amp;D612</f>
        <v/>
      </c>
      <c r="D612" s="4" t="inlineStr">
        <is>
          <t>KZ-9608ORB</t>
        </is>
      </c>
      <c r="E612" s="4" t="inlineStr">
        <is>
          <t>222F0096OB1</t>
        </is>
      </c>
      <c r="F612" s="4" t="inlineStr">
        <is>
          <t>96系列四件套缸边浴缸龙头 拉丝古铜色</t>
        </is>
      </c>
      <c r="G612" s="4" t="inlineStr">
        <is>
          <t>胡娟娟</t>
        </is>
      </c>
      <c r="H612" s="4" t="inlineStr">
        <is>
          <t>缸边浴缸</t>
        </is>
      </c>
      <c r="I612" s="22" t="inlineStr">
        <is>
          <t>是</t>
        </is>
      </c>
      <c r="J612" s="34" t="n">
        <v>45581</v>
      </c>
      <c r="K612" s="34" t="n">
        <v>45581</v>
      </c>
      <c r="L612" s="0">
        <f>DATEDIF(J612,$L$1,"M")</f>
        <v/>
      </c>
      <c r="M612" s="0">
        <f>IF(L612&lt;18,"新品期",IF(L612&lt;=36,"老品期","衰退期"))</f>
        <v/>
      </c>
    </row>
    <row r="613" ht="15" customFormat="1" customHeight="1" s="36">
      <c r="A613" s="4" t="inlineStr">
        <is>
          <t>KZ-liu-US</t>
        </is>
      </c>
      <c r="B613" s="4" t="inlineStr">
        <is>
          <t>Kruzoo美国站</t>
        </is>
      </c>
      <c r="C613" s="4">
        <f>B613&amp;D613</f>
        <v/>
      </c>
      <c r="D613" s="4" t="inlineStr">
        <is>
          <t>KZ-9609BG</t>
        </is>
      </c>
      <c r="E613" s="4" t="inlineStr">
        <is>
          <t>223F0096BG1</t>
        </is>
      </c>
      <c r="F613" s="4" t="inlineStr">
        <is>
          <t>96系列五件套缸边浴缸龙头拉丝钛金封油</t>
        </is>
      </c>
      <c r="G613" s="4" t="inlineStr">
        <is>
          <t>胡娟娟</t>
        </is>
      </c>
      <c r="H613" s="4" t="inlineStr">
        <is>
          <t>缸边浴缸</t>
        </is>
      </c>
      <c r="I613" s="12" t="inlineStr">
        <is>
          <t>是</t>
        </is>
      </c>
      <c r="J613" s="34" t="n">
        <v>45581</v>
      </c>
      <c r="K613" s="34" t="n">
        <v>45581</v>
      </c>
      <c r="L613" s="0">
        <f>DATEDIF(J613,$L$1,"M")</f>
        <v/>
      </c>
      <c r="M613" s="0">
        <f>IF(L613&lt;18,"新品期",IF(L613&lt;=36,"老品期","衰退期"))</f>
        <v/>
      </c>
    </row>
    <row r="614" ht="15" customFormat="1" customHeight="1" s="36">
      <c r="A614" s="4" t="inlineStr">
        <is>
          <t>KZ-liu-CA</t>
        </is>
      </c>
      <c r="B614" s="4" t="inlineStr">
        <is>
          <t>Kruzoo加拿大站</t>
        </is>
      </c>
      <c r="C614" s="4">
        <f>B614&amp;D614</f>
        <v/>
      </c>
      <c r="D614" s="4" t="inlineStr">
        <is>
          <t>KZ-9609BG</t>
        </is>
      </c>
      <c r="E614" s="4" t="inlineStr">
        <is>
          <t>223F0096BG1</t>
        </is>
      </c>
      <c r="F614" s="4" t="inlineStr">
        <is>
          <t>96系列五件套缸边浴缸龙头拉丝钛金封油</t>
        </is>
      </c>
      <c r="G614" s="4" t="inlineStr">
        <is>
          <t>胡娟娟</t>
        </is>
      </c>
      <c r="H614" s="4" t="inlineStr">
        <is>
          <t>缸边浴缸</t>
        </is>
      </c>
      <c r="I614" s="12" t="inlineStr">
        <is>
          <t>是</t>
        </is>
      </c>
      <c r="J614" s="34" t="n">
        <v>45581</v>
      </c>
      <c r="K614" s="34" t="n">
        <v>45581</v>
      </c>
      <c r="L614" s="0">
        <f>DATEDIF(J614,$L$1,"M")</f>
        <v/>
      </c>
      <c r="M614" s="0">
        <f>IF(L614&lt;18,"新品期",IF(L614&lt;=36,"老品期","衰退期"))</f>
        <v/>
      </c>
    </row>
    <row r="615" ht="15" customFormat="1" customHeight="1" s="36">
      <c r="A615" s="4" t="inlineStr">
        <is>
          <t>KZ-liu-US</t>
        </is>
      </c>
      <c r="B615" s="4" t="inlineStr">
        <is>
          <t>Kruzoo美国站</t>
        </is>
      </c>
      <c r="C615" s="4">
        <f>B615&amp;D615</f>
        <v/>
      </c>
      <c r="D615" s="4" t="inlineStr">
        <is>
          <t>KZ-9609BK</t>
        </is>
      </c>
      <c r="E615" s="4" t="inlineStr">
        <is>
          <t>223F0096BK1</t>
        </is>
      </c>
      <c r="F615" s="4" t="inlineStr">
        <is>
          <t>96系列五件套缸边浴缸龙头电泳黑</t>
        </is>
      </c>
      <c r="G615" s="4" t="inlineStr">
        <is>
          <t>胡娟娟</t>
        </is>
      </c>
      <c r="H615" s="4" t="inlineStr">
        <is>
          <t>缸边浴缸</t>
        </is>
      </c>
      <c r="I615" s="12" t="inlineStr">
        <is>
          <t>是</t>
        </is>
      </c>
      <c r="J615" s="34" t="n">
        <v>45581</v>
      </c>
      <c r="K615" s="34" t="n">
        <v>45581</v>
      </c>
      <c r="L615" s="0">
        <f>DATEDIF(J615,$L$1,"M")</f>
        <v/>
      </c>
      <c r="M615" s="0">
        <f>IF(L615&lt;18,"新品期",IF(L615&lt;=36,"老品期","衰退期"))</f>
        <v/>
      </c>
    </row>
    <row r="616" ht="15" customFormat="1" customHeight="1" s="36">
      <c r="A616" s="4" t="inlineStr">
        <is>
          <t>KZ-liu-CA</t>
        </is>
      </c>
      <c r="B616" s="4" t="inlineStr">
        <is>
          <t>Kruzoo加拿大站</t>
        </is>
      </c>
      <c r="C616" s="4">
        <f>B616&amp;D616</f>
        <v/>
      </c>
      <c r="D616" s="4" t="inlineStr">
        <is>
          <t>KZ-9609BK</t>
        </is>
      </c>
      <c r="E616" s="4" t="inlineStr">
        <is>
          <t>223F0096BK1</t>
        </is>
      </c>
      <c r="F616" s="4" t="inlineStr">
        <is>
          <t>96系列五件套缸边浴缸龙头电泳黑</t>
        </is>
      </c>
      <c r="G616" s="4" t="inlineStr">
        <is>
          <t>胡娟娟</t>
        </is>
      </c>
      <c r="H616" s="4" t="inlineStr">
        <is>
          <t>缸边浴缸</t>
        </is>
      </c>
      <c r="I616" s="12" t="inlineStr">
        <is>
          <t>是</t>
        </is>
      </c>
      <c r="J616" s="34" t="n">
        <v>45581</v>
      </c>
      <c r="K616" s="34" t="n">
        <v>45581</v>
      </c>
      <c r="L616" s="0">
        <f>DATEDIF(J616,$L$1,"M")</f>
        <v/>
      </c>
      <c r="M616" s="0">
        <f>IF(L616&lt;18,"新品期",IF(L616&lt;=36,"老品期","衰退期"))</f>
        <v/>
      </c>
    </row>
    <row r="617" ht="15" customFormat="1" customHeight="1" s="36">
      <c r="A617" s="4" t="inlineStr">
        <is>
          <t>KZ-liu-US</t>
        </is>
      </c>
      <c r="B617" s="4" t="inlineStr">
        <is>
          <t>Kruzoo美国站</t>
        </is>
      </c>
      <c r="C617" s="4">
        <f>B617&amp;D617</f>
        <v/>
      </c>
      <c r="D617" s="4" t="inlineStr">
        <is>
          <t>KZ-9609BN</t>
        </is>
      </c>
      <c r="E617" s="4" t="inlineStr">
        <is>
          <t>223F0096BN1</t>
        </is>
      </c>
      <c r="F617" s="4" t="inlineStr">
        <is>
          <t>96系列五件套缸边浴缸龙头拉丝封油</t>
        </is>
      </c>
      <c r="G617" s="4" t="inlineStr">
        <is>
          <t>胡娟娟</t>
        </is>
      </c>
      <c r="H617" s="4" t="inlineStr">
        <is>
          <t>缸边浴缸</t>
        </is>
      </c>
      <c r="I617" s="12" t="inlineStr">
        <is>
          <t>是</t>
        </is>
      </c>
      <c r="J617" s="34" t="n">
        <v>45581</v>
      </c>
      <c r="K617" s="34" t="n">
        <v>45581</v>
      </c>
      <c r="L617" s="0">
        <f>DATEDIF(J617,$L$1,"M")</f>
        <v/>
      </c>
      <c r="M617" s="0">
        <f>IF(L617&lt;18,"新品期",IF(L617&lt;=36,"老品期","衰退期"))</f>
        <v/>
      </c>
    </row>
    <row r="618" ht="15" customFormat="1" customHeight="1" s="36">
      <c r="A618" s="4" t="inlineStr">
        <is>
          <t>KZ-liu-CA</t>
        </is>
      </c>
      <c r="B618" s="4" t="inlineStr">
        <is>
          <t>Kruzoo加拿大站</t>
        </is>
      </c>
      <c r="C618" s="4">
        <f>B618&amp;D618</f>
        <v/>
      </c>
      <c r="D618" s="4" t="inlineStr">
        <is>
          <t>KZ-9609BN</t>
        </is>
      </c>
      <c r="E618" s="4" t="inlineStr">
        <is>
          <t>223F0096BN1</t>
        </is>
      </c>
      <c r="F618" s="4" t="inlineStr">
        <is>
          <t>96系列五件套缸边浴缸龙头拉丝封油</t>
        </is>
      </c>
      <c r="G618" s="4" t="inlineStr">
        <is>
          <t>胡娟娟</t>
        </is>
      </c>
      <c r="H618" s="4" t="inlineStr">
        <is>
          <t>缸边浴缸</t>
        </is>
      </c>
      <c r="I618" s="12" t="inlineStr">
        <is>
          <t>是</t>
        </is>
      </c>
      <c r="J618" s="34" t="n">
        <v>45581</v>
      </c>
      <c r="K618" s="34" t="n">
        <v>45581</v>
      </c>
      <c r="L618" s="0">
        <f>DATEDIF(J618,$L$1,"M")</f>
        <v/>
      </c>
      <c r="M618" s="0">
        <f>IF(L618&lt;18,"新品期",IF(L618&lt;=36,"老品期","衰退期"))</f>
        <v/>
      </c>
    </row>
    <row r="619" ht="15" customFormat="1" customHeight="1" s="36">
      <c r="A619" s="4" t="inlineStr">
        <is>
          <t>KZ-liu-BR</t>
        </is>
      </c>
      <c r="B619" s="4" t="inlineStr">
        <is>
          <t>Kruzoo巴西站</t>
        </is>
      </c>
      <c r="C619" s="4">
        <f>B619&amp;D619</f>
        <v/>
      </c>
      <c r="D619" s="4" t="inlineStr">
        <is>
          <t>KZ-9609BN</t>
        </is>
      </c>
      <c r="E619" s="4" t="inlineStr">
        <is>
          <t>223F0096BN1</t>
        </is>
      </c>
      <c r="F619" s="4" t="inlineStr">
        <is>
          <t>96系列五件套缸边浴缸龙头拉丝封油</t>
        </is>
      </c>
      <c r="G619" s="4" t="inlineStr">
        <is>
          <t>胡娟娟</t>
        </is>
      </c>
      <c r="H619" s="4" t="inlineStr">
        <is>
          <t>缸边浴缸</t>
        </is>
      </c>
      <c r="I619" s="12" t="inlineStr">
        <is>
          <t>是</t>
        </is>
      </c>
      <c r="J619" s="34" t="n">
        <v>45581</v>
      </c>
      <c r="K619" s="34" t="n">
        <v>45581</v>
      </c>
      <c r="L619" s="0">
        <f>DATEDIF(J619,$L$1,"M")</f>
        <v/>
      </c>
      <c r="M619" s="0">
        <f>IF(L619&lt;18,"新品期",IF(L619&lt;=36,"老品期","衰退期"))</f>
        <v/>
      </c>
    </row>
    <row r="620" ht="15" customFormat="1" customHeight="1" s="36">
      <c r="A620" s="4" t="inlineStr">
        <is>
          <t>KZ-liu-US</t>
        </is>
      </c>
      <c r="B620" s="4" t="inlineStr">
        <is>
          <t>Kruzoo美国站</t>
        </is>
      </c>
      <c r="C620" s="4">
        <f>B620&amp;D620</f>
        <v/>
      </c>
      <c r="D620" s="4" t="inlineStr">
        <is>
          <t>KZ-9609CP</t>
        </is>
      </c>
      <c r="E620" s="4" t="inlineStr">
        <is>
          <t>223F0096CP1</t>
        </is>
      </c>
      <c r="F620" s="4" t="inlineStr">
        <is>
          <t>96系列五件套缸边浴缸龙头铬</t>
        </is>
      </c>
      <c r="G620" s="4" t="inlineStr">
        <is>
          <t>胡娟娟</t>
        </is>
      </c>
      <c r="H620" s="4" t="inlineStr">
        <is>
          <t>缸边浴缸</t>
        </is>
      </c>
      <c r="I620" s="12" t="inlineStr">
        <is>
          <t>是</t>
        </is>
      </c>
      <c r="J620" s="34" t="n">
        <v>45581</v>
      </c>
      <c r="K620" s="34" t="n">
        <v>45581</v>
      </c>
      <c r="L620" s="0">
        <f>DATEDIF(J620,$L$1,"M")</f>
        <v/>
      </c>
      <c r="M620" s="0">
        <f>IF(L620&lt;18,"新品期",IF(L620&lt;=36,"老品期","衰退期"))</f>
        <v/>
      </c>
    </row>
    <row r="621" ht="15" customFormat="1" customHeight="1" s="36">
      <c r="A621" s="4" t="inlineStr">
        <is>
          <t>KZ-liu-CA</t>
        </is>
      </c>
      <c r="B621" s="4" t="inlineStr">
        <is>
          <t>Kruzoo加拿大站</t>
        </is>
      </c>
      <c r="C621" s="4">
        <f>B621&amp;D621</f>
        <v/>
      </c>
      <c r="D621" s="4" t="inlineStr">
        <is>
          <t>KZ-9609CP</t>
        </is>
      </c>
      <c r="E621" s="4" t="inlineStr">
        <is>
          <t>223F0096CP1</t>
        </is>
      </c>
      <c r="F621" s="4" t="inlineStr">
        <is>
          <t>96系列五件套缸边浴缸龙头铬</t>
        </is>
      </c>
      <c r="G621" s="4" t="inlineStr">
        <is>
          <t>胡娟娟</t>
        </is>
      </c>
      <c r="H621" s="4" t="inlineStr">
        <is>
          <t>缸边浴缸</t>
        </is>
      </c>
      <c r="I621" s="12" t="inlineStr">
        <is>
          <t>是</t>
        </is>
      </c>
      <c r="J621" s="34" t="n">
        <v>45581</v>
      </c>
      <c r="K621" s="34" t="n">
        <v>45581</v>
      </c>
      <c r="L621" s="0">
        <f>DATEDIF(J621,$L$1,"M")</f>
        <v/>
      </c>
      <c r="M621" s="0">
        <f>IF(L621&lt;18,"新品期",IF(L621&lt;=36,"老品期","衰退期"))</f>
        <v/>
      </c>
    </row>
    <row r="622" ht="15" customFormat="1" customHeight="1" s="36">
      <c r="A622" s="4" t="inlineStr">
        <is>
          <t>KZ-liu-US</t>
        </is>
      </c>
      <c r="B622" s="4" t="inlineStr">
        <is>
          <t>Kruzoo美国站</t>
        </is>
      </c>
      <c r="C622" s="4">
        <f>B622&amp;D622</f>
        <v/>
      </c>
      <c r="D622" s="4" t="inlineStr">
        <is>
          <t>KZ-9609ORB</t>
        </is>
      </c>
      <c r="E622" s="4" t="inlineStr">
        <is>
          <t>223F0096OB1</t>
        </is>
      </c>
      <c r="F622" s="4" t="inlineStr">
        <is>
          <t>96系列五件套缸边浴缸龙头 拉丝古铜色</t>
        </is>
      </c>
      <c r="G622" s="4" t="inlineStr">
        <is>
          <t>胡娟娟</t>
        </is>
      </c>
      <c r="H622" s="4" t="inlineStr">
        <is>
          <t>缸边浴缸</t>
        </is>
      </c>
      <c r="I622" s="12" t="inlineStr">
        <is>
          <t>是</t>
        </is>
      </c>
      <c r="J622" s="34" t="n">
        <v>45581</v>
      </c>
      <c r="K622" s="34" t="n">
        <v>45581</v>
      </c>
      <c r="L622" s="0">
        <f>DATEDIF(J622,$L$1,"M")</f>
        <v/>
      </c>
      <c r="M622" s="0">
        <f>IF(L622&lt;18,"新品期",IF(L622&lt;=36,"老品期","衰退期"))</f>
        <v/>
      </c>
    </row>
    <row r="623" ht="15" customFormat="1" customHeight="1" s="36">
      <c r="A623" s="4" t="inlineStr">
        <is>
          <t>KZ-liu-CA</t>
        </is>
      </c>
      <c r="B623" s="4" t="inlineStr">
        <is>
          <t>Kruzoo加拿大站</t>
        </is>
      </c>
      <c r="C623" s="4">
        <f>B623&amp;D623</f>
        <v/>
      </c>
      <c r="D623" s="4" t="inlineStr">
        <is>
          <t>KZ-9609ORB</t>
        </is>
      </c>
      <c r="E623" s="4" t="inlineStr">
        <is>
          <t>223F0096OB1</t>
        </is>
      </c>
      <c r="F623" s="4" t="inlineStr">
        <is>
          <t>96系列五件套缸边浴缸龙头 拉丝古铜色</t>
        </is>
      </c>
      <c r="G623" s="4" t="inlineStr">
        <is>
          <t>胡娟娟</t>
        </is>
      </c>
      <c r="H623" s="4" t="inlineStr">
        <is>
          <t>缸边浴缸</t>
        </is>
      </c>
      <c r="I623" s="12" t="inlineStr">
        <is>
          <t>是</t>
        </is>
      </c>
      <c r="J623" s="34" t="n">
        <v>45581</v>
      </c>
      <c r="K623" s="34" t="n">
        <v>45581</v>
      </c>
      <c r="L623" s="0">
        <f>DATEDIF(J623,$L$1,"M")</f>
        <v/>
      </c>
      <c r="M623" s="0">
        <f>IF(L623&lt;18,"新品期",IF(L623&lt;=36,"老品期","衰退期"))</f>
        <v/>
      </c>
    </row>
    <row r="624" ht="15" customFormat="1" customHeight="1" s="36">
      <c r="A624" s="4" t="inlineStr">
        <is>
          <t>KZ-liu-US</t>
        </is>
      </c>
      <c r="B624" s="4" t="inlineStr">
        <is>
          <t>Kruzoo美国站</t>
        </is>
      </c>
      <c r="C624" s="4">
        <f>B624&amp;D624</f>
        <v/>
      </c>
      <c r="D624" s="4" t="inlineStr">
        <is>
          <t>KZ-9611BG</t>
        </is>
      </c>
      <c r="E624" s="4" t="inlineStr">
        <is>
          <t>211F0096BG1</t>
        </is>
      </c>
      <c r="F624" s="4" t="inlineStr">
        <is>
          <t>96系列二功能落地浴缸龙头拉丝钛金封油</t>
        </is>
      </c>
      <c r="G624" s="4" t="inlineStr">
        <is>
          <t>刘皓</t>
        </is>
      </c>
      <c r="H624" s="4" t="inlineStr">
        <is>
          <t>落地浴缸</t>
        </is>
      </c>
      <c r="I624" s="12" t="inlineStr">
        <is>
          <t>是</t>
        </is>
      </c>
      <c r="J624" s="34" t="n">
        <v>45476</v>
      </c>
      <c r="K624" s="34" t="n">
        <v>45476</v>
      </c>
      <c r="L624" s="0">
        <f>DATEDIF(J624,$L$1,"M")</f>
        <v/>
      </c>
      <c r="M624" s="0">
        <f>IF(L624&lt;18,"新品期",IF(L624&lt;=36,"老品期","衰退期"))</f>
        <v/>
      </c>
    </row>
    <row r="625" ht="15" customFormat="1" customHeight="1" s="36">
      <c r="A625" s="4" t="inlineStr">
        <is>
          <t>KZ-liu-US</t>
        </is>
      </c>
      <c r="B625" s="4" t="inlineStr">
        <is>
          <t>Kruzoo美国站</t>
        </is>
      </c>
      <c r="C625" s="4">
        <f>B625&amp;D625</f>
        <v/>
      </c>
      <c r="D625" s="4" t="inlineStr">
        <is>
          <t>KZ-9611BK</t>
        </is>
      </c>
      <c r="E625" s="4" t="inlineStr">
        <is>
          <t>211F0096BK2</t>
        </is>
      </c>
      <c r="F625" s="4" t="inlineStr">
        <is>
          <t>96系列二功能落地浴缸龙头酸铜发黑</t>
        </is>
      </c>
      <c r="G625" s="4" t="inlineStr">
        <is>
          <t>刘皓</t>
        </is>
      </c>
      <c r="H625" s="4" t="inlineStr">
        <is>
          <t>落地浴缸</t>
        </is>
      </c>
      <c r="I625" s="12" t="inlineStr">
        <is>
          <t>是</t>
        </is>
      </c>
      <c r="J625" s="34" t="n">
        <v>45476</v>
      </c>
      <c r="K625" s="34" t="n">
        <v>45476</v>
      </c>
      <c r="L625" s="0">
        <f>DATEDIF(J625,$L$1,"M")</f>
        <v/>
      </c>
      <c r="M625" s="0">
        <f>IF(L625&lt;18,"新品期",IF(L625&lt;=36,"老品期","衰退期"))</f>
        <v/>
      </c>
    </row>
    <row r="626" ht="15" customFormat="1" customHeight="1" s="36">
      <c r="A626" s="4" t="inlineStr">
        <is>
          <t>KZ-liu-US</t>
        </is>
      </c>
      <c r="B626" s="4" t="inlineStr">
        <is>
          <t>Kruzoo美国站</t>
        </is>
      </c>
      <c r="C626" s="4">
        <f>B626&amp;D626</f>
        <v/>
      </c>
      <c r="D626" s="4" t="inlineStr">
        <is>
          <t>KZ-9611BK-ZZ</t>
        </is>
      </c>
      <c r="E626" s="4" t="inlineStr">
        <is>
          <t>211F0096BK2</t>
        </is>
      </c>
      <c r="F626" s="4" t="inlineStr">
        <is>
          <t>96系列二功能落地浴缸龙头酸铜发黑</t>
        </is>
      </c>
      <c r="G626" s="4" t="inlineStr">
        <is>
          <t>刘皓</t>
        </is>
      </c>
      <c r="H626" s="4" t="inlineStr">
        <is>
          <t>落地浴缸</t>
        </is>
      </c>
      <c r="I626" s="12" t="inlineStr">
        <is>
          <t>是</t>
        </is>
      </c>
      <c r="J626" s="34" t="n">
        <v>45476</v>
      </c>
      <c r="K626" s="34" t="n">
        <v>45476</v>
      </c>
      <c r="L626" s="0">
        <f>DATEDIF(J626,$L$1,"M")</f>
        <v/>
      </c>
      <c r="M626" s="0">
        <f>IF(L626&lt;18,"新品期",IF(L626&lt;=36,"老品期","衰退期"))</f>
        <v/>
      </c>
    </row>
    <row r="627" ht="15" customFormat="1" customHeight="1" s="36">
      <c r="A627" s="4" t="inlineStr">
        <is>
          <t>KZ-liu-CA</t>
        </is>
      </c>
      <c r="B627" s="4" t="inlineStr">
        <is>
          <t>Kruzoo加拿大站</t>
        </is>
      </c>
      <c r="C627" s="4">
        <f>B627&amp;D627</f>
        <v/>
      </c>
      <c r="D627" s="4" t="inlineStr">
        <is>
          <t>KZ-9611BK-ZZ</t>
        </is>
      </c>
      <c r="E627" s="4" t="inlineStr">
        <is>
          <t>211F0096BK2</t>
        </is>
      </c>
      <c r="F627" s="4" t="inlineStr">
        <is>
          <t>96系列二功能落地浴缸龙头酸铜发黑</t>
        </is>
      </c>
      <c r="G627" s="4" t="inlineStr">
        <is>
          <t>刘皓</t>
        </is>
      </c>
      <c r="H627" s="4" t="inlineStr">
        <is>
          <t>落地浴缸</t>
        </is>
      </c>
      <c r="I627" s="12" t="inlineStr">
        <is>
          <t>是</t>
        </is>
      </c>
      <c r="J627" s="34" t="n">
        <v>45476</v>
      </c>
      <c r="K627" s="34" t="n">
        <v>45476</v>
      </c>
      <c r="L627" s="0">
        <f>DATEDIF(J627,$L$1,"M")</f>
        <v/>
      </c>
      <c r="M627" s="0">
        <f>IF(L627&lt;18,"新品期",IF(L627&lt;=36,"老品期","衰退期"))</f>
        <v/>
      </c>
    </row>
    <row r="628" ht="15" customFormat="1" customHeight="1" s="36">
      <c r="A628" s="4" t="inlineStr">
        <is>
          <t>KZ-liu-BR</t>
        </is>
      </c>
      <c r="B628" s="4" t="inlineStr">
        <is>
          <t>Kruzoo巴西站</t>
        </is>
      </c>
      <c r="C628" s="4">
        <f>B628&amp;D628</f>
        <v/>
      </c>
      <c r="D628" s="4" t="inlineStr">
        <is>
          <t>KZ-9611BK-ZZ</t>
        </is>
      </c>
      <c r="E628" s="4" t="inlineStr">
        <is>
          <t>211F0096BK2</t>
        </is>
      </c>
      <c r="F628" s="4" t="inlineStr">
        <is>
          <t>96系列二功能落地浴缸龙头酸铜发黑</t>
        </is>
      </c>
      <c r="G628" s="4" t="inlineStr">
        <is>
          <t>刘皓</t>
        </is>
      </c>
      <c r="H628" s="4" t="inlineStr">
        <is>
          <t>落地浴缸</t>
        </is>
      </c>
      <c r="I628" s="12" t="inlineStr">
        <is>
          <t>是</t>
        </is>
      </c>
      <c r="J628" s="34" t="n">
        <v>45476</v>
      </c>
      <c r="K628" s="34" t="n">
        <v>45476</v>
      </c>
      <c r="L628" s="0">
        <f>DATEDIF(J628,$L$1,"M")</f>
        <v/>
      </c>
      <c r="M628" s="0">
        <f>IF(L628&lt;18,"新品期",IF(L628&lt;=36,"老品期","衰退期"))</f>
        <v/>
      </c>
    </row>
    <row r="629" ht="15" customFormat="1" customHeight="1" s="36">
      <c r="A629" s="4" t="inlineStr">
        <is>
          <t>KZ-liu-US</t>
        </is>
      </c>
      <c r="B629" s="4" t="inlineStr">
        <is>
          <t>Kruzoo美国站</t>
        </is>
      </c>
      <c r="C629" s="4">
        <f>B629&amp;D629</f>
        <v/>
      </c>
      <c r="D629" s="4" t="inlineStr">
        <is>
          <t>KZ-9611BN</t>
        </is>
      </c>
      <c r="E629" s="4" t="inlineStr">
        <is>
          <t>211F0096BN1</t>
        </is>
      </c>
      <c r="F629" s="4" t="inlineStr">
        <is>
          <t>96系列二功能落地浴缸龙头拉丝封油</t>
        </is>
      </c>
      <c r="G629" s="4" t="inlineStr">
        <is>
          <t>刘皓</t>
        </is>
      </c>
      <c r="H629" s="4" t="inlineStr">
        <is>
          <t>落地浴缸</t>
        </is>
      </c>
      <c r="I629" s="12" t="inlineStr">
        <is>
          <t>是</t>
        </is>
      </c>
      <c r="J629" s="34" t="n">
        <v>45476</v>
      </c>
      <c r="K629" s="34" t="n">
        <v>45476</v>
      </c>
      <c r="L629" s="0">
        <f>DATEDIF(J629,$L$1,"M")</f>
        <v/>
      </c>
      <c r="M629" s="0">
        <f>IF(L629&lt;18,"新品期",IF(L629&lt;=36,"老品期","衰退期"))</f>
        <v/>
      </c>
    </row>
    <row r="630" ht="15" customFormat="1" customHeight="1" s="36">
      <c r="A630" s="4" t="inlineStr">
        <is>
          <t>KZ-liu-CA</t>
        </is>
      </c>
      <c r="B630" s="4" t="inlineStr">
        <is>
          <t>Kruzoo加拿大站</t>
        </is>
      </c>
      <c r="C630" s="4">
        <f>B630&amp;D630</f>
        <v/>
      </c>
      <c r="D630" s="4" t="inlineStr">
        <is>
          <t>KZ-9611BN</t>
        </is>
      </c>
      <c r="E630" s="4" t="inlineStr">
        <is>
          <t>211F0096BN1</t>
        </is>
      </c>
      <c r="F630" s="4" t="inlineStr">
        <is>
          <t>96系列二功能落地浴缸龙头拉丝封油</t>
        </is>
      </c>
      <c r="G630" s="4" t="inlineStr">
        <is>
          <t>刘皓</t>
        </is>
      </c>
      <c r="H630" s="4" t="inlineStr">
        <is>
          <t>落地浴缸</t>
        </is>
      </c>
      <c r="I630" s="12" t="inlineStr">
        <is>
          <t>是</t>
        </is>
      </c>
      <c r="J630" s="34" t="n">
        <v>45476</v>
      </c>
      <c r="K630" s="34" t="n">
        <v>45476</v>
      </c>
      <c r="L630" s="0">
        <f>DATEDIF(J630,$L$1,"M")</f>
        <v/>
      </c>
      <c r="M630" s="0">
        <f>IF(L630&lt;18,"新品期",IF(L630&lt;=36,"老品期","衰退期"))</f>
        <v/>
      </c>
    </row>
    <row r="631" ht="15" customFormat="1" customHeight="1" s="36">
      <c r="A631" s="4" t="inlineStr">
        <is>
          <t>KZ-liu-US</t>
        </is>
      </c>
      <c r="B631" s="4" t="inlineStr">
        <is>
          <t>Kruzoo美国站</t>
        </is>
      </c>
      <c r="C631" s="4">
        <f>B631&amp;D631</f>
        <v/>
      </c>
      <c r="D631" s="4" t="inlineStr">
        <is>
          <t>KZ-9611BN-ZZ</t>
        </is>
      </c>
      <c r="E631" s="4" t="inlineStr">
        <is>
          <t>211F0096BN1</t>
        </is>
      </c>
      <c r="F631" s="4" t="inlineStr">
        <is>
          <t>96系列二功能落地浴缸龙头拉丝封油</t>
        </is>
      </c>
      <c r="G631" s="4" t="inlineStr">
        <is>
          <t>刘皓</t>
        </is>
      </c>
      <c r="H631" s="4" t="inlineStr">
        <is>
          <t>落地浴缸</t>
        </is>
      </c>
      <c r="I631" s="12" t="inlineStr">
        <is>
          <t>是</t>
        </is>
      </c>
      <c r="J631" s="34" t="n">
        <v>45476</v>
      </c>
      <c r="K631" s="34" t="n">
        <v>45476</v>
      </c>
      <c r="L631" s="0">
        <f>DATEDIF(J631,$L$1,"M")</f>
        <v/>
      </c>
      <c r="M631" s="0">
        <f>IF(L631&lt;18,"新品期",IF(L631&lt;=36,"老品期","衰退期"))</f>
        <v/>
      </c>
    </row>
    <row r="632" ht="15" customFormat="1" customHeight="1" s="36">
      <c r="A632" s="4" t="inlineStr">
        <is>
          <t>KZ-liu-CA</t>
        </is>
      </c>
      <c r="B632" s="4" t="inlineStr">
        <is>
          <t>Kruzoo加拿大站</t>
        </is>
      </c>
      <c r="C632" s="4">
        <f>B632&amp;D632</f>
        <v/>
      </c>
      <c r="D632" s="4" t="inlineStr">
        <is>
          <t>KZ-9611BN-ZZ</t>
        </is>
      </c>
      <c r="E632" s="4" t="inlineStr">
        <is>
          <t>211F0096BN1</t>
        </is>
      </c>
      <c r="F632" s="4" t="inlineStr">
        <is>
          <t>96系列二功能落地浴缸龙头拉丝封油</t>
        </is>
      </c>
      <c r="G632" s="4" t="inlineStr">
        <is>
          <t>刘皓</t>
        </is>
      </c>
      <c r="H632" s="4" t="inlineStr">
        <is>
          <t>落地浴缸</t>
        </is>
      </c>
      <c r="I632" s="12" t="inlineStr">
        <is>
          <t>是</t>
        </is>
      </c>
      <c r="J632" s="34" t="n">
        <v>45476</v>
      </c>
      <c r="K632" s="34" t="n">
        <v>45476</v>
      </c>
      <c r="L632" s="0">
        <f>DATEDIF(J632,$L$1,"M")</f>
        <v/>
      </c>
      <c r="M632" s="0">
        <f>IF(L632&lt;18,"新品期",IF(L632&lt;=36,"老品期","衰退期"))</f>
        <v/>
      </c>
    </row>
    <row r="633" ht="15" customFormat="1" customHeight="1" s="36">
      <c r="A633" s="4" t="inlineStr">
        <is>
          <t>KZ-liu-BR</t>
        </is>
      </c>
      <c r="B633" s="4" t="inlineStr">
        <is>
          <t>Kruzoo巴西站</t>
        </is>
      </c>
      <c r="C633" s="4">
        <f>B633&amp;D633</f>
        <v/>
      </c>
      <c r="D633" s="4" t="inlineStr">
        <is>
          <t>KZ-9611BN-ZZ</t>
        </is>
      </c>
      <c r="E633" s="4" t="inlineStr">
        <is>
          <t>211F0096BN1</t>
        </is>
      </c>
      <c r="F633" s="4" t="inlineStr">
        <is>
          <t>96系列二功能落地浴缸龙头拉丝封油</t>
        </is>
      </c>
      <c r="G633" s="4" t="inlineStr">
        <is>
          <t>刘皓</t>
        </is>
      </c>
      <c r="H633" s="4" t="inlineStr">
        <is>
          <t>落地浴缸</t>
        </is>
      </c>
      <c r="I633" s="12" t="inlineStr">
        <is>
          <t>是</t>
        </is>
      </c>
      <c r="J633" s="34" t="n">
        <v>45476</v>
      </c>
      <c r="K633" s="34" t="n">
        <v>45476</v>
      </c>
      <c r="L633" s="0">
        <f>DATEDIF(J633,$L$1,"M")</f>
        <v/>
      </c>
      <c r="M633" s="0">
        <f>IF(L633&lt;18,"新品期",IF(L633&lt;=36,"老品期","衰退期"))</f>
        <v/>
      </c>
    </row>
    <row r="634" ht="15" customFormat="1" customHeight="1" s="36">
      <c r="A634" s="4" t="inlineStr">
        <is>
          <t>KZ-liu-US</t>
        </is>
      </c>
      <c r="B634" s="4" t="inlineStr">
        <is>
          <t>Kruzoo美国站</t>
        </is>
      </c>
      <c r="C634" s="4">
        <f>B634&amp;D634</f>
        <v/>
      </c>
      <c r="D634" s="4" t="inlineStr">
        <is>
          <t>KZ-9611CP</t>
        </is>
      </c>
      <c r="E634" s="4" t="inlineStr">
        <is>
          <t>211F0096CP1</t>
        </is>
      </c>
      <c r="F634" s="4" t="inlineStr">
        <is>
          <t>96系列二功能落地浴缸龙头铬</t>
        </is>
      </c>
      <c r="G634" s="4" t="inlineStr">
        <is>
          <t>刘皓</t>
        </is>
      </c>
      <c r="H634" s="4" t="inlineStr">
        <is>
          <t>落地浴缸</t>
        </is>
      </c>
      <c r="I634" s="12" t="inlineStr">
        <is>
          <t>是</t>
        </is>
      </c>
      <c r="J634" s="34" t="n">
        <v>45476</v>
      </c>
      <c r="K634" s="34" t="n">
        <v>45476</v>
      </c>
      <c r="L634" s="0">
        <f>DATEDIF(J634,$L$1,"M")</f>
        <v/>
      </c>
      <c r="M634" s="0">
        <f>IF(L634&lt;18,"新品期",IF(L634&lt;=36,"老品期","衰退期"))</f>
        <v/>
      </c>
    </row>
    <row r="635" ht="15" customFormat="1" customHeight="1" s="36">
      <c r="A635" s="4" t="inlineStr">
        <is>
          <t>KZ-liu-CA</t>
        </is>
      </c>
      <c r="B635" s="4" t="inlineStr">
        <is>
          <t>Kruzoo加拿大站</t>
        </is>
      </c>
      <c r="C635" s="4">
        <f>B635&amp;D635</f>
        <v/>
      </c>
      <c r="D635" s="4" t="inlineStr">
        <is>
          <t>KZ-9611CP</t>
        </is>
      </c>
      <c r="E635" s="4" t="inlineStr">
        <is>
          <t>211F0096CP1</t>
        </is>
      </c>
      <c r="F635" s="4" t="inlineStr">
        <is>
          <t>96系列二功能落地浴缸龙头铬</t>
        </is>
      </c>
      <c r="G635" s="4" t="inlineStr">
        <is>
          <t>刘皓</t>
        </is>
      </c>
      <c r="H635" s="4" t="inlineStr">
        <is>
          <t>落地浴缸</t>
        </is>
      </c>
      <c r="I635" s="12" t="inlineStr">
        <is>
          <t>是</t>
        </is>
      </c>
      <c r="J635" s="34" t="n">
        <v>45476</v>
      </c>
      <c r="K635" s="34" t="n">
        <v>45476</v>
      </c>
      <c r="L635" s="0">
        <f>DATEDIF(J635,$L$1,"M")</f>
        <v/>
      </c>
      <c r="M635" s="0">
        <f>IF(L635&lt;18,"新品期",IF(L635&lt;=36,"老品期","衰退期"))</f>
        <v/>
      </c>
    </row>
    <row r="636" ht="15" customFormat="1" customHeight="1" s="36">
      <c r="A636" s="4" t="inlineStr">
        <is>
          <t>KZ-liu-US</t>
        </is>
      </c>
      <c r="B636" s="4" t="inlineStr">
        <is>
          <t>Kruzoo美国站</t>
        </is>
      </c>
      <c r="C636" s="4">
        <f>B636&amp;D636</f>
        <v/>
      </c>
      <c r="D636" s="4" t="inlineStr">
        <is>
          <t>KZ-9611CP-ZZ</t>
        </is>
      </c>
      <c r="E636" s="4" t="inlineStr">
        <is>
          <t>211F0096CP1</t>
        </is>
      </c>
      <c r="F636" s="4" t="inlineStr">
        <is>
          <t>96系列二功能落地浴缸龙头铬</t>
        </is>
      </c>
      <c r="G636" s="4" t="inlineStr">
        <is>
          <t>刘皓</t>
        </is>
      </c>
      <c r="H636" s="4" t="inlineStr">
        <is>
          <t>落地浴缸</t>
        </is>
      </c>
      <c r="I636" s="12" t="inlineStr">
        <is>
          <t>是</t>
        </is>
      </c>
      <c r="J636" s="34" t="n">
        <v>45476</v>
      </c>
      <c r="K636" s="34" t="n">
        <v>45476</v>
      </c>
      <c r="L636" s="0">
        <f>DATEDIF(J636,$L$1,"M")</f>
        <v/>
      </c>
      <c r="M636" s="0">
        <f>IF(L636&lt;18,"新品期",IF(L636&lt;=36,"老品期","衰退期"))</f>
        <v/>
      </c>
    </row>
    <row r="637" ht="15" customFormat="1" customHeight="1" s="36">
      <c r="A637" s="4" t="inlineStr">
        <is>
          <t>KZ-liu-CA</t>
        </is>
      </c>
      <c r="B637" s="4" t="inlineStr">
        <is>
          <t>Kruzoo加拿大站</t>
        </is>
      </c>
      <c r="C637" s="4">
        <f>B637&amp;D637</f>
        <v/>
      </c>
      <c r="D637" s="4" t="inlineStr">
        <is>
          <t>KZ-9611CP-ZZ</t>
        </is>
      </c>
      <c r="E637" s="4" t="inlineStr">
        <is>
          <t>211F0096CP1</t>
        </is>
      </c>
      <c r="F637" s="4" t="inlineStr">
        <is>
          <t>96系列二功能落地浴缸龙头铬</t>
        </is>
      </c>
      <c r="G637" s="4" t="inlineStr">
        <is>
          <t>刘皓</t>
        </is>
      </c>
      <c r="H637" s="4" t="inlineStr">
        <is>
          <t>落地浴缸</t>
        </is>
      </c>
      <c r="I637" s="12" t="inlineStr">
        <is>
          <t>是</t>
        </is>
      </c>
      <c r="J637" s="34" t="n">
        <v>45476</v>
      </c>
      <c r="K637" s="34" t="n">
        <v>45476</v>
      </c>
      <c r="L637" s="0">
        <f>DATEDIF(J637,$L$1,"M")</f>
        <v/>
      </c>
      <c r="M637" s="0">
        <f>IF(L637&lt;18,"新品期",IF(L637&lt;=36,"老品期","衰退期"))</f>
        <v/>
      </c>
    </row>
    <row r="638" ht="15" customFormat="1" customHeight="1" s="36">
      <c r="A638" s="4" t="inlineStr">
        <is>
          <t>KZ-liu-US</t>
        </is>
      </c>
      <c r="B638" s="4" t="inlineStr">
        <is>
          <t>Kruzoo美国站</t>
        </is>
      </c>
      <c r="C638" s="4">
        <f>B638&amp;D638</f>
        <v/>
      </c>
      <c r="D638" s="4" t="inlineStr">
        <is>
          <t>KZ-9611ORB</t>
        </is>
      </c>
      <c r="E638" s="4" t="inlineStr">
        <is>
          <t>211F0096OB1</t>
        </is>
      </c>
      <c r="F638" s="4" t="inlineStr">
        <is>
          <t>96系列二功能落地浴缸龙头 拉丝古铜色</t>
        </is>
      </c>
      <c r="G638" s="4" t="inlineStr">
        <is>
          <t>刘皓</t>
        </is>
      </c>
      <c r="H638" s="4" t="inlineStr">
        <is>
          <t>落地浴缸</t>
        </is>
      </c>
      <c r="I638" s="12" t="inlineStr">
        <is>
          <t>是</t>
        </is>
      </c>
      <c r="J638" s="34" t="n">
        <v>45476</v>
      </c>
      <c r="K638" s="34" t="n">
        <v>45476</v>
      </c>
      <c r="L638" s="0">
        <f>DATEDIF(J638,$L$1,"M")</f>
        <v/>
      </c>
      <c r="M638" s="0">
        <f>IF(L638&lt;18,"新品期",IF(L638&lt;=36,"老品期","衰退期"))</f>
        <v/>
      </c>
    </row>
    <row r="639" ht="15" customFormat="1" customHeight="1" s="36">
      <c r="A639" s="4" t="inlineStr">
        <is>
          <t>KZ-liu-CA</t>
        </is>
      </c>
      <c r="B639" s="4" t="inlineStr">
        <is>
          <t>Kruzoo加拿大站</t>
        </is>
      </c>
      <c r="C639" s="4">
        <f>B639&amp;D639</f>
        <v/>
      </c>
      <c r="D639" s="4" t="inlineStr">
        <is>
          <t>KZ-9611ORB</t>
        </is>
      </c>
      <c r="E639" s="4" t="inlineStr">
        <is>
          <t>211F0096OB1</t>
        </is>
      </c>
      <c r="F639" s="4" t="inlineStr">
        <is>
          <t>96系列二功能落地浴缸龙头 拉丝古铜色</t>
        </is>
      </c>
      <c r="G639" s="4" t="inlineStr">
        <is>
          <t>刘皓</t>
        </is>
      </c>
      <c r="H639" s="4" t="inlineStr">
        <is>
          <t>落地浴缸</t>
        </is>
      </c>
      <c r="I639" s="12" t="inlineStr">
        <is>
          <t>是</t>
        </is>
      </c>
      <c r="J639" s="34" t="n">
        <v>45476</v>
      </c>
      <c r="K639" s="34" t="n">
        <v>45476</v>
      </c>
      <c r="L639" s="0">
        <f>DATEDIF(J639,$L$1,"M")</f>
        <v/>
      </c>
      <c r="M639" s="0">
        <f>IF(L639&lt;18,"新品期",IF(L639&lt;=36,"老品期","衰退期"))</f>
        <v/>
      </c>
    </row>
    <row r="640" ht="15" customFormat="1" customHeight="1" s="36">
      <c r="A640" s="4" t="inlineStr">
        <is>
          <t>NAUKWAN-US</t>
        </is>
      </c>
      <c r="B640" s="4" t="inlineStr">
        <is>
          <t>Naukwan美国站</t>
        </is>
      </c>
      <c r="C640" s="4">
        <f>B640&amp;D640</f>
        <v/>
      </c>
      <c r="D640" s="4" t="inlineStr">
        <is>
          <t>NL2201-BK</t>
        </is>
      </c>
      <c r="E640" s="4" t="inlineStr">
        <is>
          <t>110F0022BK1</t>
        </is>
      </c>
      <c r="F640" s="4" t="inlineStr">
        <is>
          <t>22系列矮身单孔正开面盆龙头电泳黑</t>
        </is>
      </c>
      <c r="G640" s="4" t="inlineStr">
        <is>
          <t>童劲威</t>
        </is>
      </c>
      <c r="H640" s="4" t="inlineStr">
        <is>
          <t>面盆</t>
        </is>
      </c>
      <c r="I640" s="12" t="inlineStr">
        <is>
          <t>否</t>
        </is>
      </c>
      <c r="J640" s="34" t="n">
        <v>45090</v>
      </c>
      <c r="K640" s="34" t="n">
        <v>45090</v>
      </c>
      <c r="L640" s="0">
        <f>DATEDIF(J640,$L$1,"M")</f>
        <v/>
      </c>
      <c r="M640" s="0">
        <f>IF(L640&lt;18,"新品期",IF(L640&lt;=36,"老品期","衰退期"))</f>
        <v/>
      </c>
    </row>
    <row r="641" ht="15" customFormat="1" customHeight="1" s="36">
      <c r="A641" s="4" t="inlineStr">
        <is>
          <t>NAUKWAN-US</t>
        </is>
      </c>
      <c r="B641" s="4" t="inlineStr">
        <is>
          <t>Naukwan美国站</t>
        </is>
      </c>
      <c r="C641" s="4">
        <f>B641&amp;D641</f>
        <v/>
      </c>
      <c r="D641" s="4" t="inlineStr">
        <is>
          <t>NL2201-BN</t>
        </is>
      </c>
      <c r="E641" s="4" t="inlineStr">
        <is>
          <t>110F0022BN1</t>
        </is>
      </c>
      <c r="F641" s="4" t="inlineStr">
        <is>
          <t>22系列矮身单孔正开面盆龙头拉丝封油</t>
        </is>
      </c>
      <c r="G641" s="4" t="inlineStr">
        <is>
          <t>童劲威</t>
        </is>
      </c>
      <c r="H641" s="4" t="inlineStr">
        <is>
          <t>面盆</t>
        </is>
      </c>
      <c r="I641" s="12" t="inlineStr">
        <is>
          <t>否</t>
        </is>
      </c>
      <c r="J641" s="34" t="n">
        <v>45090</v>
      </c>
      <c r="K641" s="34" t="n">
        <v>45090</v>
      </c>
      <c r="L641" s="0">
        <f>DATEDIF(J641,$L$1,"M")</f>
        <v/>
      </c>
      <c r="M641" s="0">
        <f>IF(L641&lt;18,"新品期",IF(L641&lt;=36,"老品期","衰退期"))</f>
        <v/>
      </c>
    </row>
    <row r="642" ht="15" customFormat="1" customHeight="1" s="36">
      <c r="A642" s="4" t="inlineStr">
        <is>
          <t>NAUKWAN-US</t>
        </is>
      </c>
      <c r="B642" s="4" t="inlineStr">
        <is>
          <t>Naukwan美国站</t>
        </is>
      </c>
      <c r="C642" s="4">
        <f>B642&amp;D642</f>
        <v/>
      </c>
      <c r="D642" s="4" t="inlineStr">
        <is>
          <t>NL2201-CP</t>
        </is>
      </c>
      <c r="E642" s="4" t="inlineStr">
        <is>
          <t>110F0022CP1</t>
        </is>
      </c>
      <c r="F642" s="4" t="inlineStr">
        <is>
          <t>22系列矮身单孔正开面盆龙头铬</t>
        </is>
      </c>
      <c r="G642" s="4" t="inlineStr">
        <is>
          <t>童劲威</t>
        </is>
      </c>
      <c r="H642" s="4" t="inlineStr">
        <is>
          <t>面盆</t>
        </is>
      </c>
      <c r="I642" s="12" t="inlineStr">
        <is>
          <t>否</t>
        </is>
      </c>
      <c r="J642" s="34" t="n">
        <v>45090</v>
      </c>
      <c r="K642" s="34" t="n">
        <v>45090</v>
      </c>
      <c r="L642" s="0">
        <f>DATEDIF(J642,$L$1,"M")</f>
        <v/>
      </c>
      <c r="M642" s="0">
        <f>IF(L642&lt;18,"新品期",IF(L642&lt;=36,"老品期","衰退期"))</f>
        <v/>
      </c>
    </row>
    <row r="643" ht="15" customFormat="1" customHeight="1" s="36">
      <c r="A643" s="4" t="inlineStr">
        <is>
          <t>NAUKWAN-US</t>
        </is>
      </c>
      <c r="B643" s="4" t="inlineStr">
        <is>
          <t>Naukwan美国站</t>
        </is>
      </c>
      <c r="C643" s="4">
        <f>B643&amp;D643</f>
        <v/>
      </c>
      <c r="D643" s="4" t="inlineStr">
        <is>
          <t>NL2201-ORB</t>
        </is>
      </c>
      <c r="E643" s="4" t="inlineStr">
        <is>
          <t>110F0022OB1</t>
        </is>
      </c>
      <c r="F643" s="4" t="inlineStr">
        <is>
          <t>22系列矮身单孔正开面盆龙头拉丝古铜色</t>
        </is>
      </c>
      <c r="G643" s="4" t="inlineStr">
        <is>
          <t>童劲威</t>
        </is>
      </c>
      <c r="H643" s="4" t="inlineStr">
        <is>
          <t>面盆</t>
        </is>
      </c>
      <c r="I643" s="12" t="inlineStr">
        <is>
          <t>否</t>
        </is>
      </c>
      <c r="J643" s="34" t="n">
        <v>45090</v>
      </c>
      <c r="K643" s="34" t="n">
        <v>45090</v>
      </c>
      <c r="L643" s="0">
        <f>DATEDIF(J643,$L$1,"M")</f>
        <v/>
      </c>
      <c r="M643" s="0">
        <f>IF(L643&lt;18,"新品期",IF(L643&lt;=36,"老品期","衰退期"))</f>
        <v/>
      </c>
    </row>
    <row r="644" ht="15" customFormat="1" customHeight="1" s="36">
      <c r="A644" s="4" t="inlineStr">
        <is>
          <t>NAUKWAN-US</t>
        </is>
      </c>
      <c r="B644" s="4" t="inlineStr">
        <is>
          <t>Naukwan美国站</t>
        </is>
      </c>
      <c r="C644" s="4">
        <f>B644&amp;D644</f>
        <v/>
      </c>
      <c r="D644" s="4" t="inlineStr">
        <is>
          <t>NL2204-BG</t>
        </is>
      </c>
      <c r="E644" s="4" t="inlineStr">
        <is>
          <t>140F0022BG1</t>
        </is>
      </c>
      <c r="F644" s="4" t="inlineStr">
        <is>
          <t>22系列四寸分体面盆龙头拉丝钛金封油</t>
        </is>
      </c>
      <c r="G644" s="4" t="inlineStr">
        <is>
          <t>童劲威</t>
        </is>
      </c>
      <c r="H644" s="4" t="inlineStr">
        <is>
          <t>面盆</t>
        </is>
      </c>
      <c r="I644" s="12" t="inlineStr">
        <is>
          <t>否</t>
        </is>
      </c>
      <c r="J644" s="34" t="n">
        <v>45090</v>
      </c>
      <c r="K644" s="34" t="n">
        <v>45090</v>
      </c>
      <c r="L644" s="0">
        <f>DATEDIF(J644,$L$1,"M")</f>
        <v/>
      </c>
      <c r="M644" s="0">
        <f>IF(L644&lt;18,"新品期",IF(L644&lt;=36,"老品期","衰退期"))</f>
        <v/>
      </c>
    </row>
    <row r="645" ht="15" customFormat="1" customHeight="1" s="36">
      <c r="A645" s="4" t="inlineStr">
        <is>
          <t>NAUKWAN-US</t>
        </is>
      </c>
      <c r="B645" s="4" t="inlineStr">
        <is>
          <t>Naukwan美国站</t>
        </is>
      </c>
      <c r="C645" s="4">
        <f>B645&amp;D645</f>
        <v/>
      </c>
      <c r="D645" s="4" t="inlineStr">
        <is>
          <t>NL2204-BK</t>
        </is>
      </c>
      <c r="E645" s="4" t="inlineStr">
        <is>
          <t>140F0022BK1</t>
        </is>
      </c>
      <c r="F645" s="4" t="inlineStr">
        <is>
          <t>22系列四寸分体面盆龙头电泳黑</t>
        </is>
      </c>
      <c r="G645" s="4" t="inlineStr">
        <is>
          <t>童劲威</t>
        </is>
      </c>
      <c r="H645" s="4" t="inlineStr">
        <is>
          <t>面盆</t>
        </is>
      </c>
      <c r="I645" s="12" t="inlineStr">
        <is>
          <t>否</t>
        </is>
      </c>
      <c r="J645" s="34" t="n">
        <v>45090</v>
      </c>
      <c r="K645" s="34" t="n">
        <v>45090</v>
      </c>
      <c r="L645" s="0">
        <f>DATEDIF(J645,$L$1,"M")</f>
        <v/>
      </c>
      <c r="M645" s="0">
        <f>IF(L645&lt;18,"新品期",IF(L645&lt;=36,"老品期","衰退期"))</f>
        <v/>
      </c>
    </row>
    <row r="646" ht="15" customFormat="1" customHeight="1" s="36">
      <c r="A646" s="4" t="inlineStr">
        <is>
          <t>NAUKWAN-US</t>
        </is>
      </c>
      <c r="B646" s="4" t="inlineStr">
        <is>
          <t>Naukwan美国站</t>
        </is>
      </c>
      <c r="C646" s="4">
        <f>B646&amp;D646</f>
        <v/>
      </c>
      <c r="D646" s="4" t="inlineStr">
        <is>
          <t>NL2204-BN</t>
        </is>
      </c>
      <c r="E646" s="4" t="inlineStr">
        <is>
          <t>140F0022BN1</t>
        </is>
      </c>
      <c r="F646" s="4" t="inlineStr">
        <is>
          <t>22系列四寸分体面盆龙头拉丝封油</t>
        </is>
      </c>
      <c r="G646" s="4" t="inlineStr">
        <is>
          <t>童劲威</t>
        </is>
      </c>
      <c r="H646" s="4" t="inlineStr">
        <is>
          <t>面盆</t>
        </is>
      </c>
      <c r="I646" s="12" t="inlineStr">
        <is>
          <t>否</t>
        </is>
      </c>
      <c r="J646" s="34" t="n">
        <v>45090</v>
      </c>
      <c r="K646" s="34" t="n">
        <v>45090</v>
      </c>
      <c r="L646" s="0">
        <f>DATEDIF(J646,$L$1,"M")</f>
        <v/>
      </c>
      <c r="M646" s="0">
        <f>IF(L646&lt;18,"新品期",IF(L646&lt;=36,"老品期","衰退期"))</f>
        <v/>
      </c>
    </row>
    <row r="647" ht="15" customFormat="1" customHeight="1" s="36">
      <c r="A647" s="4" t="inlineStr">
        <is>
          <t>NAUKWAN-US</t>
        </is>
      </c>
      <c r="B647" s="4" t="inlineStr">
        <is>
          <t>Naukwan美国站</t>
        </is>
      </c>
      <c r="C647" s="4">
        <f>B647&amp;D647</f>
        <v/>
      </c>
      <c r="D647" s="4" t="inlineStr">
        <is>
          <t>NL2204-CP</t>
        </is>
      </c>
      <c r="E647" s="4" t="inlineStr">
        <is>
          <t>140F0022CP1</t>
        </is>
      </c>
      <c r="F647" s="4" t="inlineStr">
        <is>
          <t>22系列四寸分体面盆龙头铬</t>
        </is>
      </c>
      <c r="G647" s="4" t="inlineStr">
        <is>
          <t>童劲威</t>
        </is>
      </c>
      <c r="H647" s="4" t="inlineStr">
        <is>
          <t>面盆</t>
        </is>
      </c>
      <c r="I647" s="12" t="inlineStr">
        <is>
          <t>否</t>
        </is>
      </c>
      <c r="J647" s="34" t="n">
        <v>45090</v>
      </c>
      <c r="K647" s="34" t="n">
        <v>45090</v>
      </c>
      <c r="L647" s="0">
        <f>DATEDIF(J647,$L$1,"M")</f>
        <v/>
      </c>
      <c r="M647" s="0">
        <f>IF(L647&lt;18,"新品期",IF(L647&lt;=36,"老品期","衰退期"))</f>
        <v/>
      </c>
    </row>
    <row r="648" ht="15" customFormat="1" customHeight="1" s="36">
      <c r="A648" s="4" t="inlineStr">
        <is>
          <t>NAUKWAN-US</t>
        </is>
      </c>
      <c r="B648" s="4" t="inlineStr">
        <is>
          <t>Naukwan美国站</t>
        </is>
      </c>
      <c r="C648" s="4">
        <f>B648&amp;D648</f>
        <v/>
      </c>
      <c r="D648" s="4" t="inlineStr">
        <is>
          <t>NL2204-ORB</t>
        </is>
      </c>
      <c r="E648" s="4" t="inlineStr">
        <is>
          <t>140F0022OB1</t>
        </is>
      </c>
      <c r="F648" s="4" t="inlineStr">
        <is>
          <t>22系列四寸分体面盆龙头拉丝古铜色</t>
        </is>
      </c>
      <c r="G648" s="4" t="inlineStr">
        <is>
          <t>童劲威</t>
        </is>
      </c>
      <c r="H648" s="4" t="inlineStr">
        <is>
          <t>面盆</t>
        </is>
      </c>
      <c r="I648" s="12" t="inlineStr">
        <is>
          <t>否</t>
        </is>
      </c>
      <c r="J648" s="34" t="n">
        <v>45090</v>
      </c>
      <c r="K648" s="34" t="n">
        <v>45090</v>
      </c>
      <c r="L648" s="0">
        <f>DATEDIF(J648,$L$1,"M")</f>
        <v/>
      </c>
      <c r="M648" s="0">
        <f>IF(L648&lt;18,"新品期",IF(L648&lt;=36,"老品期","衰退期"))</f>
        <v/>
      </c>
    </row>
    <row r="649" ht="15" customFormat="1" customHeight="1" s="36">
      <c r="A649" s="4" t="inlineStr">
        <is>
          <t>soebiz-BR</t>
        </is>
      </c>
      <c r="B649" s="4" t="inlineStr">
        <is>
          <t>Soebiz巴西站</t>
        </is>
      </c>
      <c r="C649" s="4">
        <f>B649&amp;D649</f>
        <v/>
      </c>
      <c r="D649" s="4" t="inlineStr">
        <is>
          <t>SZ-B9905BG</t>
        </is>
      </c>
      <c r="E649" s="4" t="inlineStr">
        <is>
          <t>150F0099BG1</t>
        </is>
      </c>
      <c r="F649" s="4" t="inlineStr">
        <is>
          <t>99系列入墙面盆龙头拉丝钛金封油</t>
        </is>
      </c>
      <c r="G649" s="4" t="inlineStr">
        <is>
          <t>童劲威</t>
        </is>
      </c>
      <c r="H649" s="4" t="inlineStr">
        <is>
          <t>面盆</t>
        </is>
      </c>
      <c r="I649" s="12" t="inlineStr">
        <is>
          <t>是</t>
        </is>
      </c>
      <c r="J649" s="34" t="n">
        <v>45238</v>
      </c>
      <c r="K649" s="34" t="n">
        <v>45238</v>
      </c>
      <c r="L649" s="0">
        <f>DATEDIF(J649,$L$1,"M")</f>
        <v/>
      </c>
      <c r="M649" s="0">
        <f>IF(L649&lt;18,"新品期",IF(L649&lt;=36,"老品期","衰退期"))</f>
        <v/>
      </c>
      <c r="N649" s="36" t="inlineStr">
        <is>
          <t>清完不卖</t>
        </is>
      </c>
    </row>
    <row r="650" ht="15" customFormat="1" customHeight="1" s="36">
      <c r="A650" s="4" t="inlineStr">
        <is>
          <t>soebiz-BR</t>
        </is>
      </c>
      <c r="B650" s="4" t="inlineStr">
        <is>
          <t>Soebiz巴西站</t>
        </is>
      </c>
      <c r="C650" s="4">
        <f>B650&amp;D650</f>
        <v/>
      </c>
      <c r="D650" s="4" t="inlineStr">
        <is>
          <t>SZ-B9905BN</t>
        </is>
      </c>
      <c r="E650" s="4" t="inlineStr">
        <is>
          <t>150F0099BN1</t>
        </is>
      </c>
      <c r="F650" s="4" t="inlineStr">
        <is>
          <t>99系列入墙面盆龙头拉丝封油</t>
        </is>
      </c>
      <c r="G650" s="4" t="inlineStr">
        <is>
          <t>童劲威</t>
        </is>
      </c>
      <c r="H650" s="4" t="inlineStr">
        <is>
          <t>面盆</t>
        </is>
      </c>
      <c r="I650" s="12" t="inlineStr">
        <is>
          <t>是</t>
        </is>
      </c>
      <c r="J650" s="34" t="n">
        <v>45238</v>
      </c>
      <c r="K650" s="34" t="n">
        <v>45238</v>
      </c>
      <c r="L650" s="0">
        <f>DATEDIF(J650,$L$1,"M")</f>
        <v/>
      </c>
      <c r="M650" s="0">
        <f>IF(L650&lt;18,"新品期",IF(L650&lt;=36,"老品期","衰退期"))</f>
        <v/>
      </c>
      <c r="N650" s="36" t="inlineStr">
        <is>
          <t>清完不卖</t>
        </is>
      </c>
    </row>
    <row r="651" ht="15" customFormat="1" customHeight="1" s="36">
      <c r="A651" s="4" t="inlineStr">
        <is>
          <t>soebiz-BR</t>
        </is>
      </c>
      <c r="B651" s="4" t="inlineStr">
        <is>
          <t>Soebiz巴西站</t>
        </is>
      </c>
      <c r="C651" s="4">
        <f>B651&amp;D651</f>
        <v/>
      </c>
      <c r="D651" s="4" t="inlineStr">
        <is>
          <t>SZ-B9905ORB</t>
        </is>
      </c>
      <c r="E651" s="4" t="inlineStr">
        <is>
          <t>150F0099OB1</t>
        </is>
      </c>
      <c r="F651" s="4" t="inlineStr">
        <is>
          <t>99系列入墙面盆龙头 拉丝古铜色</t>
        </is>
      </c>
      <c r="G651" s="4" t="inlineStr">
        <is>
          <t>童劲威</t>
        </is>
      </c>
      <c r="H651" s="4" t="inlineStr">
        <is>
          <t>面盆</t>
        </is>
      </c>
      <c r="I651" s="12" t="inlineStr">
        <is>
          <t>是</t>
        </is>
      </c>
      <c r="J651" s="34" t="n">
        <v>45238</v>
      </c>
      <c r="K651" s="34" t="n">
        <v>45238</v>
      </c>
      <c r="L651" s="0">
        <f>DATEDIF(J651,$L$1,"M")</f>
        <v/>
      </c>
      <c r="M651" s="0">
        <f>IF(L651&lt;18,"新品期",IF(L651&lt;=36,"老品期","衰退期"))</f>
        <v/>
      </c>
      <c r="N651" s="36" t="inlineStr">
        <is>
          <t>清完不卖</t>
        </is>
      </c>
    </row>
    <row r="652" ht="15" customFormat="1" customHeight="1" s="36">
      <c r="A652" s="4" t="inlineStr">
        <is>
          <t>soebiz-US</t>
        </is>
      </c>
      <c r="B652" s="4" t="inlineStr">
        <is>
          <t>Soebiz美国站</t>
        </is>
      </c>
      <c r="C652" s="4">
        <f>B652&amp;D652</f>
        <v/>
      </c>
      <c r="D652" s="4" t="inlineStr">
        <is>
          <t>SZ-B9901BG01</t>
        </is>
      </c>
      <c r="E652" s="4" t="inlineStr">
        <is>
          <t>110F0099BG1</t>
        </is>
      </c>
      <c r="F652" s="4" t="inlineStr">
        <is>
          <t>99系列矮身单孔正开面盆龙头拉丝钛金封油</t>
        </is>
      </c>
      <c r="G652" s="4" t="inlineStr">
        <is>
          <t>童劲威</t>
        </is>
      </c>
      <c r="H652" s="4" t="inlineStr">
        <is>
          <t>面盆</t>
        </is>
      </c>
      <c r="I652" s="12" t="inlineStr">
        <is>
          <t>是</t>
        </is>
      </c>
      <c r="J652" s="34" t="n">
        <v>45238</v>
      </c>
      <c r="K652" s="34" t="n">
        <v>45238</v>
      </c>
      <c r="L652" s="0">
        <f>DATEDIF(J652,$L$1,"M")</f>
        <v/>
      </c>
      <c r="M652" s="0">
        <f>IF(L652&lt;18,"新品期",IF(L652&lt;=36,"老品期","衰退期"))</f>
        <v/>
      </c>
      <c r="N652" s="36" t="inlineStr">
        <is>
          <t>清完不卖</t>
        </is>
      </c>
    </row>
    <row r="653" ht="15" customFormat="1" customHeight="1" s="36">
      <c r="A653" s="4" t="inlineStr">
        <is>
          <t>soebiz-US</t>
        </is>
      </c>
      <c r="B653" s="4" t="inlineStr">
        <is>
          <t>Soebiz美国站</t>
        </is>
      </c>
      <c r="C653" s="4">
        <f>B653&amp;D653</f>
        <v/>
      </c>
      <c r="D653" s="4" t="inlineStr">
        <is>
          <t>SZ-B9901BK01</t>
        </is>
      </c>
      <c r="E653" s="4" t="inlineStr">
        <is>
          <t>110F0099BK1</t>
        </is>
      </c>
      <c r="F653" s="4" t="inlineStr">
        <is>
          <t>99系列矮身单孔正开面盆龙头电泳黑</t>
        </is>
      </c>
      <c r="G653" s="4" t="inlineStr">
        <is>
          <t>童劲威</t>
        </is>
      </c>
      <c r="H653" s="4" t="inlineStr">
        <is>
          <t>面盆</t>
        </is>
      </c>
      <c r="I653" s="12" t="inlineStr">
        <is>
          <t>是</t>
        </is>
      </c>
      <c r="J653" s="34" t="n">
        <v>45238</v>
      </c>
      <c r="K653" s="34" t="n">
        <v>45238</v>
      </c>
      <c r="L653" s="0">
        <f>DATEDIF(J653,$L$1,"M")</f>
        <v/>
      </c>
      <c r="M653" s="0">
        <f>IF(L653&lt;18,"新品期",IF(L653&lt;=36,"老品期","衰退期"))</f>
        <v/>
      </c>
      <c r="N653" s="36" t="inlineStr">
        <is>
          <t>清完不卖</t>
        </is>
      </c>
    </row>
    <row r="654" ht="15" customFormat="1" customHeight="1" s="36">
      <c r="A654" s="4" t="inlineStr">
        <is>
          <t>soebiz-US</t>
        </is>
      </c>
      <c r="B654" s="4" t="inlineStr">
        <is>
          <t>Soebiz美国站</t>
        </is>
      </c>
      <c r="C654" s="4">
        <f>B654&amp;D654</f>
        <v/>
      </c>
      <c r="D654" s="4" t="inlineStr">
        <is>
          <t>SZ-B9901BN</t>
        </is>
      </c>
      <c r="E654" s="4" t="inlineStr">
        <is>
          <t>110F0099BN1</t>
        </is>
      </c>
      <c r="F654" s="4" t="inlineStr">
        <is>
          <t>99系列矮身单孔正开面盆龙头拉丝封油</t>
        </is>
      </c>
      <c r="G654" s="4" t="inlineStr">
        <is>
          <t>童劲威</t>
        </is>
      </c>
      <c r="H654" s="4" t="inlineStr">
        <is>
          <t>面盆</t>
        </is>
      </c>
      <c r="I654" s="12" t="inlineStr">
        <is>
          <t>是</t>
        </is>
      </c>
      <c r="J654" s="34" t="n">
        <v>45238</v>
      </c>
      <c r="K654" s="34" t="n">
        <v>45238</v>
      </c>
      <c r="L654" s="0">
        <f>DATEDIF(J654,$L$1,"M")</f>
        <v/>
      </c>
      <c r="M654" s="0">
        <f>IF(L654&lt;18,"新品期",IF(L654&lt;=36,"老品期","衰退期"))</f>
        <v/>
      </c>
      <c r="N654" s="36" t="inlineStr">
        <is>
          <t>清完不卖</t>
        </is>
      </c>
    </row>
    <row r="655" ht="15" customFormat="1" customHeight="1" s="36">
      <c r="A655" s="4" t="inlineStr">
        <is>
          <t>soebiz-US</t>
        </is>
      </c>
      <c r="B655" s="4" t="inlineStr">
        <is>
          <t>Soebiz美国站</t>
        </is>
      </c>
      <c r="C655" s="4">
        <f>B655&amp;D655</f>
        <v/>
      </c>
      <c r="D655" s="4" t="inlineStr">
        <is>
          <t>SZ-B9901CP</t>
        </is>
      </c>
      <c r="E655" s="4" t="inlineStr">
        <is>
          <t>110F0099CP1</t>
        </is>
      </c>
      <c r="F655" s="4" t="inlineStr">
        <is>
          <t>99系列矮身单孔正开面盆龙头铬</t>
        </is>
      </c>
      <c r="G655" s="4" t="inlineStr">
        <is>
          <t>童劲威</t>
        </is>
      </c>
      <c r="H655" s="4" t="inlineStr">
        <is>
          <t>面盆</t>
        </is>
      </c>
      <c r="I655" s="12" t="inlineStr">
        <is>
          <t>是</t>
        </is>
      </c>
      <c r="J655" s="34" t="n">
        <v>45238</v>
      </c>
      <c r="K655" s="34" t="n">
        <v>45238</v>
      </c>
      <c r="L655" s="0">
        <f>DATEDIF(J655,$L$1,"M")</f>
        <v/>
      </c>
      <c r="M655" s="0">
        <f>IF(L655&lt;18,"新品期",IF(L655&lt;=36,"老品期","衰退期"))</f>
        <v/>
      </c>
      <c r="N655" s="36" t="inlineStr">
        <is>
          <t>清完不卖</t>
        </is>
      </c>
    </row>
    <row r="656" ht="15" customFormat="1" customHeight="1" s="36">
      <c r="A656" s="4" t="inlineStr">
        <is>
          <t>soebiz-US</t>
        </is>
      </c>
      <c r="B656" s="4" t="inlineStr">
        <is>
          <t>Soebiz美国站</t>
        </is>
      </c>
      <c r="C656" s="4">
        <f>B656&amp;D656</f>
        <v/>
      </c>
      <c r="D656" s="4" t="inlineStr">
        <is>
          <t>SZ-B9901ORB</t>
        </is>
      </c>
      <c r="E656" s="4" t="inlineStr">
        <is>
          <t>110F0099OB1</t>
        </is>
      </c>
      <c r="F656" s="4" t="inlineStr">
        <is>
          <t>99系列矮身单孔正开面盆龙头 拉丝古铜色</t>
        </is>
      </c>
      <c r="G656" s="4" t="inlineStr">
        <is>
          <t>童劲威</t>
        </is>
      </c>
      <c r="H656" s="4" t="inlineStr">
        <is>
          <t>面盆</t>
        </is>
      </c>
      <c r="I656" s="12" t="inlineStr">
        <is>
          <t>是</t>
        </is>
      </c>
      <c r="J656" s="34" t="n">
        <v>45238</v>
      </c>
      <c r="K656" s="34" t="n">
        <v>45238</v>
      </c>
      <c r="L656" s="0">
        <f>DATEDIF(J656,$L$1,"M")</f>
        <v/>
      </c>
      <c r="M656" s="0">
        <f>IF(L656&lt;18,"新品期",IF(L656&lt;=36,"老品期","衰退期"))</f>
        <v/>
      </c>
      <c r="N656" s="36" t="inlineStr">
        <is>
          <t>清完不卖</t>
        </is>
      </c>
    </row>
    <row r="657" ht="15" customFormat="1" customHeight="1" s="36">
      <c r="A657" s="4" t="inlineStr">
        <is>
          <t>soebiz-US</t>
        </is>
      </c>
      <c r="B657" s="4" t="inlineStr">
        <is>
          <t>Soebiz美国站</t>
        </is>
      </c>
      <c r="C657" s="4">
        <f>B657&amp;D657</f>
        <v/>
      </c>
      <c r="D657" s="4" t="inlineStr">
        <is>
          <t>SZ-B9902BG</t>
        </is>
      </c>
      <c r="E657" s="4" t="inlineStr">
        <is>
          <t>120F0099BG1</t>
        </is>
      </c>
      <c r="F657" s="4" t="inlineStr">
        <is>
          <t>99系列高身单孔正开面盆龙头拉丝钛金封油</t>
        </is>
      </c>
      <c r="G657" s="4" t="inlineStr">
        <is>
          <t>童劲威</t>
        </is>
      </c>
      <c r="H657" s="4" t="inlineStr">
        <is>
          <t>面盆</t>
        </is>
      </c>
      <c r="I657" s="12" t="inlineStr">
        <is>
          <t>是</t>
        </is>
      </c>
      <c r="J657" s="34" t="n">
        <v>45238</v>
      </c>
      <c r="K657" s="34" t="n">
        <v>45238</v>
      </c>
      <c r="L657" s="0">
        <f>DATEDIF(J657,$L$1,"M")</f>
        <v/>
      </c>
      <c r="M657" s="0">
        <f>IF(L657&lt;18,"新品期",IF(L657&lt;=36,"老品期","衰退期"))</f>
        <v/>
      </c>
      <c r="N657" s="36" t="inlineStr">
        <is>
          <t>清完不卖</t>
        </is>
      </c>
    </row>
    <row r="658" ht="15" customFormat="1" customHeight="1" s="36">
      <c r="A658" s="4" t="inlineStr">
        <is>
          <t>soebiz-US</t>
        </is>
      </c>
      <c r="B658" s="4" t="inlineStr">
        <is>
          <t>Soebiz美国站</t>
        </is>
      </c>
      <c r="C658" s="4">
        <f>B658&amp;D658</f>
        <v/>
      </c>
      <c r="D658" s="4" t="inlineStr">
        <is>
          <t>SZ-B9902BK</t>
        </is>
      </c>
      <c r="E658" s="4" t="inlineStr">
        <is>
          <t>120F0099BK1</t>
        </is>
      </c>
      <c r="F658" s="4" t="inlineStr">
        <is>
          <t>99系列高身单孔正开面盆龙头电泳黑</t>
        </is>
      </c>
      <c r="G658" s="4" t="inlineStr">
        <is>
          <t>童劲威</t>
        </is>
      </c>
      <c r="H658" s="4" t="inlineStr">
        <is>
          <t>面盆</t>
        </is>
      </c>
      <c r="I658" s="12" t="inlineStr">
        <is>
          <t>是</t>
        </is>
      </c>
      <c r="J658" s="34" t="n">
        <v>45238</v>
      </c>
      <c r="K658" s="34" t="n">
        <v>45238</v>
      </c>
      <c r="L658" s="0">
        <f>DATEDIF(J658,$L$1,"M")</f>
        <v/>
      </c>
      <c r="M658" s="0">
        <f>IF(L658&lt;18,"新品期",IF(L658&lt;=36,"老品期","衰退期"))</f>
        <v/>
      </c>
      <c r="N658" s="36" t="inlineStr">
        <is>
          <t>清完不卖</t>
        </is>
      </c>
    </row>
    <row r="659" ht="15" customFormat="1" customHeight="1" s="36">
      <c r="A659" s="4" t="inlineStr">
        <is>
          <t>soebiz-US</t>
        </is>
      </c>
      <c r="B659" s="4" t="inlineStr">
        <is>
          <t>Soebiz美国站</t>
        </is>
      </c>
      <c r="C659" s="4">
        <f>B659&amp;D659</f>
        <v/>
      </c>
      <c r="D659" s="4" t="inlineStr">
        <is>
          <t>SZ-B9902BN</t>
        </is>
      </c>
      <c r="E659" s="4" t="inlineStr">
        <is>
          <t>120F0099BN1</t>
        </is>
      </c>
      <c r="F659" s="4" t="inlineStr">
        <is>
          <t>99系列高身单孔正开面盆龙头拉丝封油</t>
        </is>
      </c>
      <c r="G659" s="4" t="inlineStr">
        <is>
          <t>童劲威</t>
        </is>
      </c>
      <c r="H659" s="4" t="inlineStr">
        <is>
          <t>面盆</t>
        </is>
      </c>
      <c r="I659" s="12" t="inlineStr">
        <is>
          <t>是</t>
        </is>
      </c>
      <c r="J659" s="34" t="n">
        <v>45238</v>
      </c>
      <c r="K659" s="34" t="n">
        <v>45238</v>
      </c>
      <c r="L659" s="0">
        <f>DATEDIF(J659,$L$1,"M")</f>
        <v/>
      </c>
      <c r="M659" s="0">
        <f>IF(L659&lt;18,"新品期",IF(L659&lt;=36,"老品期","衰退期"))</f>
        <v/>
      </c>
      <c r="N659" s="36" t="inlineStr">
        <is>
          <t>清完不卖</t>
        </is>
      </c>
    </row>
    <row r="660" ht="15" customFormat="1" customHeight="1" s="36">
      <c r="A660" s="4" t="inlineStr">
        <is>
          <t>soebiz-US</t>
        </is>
      </c>
      <c r="B660" s="4" t="inlineStr">
        <is>
          <t>Soebiz美国站</t>
        </is>
      </c>
      <c r="C660" s="4">
        <f>B660&amp;D660</f>
        <v/>
      </c>
      <c r="D660" s="4" t="inlineStr">
        <is>
          <t>SZ-B9902CP</t>
        </is>
      </c>
      <c r="E660" s="4" t="inlineStr">
        <is>
          <t>120F0099CP1</t>
        </is>
      </c>
      <c r="F660" s="4" t="inlineStr">
        <is>
          <t>99系列高身单孔正开面盆龙头铬</t>
        </is>
      </c>
      <c r="G660" s="4" t="inlineStr">
        <is>
          <t>童劲威</t>
        </is>
      </c>
      <c r="H660" s="4" t="inlineStr">
        <is>
          <t>面盆</t>
        </is>
      </c>
      <c r="I660" s="12" t="inlineStr">
        <is>
          <t>是</t>
        </is>
      </c>
      <c r="J660" s="34" t="n">
        <v>45238</v>
      </c>
      <c r="K660" s="34" t="n">
        <v>45238</v>
      </c>
      <c r="L660" s="0">
        <f>DATEDIF(J660,$L$1,"M")</f>
        <v/>
      </c>
      <c r="M660" s="0">
        <f>IF(L660&lt;18,"新品期",IF(L660&lt;=36,"老品期","衰退期"))</f>
        <v/>
      </c>
      <c r="N660" s="36" t="inlineStr">
        <is>
          <t>清完不卖</t>
        </is>
      </c>
    </row>
    <row r="661" ht="15" customFormat="1" customHeight="1" s="36">
      <c r="A661" s="4" t="inlineStr">
        <is>
          <t>soebiz-US</t>
        </is>
      </c>
      <c r="B661" s="4" t="inlineStr">
        <is>
          <t>Soebiz美国站</t>
        </is>
      </c>
      <c r="C661" s="4">
        <f>B661&amp;D661</f>
        <v/>
      </c>
      <c r="D661" s="4" t="inlineStr">
        <is>
          <t>SZ-B9902ORB</t>
        </is>
      </c>
      <c r="E661" s="4" t="inlineStr">
        <is>
          <t>120F0099OB1</t>
        </is>
      </c>
      <c r="F661" s="4" t="inlineStr">
        <is>
          <t>99系列高身单孔正开面盆龙头 拉丝古铜色</t>
        </is>
      </c>
      <c r="G661" s="4" t="inlineStr">
        <is>
          <t>童劲威</t>
        </is>
      </c>
      <c r="H661" s="4" t="inlineStr">
        <is>
          <t>面盆</t>
        </is>
      </c>
      <c r="I661" s="12" t="inlineStr">
        <is>
          <t>是</t>
        </is>
      </c>
      <c r="J661" s="34" t="n">
        <v>45238</v>
      </c>
      <c r="K661" s="34" t="n">
        <v>45238</v>
      </c>
      <c r="L661" s="0">
        <f>DATEDIF(J661,$L$1,"M")</f>
        <v/>
      </c>
      <c r="M661" s="0">
        <f>IF(L661&lt;18,"新品期",IF(L661&lt;=36,"老品期","衰退期"))</f>
        <v/>
      </c>
      <c r="N661" s="36" t="inlineStr">
        <is>
          <t>清完不卖</t>
        </is>
      </c>
    </row>
    <row r="662" ht="15" customFormat="1" customHeight="1" s="36">
      <c r="A662" s="4" t="inlineStr">
        <is>
          <t>soebiz-US</t>
        </is>
      </c>
      <c r="B662" s="4" t="inlineStr">
        <is>
          <t>Soebiz美国站</t>
        </is>
      </c>
      <c r="C662" s="4">
        <f>B662&amp;D662</f>
        <v/>
      </c>
      <c r="D662" s="4" t="inlineStr">
        <is>
          <t>SZ-B9904BG01</t>
        </is>
      </c>
      <c r="E662" s="4" t="inlineStr">
        <is>
          <t>140F0099BG1</t>
        </is>
      </c>
      <c r="F662" s="4" t="inlineStr">
        <is>
          <t>99系列分体面盆龙头拉丝钛金封油</t>
        </is>
      </c>
      <c r="G662" s="4" t="inlineStr">
        <is>
          <t>童劲威</t>
        </is>
      </c>
      <c r="H662" s="4" t="inlineStr">
        <is>
          <t>面盆</t>
        </is>
      </c>
      <c r="I662" s="12" t="inlineStr">
        <is>
          <t>是</t>
        </is>
      </c>
      <c r="J662" s="34" t="n">
        <v>45238</v>
      </c>
      <c r="K662" s="34" t="n">
        <v>45238</v>
      </c>
      <c r="L662" s="0">
        <f>DATEDIF(J662,$L$1,"M")</f>
        <v/>
      </c>
      <c r="M662" s="0">
        <f>IF(L662&lt;18,"新品期",IF(L662&lt;=36,"老品期","衰退期"))</f>
        <v/>
      </c>
      <c r="N662" s="36" t="inlineStr">
        <is>
          <t>清完不卖</t>
        </is>
      </c>
    </row>
    <row r="663" ht="15" customFormat="1" customHeight="1" s="36">
      <c r="A663" s="4" t="inlineStr">
        <is>
          <t>soebiz-US</t>
        </is>
      </c>
      <c r="B663" s="4" t="inlineStr">
        <is>
          <t>Soebiz美国站</t>
        </is>
      </c>
      <c r="C663" s="4">
        <f>B663&amp;D663</f>
        <v/>
      </c>
      <c r="D663" s="4" t="inlineStr">
        <is>
          <t>SZ-B9904BG02-zz</t>
        </is>
      </c>
      <c r="E663" s="4" t="inlineStr">
        <is>
          <t>140F0099BG1</t>
        </is>
      </c>
      <c r="F663" s="4" t="inlineStr">
        <is>
          <t>99系列分体面盆龙头拉丝钛金封油</t>
        </is>
      </c>
      <c r="G663" s="4" t="inlineStr">
        <is>
          <t>童劲威</t>
        </is>
      </c>
      <c r="H663" s="4" t="inlineStr">
        <is>
          <t>面盆</t>
        </is>
      </c>
      <c r="I663" s="12" t="inlineStr">
        <is>
          <t>是</t>
        </is>
      </c>
      <c r="J663" s="34" t="n">
        <v>45238</v>
      </c>
      <c r="K663" s="34" t="n">
        <v>45238</v>
      </c>
      <c r="L663" s="0">
        <f>DATEDIF(J663,$L$1,"M")</f>
        <v/>
      </c>
      <c r="M663" s="0">
        <f>IF(L663&lt;18,"新品期",IF(L663&lt;=36,"老品期","衰退期"))</f>
        <v/>
      </c>
      <c r="N663" s="36" t="inlineStr">
        <is>
          <t>清完不卖</t>
        </is>
      </c>
    </row>
    <row r="664" ht="15" customFormat="1" customHeight="1" s="36">
      <c r="A664" s="4" t="inlineStr">
        <is>
          <t>soebiz-US</t>
        </is>
      </c>
      <c r="B664" s="4" t="inlineStr">
        <is>
          <t>Soebiz美国站</t>
        </is>
      </c>
      <c r="C664" s="4">
        <f>B664&amp;D664</f>
        <v/>
      </c>
      <c r="D664" s="4" t="inlineStr">
        <is>
          <t>SZ-B9904BK01</t>
        </is>
      </c>
      <c r="E664" s="4" t="inlineStr">
        <is>
          <t>140F0099BK1</t>
        </is>
      </c>
      <c r="F664" s="4" t="inlineStr">
        <is>
          <t>99系列分体面盆龙头电泳黑</t>
        </is>
      </c>
      <c r="G664" s="4" t="inlineStr">
        <is>
          <t>童劲威</t>
        </is>
      </c>
      <c r="H664" s="4" t="inlineStr">
        <is>
          <t>面盆</t>
        </is>
      </c>
      <c r="I664" s="12" t="inlineStr">
        <is>
          <t>是</t>
        </is>
      </c>
      <c r="J664" s="34" t="n">
        <v>45238</v>
      </c>
      <c r="K664" s="34" t="n">
        <v>45238</v>
      </c>
      <c r="L664" s="0">
        <f>DATEDIF(J664,$L$1,"M")</f>
        <v/>
      </c>
      <c r="M664" s="0">
        <f>IF(L664&lt;18,"新品期",IF(L664&lt;=36,"老品期","衰退期"))</f>
        <v/>
      </c>
      <c r="N664" s="36" t="inlineStr">
        <is>
          <t>清完不卖</t>
        </is>
      </c>
    </row>
    <row r="665" ht="15" customFormat="1" customHeight="1" s="36">
      <c r="A665" s="4" t="inlineStr">
        <is>
          <t>soebiz-US</t>
        </is>
      </c>
      <c r="B665" s="4" t="inlineStr">
        <is>
          <t>Soebiz美国站</t>
        </is>
      </c>
      <c r="C665" s="4">
        <f>B665&amp;D665</f>
        <v/>
      </c>
      <c r="D665" s="4" t="inlineStr">
        <is>
          <t>SZ-B9904BN</t>
        </is>
      </c>
      <c r="E665" s="4" t="inlineStr">
        <is>
          <t>140F0099BN1</t>
        </is>
      </c>
      <c r="F665" s="4" t="inlineStr">
        <is>
          <t>99系列分体面盆龙头拉丝封油</t>
        </is>
      </c>
      <c r="G665" s="4" t="inlineStr">
        <is>
          <t>童劲威</t>
        </is>
      </c>
      <c r="H665" s="4" t="inlineStr">
        <is>
          <t>面盆</t>
        </is>
      </c>
      <c r="I665" s="12" t="inlineStr">
        <is>
          <t>是</t>
        </is>
      </c>
      <c r="J665" s="34" t="n">
        <v>45238</v>
      </c>
      <c r="K665" s="34" t="n">
        <v>45238</v>
      </c>
      <c r="L665" s="0">
        <f>DATEDIF(J665,$L$1,"M")</f>
        <v/>
      </c>
      <c r="M665" s="0">
        <f>IF(L665&lt;18,"新品期",IF(L665&lt;=36,"老品期","衰退期"))</f>
        <v/>
      </c>
      <c r="N665" s="36" t="inlineStr">
        <is>
          <t>清完不卖</t>
        </is>
      </c>
    </row>
    <row r="666" ht="15" customFormat="1" customHeight="1" s="36">
      <c r="A666" s="4" t="inlineStr">
        <is>
          <t>soebiz-US</t>
        </is>
      </c>
      <c r="B666" s="4" t="inlineStr">
        <is>
          <t>Soebiz美国站</t>
        </is>
      </c>
      <c r="C666" s="4">
        <f>B666&amp;D666</f>
        <v/>
      </c>
      <c r="D666" s="4" t="inlineStr">
        <is>
          <t>SZ-B9904CP</t>
        </is>
      </c>
      <c r="E666" s="4" t="inlineStr">
        <is>
          <t>140F0099CP1</t>
        </is>
      </c>
      <c r="F666" s="4" t="inlineStr">
        <is>
          <t>99系列分体面盆龙头铬</t>
        </is>
      </c>
      <c r="G666" s="4" t="inlineStr">
        <is>
          <t>童劲威</t>
        </is>
      </c>
      <c r="H666" s="4" t="inlineStr">
        <is>
          <t>面盆</t>
        </is>
      </c>
      <c r="I666" s="12" t="inlineStr">
        <is>
          <t>是</t>
        </is>
      </c>
      <c r="J666" s="34" t="n">
        <v>45238</v>
      </c>
      <c r="K666" s="34" t="n">
        <v>45238</v>
      </c>
      <c r="L666" s="0">
        <f>DATEDIF(J666,$L$1,"M")</f>
        <v/>
      </c>
      <c r="M666" s="0">
        <f>IF(L666&lt;18,"新品期",IF(L666&lt;=36,"老品期","衰退期"))</f>
        <v/>
      </c>
      <c r="N666" s="36" t="inlineStr">
        <is>
          <t>清完不卖</t>
        </is>
      </c>
    </row>
    <row r="667" ht="15" customFormat="1" customHeight="1" s="36">
      <c r="A667" s="4" t="inlineStr">
        <is>
          <t>soebiz-US</t>
        </is>
      </c>
      <c r="B667" s="4" t="inlineStr">
        <is>
          <t>Soebiz美国站</t>
        </is>
      </c>
      <c r="C667" s="4">
        <f>B667&amp;D667</f>
        <v/>
      </c>
      <c r="D667" s="4" t="inlineStr">
        <is>
          <t>SZ-B9904ORB</t>
        </is>
      </c>
      <c r="E667" s="4" t="inlineStr">
        <is>
          <t>140F0099OB1</t>
        </is>
      </c>
      <c r="F667" s="4" t="inlineStr">
        <is>
          <t>99系列分体面盆龙头 拉丝古铜色</t>
        </is>
      </c>
      <c r="G667" s="4" t="inlineStr">
        <is>
          <t>童劲威</t>
        </is>
      </c>
      <c r="H667" s="4" t="inlineStr">
        <is>
          <t>面盆</t>
        </is>
      </c>
      <c r="I667" s="12" t="inlineStr">
        <is>
          <t>是</t>
        </is>
      </c>
      <c r="J667" s="34" t="n">
        <v>45238</v>
      </c>
      <c r="K667" s="34" t="n">
        <v>45238</v>
      </c>
      <c r="L667" s="0">
        <f>DATEDIF(J667,$L$1,"M")</f>
        <v/>
      </c>
      <c r="M667" s="0">
        <f>IF(L667&lt;18,"新品期",IF(L667&lt;=36,"老品期","衰退期"))</f>
        <v/>
      </c>
      <c r="N667" s="36" t="inlineStr">
        <is>
          <t>清完不卖</t>
        </is>
      </c>
    </row>
    <row r="668" ht="15" customFormat="1" customHeight="1" s="36">
      <c r="A668" s="4" t="inlineStr">
        <is>
          <t>soebiz-US</t>
        </is>
      </c>
      <c r="B668" s="4" t="inlineStr">
        <is>
          <t>Soebiz美国站</t>
        </is>
      </c>
      <c r="C668" s="4">
        <f>B668&amp;D668</f>
        <v/>
      </c>
      <c r="D668" s="4" t="inlineStr">
        <is>
          <t>SZ-B9905BG</t>
        </is>
      </c>
      <c r="E668" s="4" t="inlineStr">
        <is>
          <t>150F0099BG1</t>
        </is>
      </c>
      <c r="F668" s="4" t="inlineStr">
        <is>
          <t>99系列入墙面盆龙头拉丝钛金封油</t>
        </is>
      </c>
      <c r="G668" s="4" t="inlineStr">
        <is>
          <t>童劲威</t>
        </is>
      </c>
      <c r="H668" s="4" t="inlineStr">
        <is>
          <t>面盆</t>
        </is>
      </c>
      <c r="I668" s="12" t="inlineStr">
        <is>
          <t>是</t>
        </is>
      </c>
      <c r="J668" s="34" t="n">
        <v>45238</v>
      </c>
      <c r="K668" s="34" t="n">
        <v>45238</v>
      </c>
      <c r="L668" s="0">
        <f>DATEDIF(J668,$L$1,"M")</f>
        <v/>
      </c>
      <c r="M668" s="0">
        <f>IF(L668&lt;18,"新品期",IF(L668&lt;=36,"老品期","衰退期"))</f>
        <v/>
      </c>
      <c r="N668" s="36" t="inlineStr">
        <is>
          <t>清完不卖</t>
        </is>
      </c>
    </row>
    <row r="669" ht="15" customFormat="1" customHeight="1" s="36">
      <c r="A669" s="18" t="inlineStr">
        <is>
          <t>soebiz-US</t>
        </is>
      </c>
      <c r="B669" s="19" t="inlineStr">
        <is>
          <t>Soebiz美国站</t>
        </is>
      </c>
      <c r="C669" s="4">
        <f>B669&amp;D669</f>
        <v/>
      </c>
      <c r="D669" s="18" t="inlineStr">
        <is>
          <t>SZ-B9905BK</t>
        </is>
      </c>
      <c r="E669" s="18" t="inlineStr">
        <is>
          <t>150F0099BK1</t>
        </is>
      </c>
      <c r="F669" s="4" t="inlineStr">
        <is>
          <t>99系列入墙面盆龙头电泳黑</t>
        </is>
      </c>
      <c r="G669" s="4" t="inlineStr">
        <is>
          <t>童劲威</t>
        </is>
      </c>
      <c r="H669" s="4" t="inlineStr">
        <is>
          <t>面盆</t>
        </is>
      </c>
      <c r="I669" s="12" t="inlineStr">
        <is>
          <t>是</t>
        </is>
      </c>
      <c r="J669" s="34" t="n">
        <v>45238</v>
      </c>
      <c r="K669" s="34" t="n">
        <v>45238</v>
      </c>
      <c r="L669" s="0">
        <f>DATEDIF(J669,$L$1,"M")</f>
        <v/>
      </c>
      <c r="M669" s="0">
        <f>IF(L669&lt;18,"新品期",IF(L669&lt;=36,"老品期","衰退期"))</f>
        <v/>
      </c>
      <c r="N669" s="36" t="inlineStr">
        <is>
          <t>清完不卖</t>
        </is>
      </c>
    </row>
    <row r="670" ht="15" customFormat="1" customHeight="1" s="36">
      <c r="A670" s="18" t="inlineStr">
        <is>
          <t>soebiz-US</t>
        </is>
      </c>
      <c r="B670" s="19" t="inlineStr">
        <is>
          <t>Soebiz美国站</t>
        </is>
      </c>
      <c r="C670" s="4">
        <f>B670&amp;D670</f>
        <v/>
      </c>
      <c r="D670" s="18" t="inlineStr">
        <is>
          <t>SZ-B9905BN</t>
        </is>
      </c>
      <c r="E670" s="18" t="inlineStr">
        <is>
          <t>150F0099BN1</t>
        </is>
      </c>
      <c r="F670" s="4" t="inlineStr">
        <is>
          <t>99系列入墙面盆龙头拉丝封油</t>
        </is>
      </c>
      <c r="G670" s="4" t="inlineStr">
        <is>
          <t>童劲威</t>
        </is>
      </c>
      <c r="H670" s="4" t="inlineStr">
        <is>
          <t>面盆</t>
        </is>
      </c>
      <c r="I670" s="12" t="inlineStr">
        <is>
          <t>是</t>
        </is>
      </c>
      <c r="J670" s="34" t="n">
        <v>45238</v>
      </c>
      <c r="K670" s="34" t="n">
        <v>45238</v>
      </c>
      <c r="L670" s="0">
        <f>DATEDIF(J670,$L$1,"M")</f>
        <v/>
      </c>
      <c r="M670" s="0">
        <f>IF(L670&lt;18,"新品期",IF(L670&lt;=36,"老品期","衰退期"))</f>
        <v/>
      </c>
      <c r="N670" s="36" t="inlineStr">
        <is>
          <t>清完不卖</t>
        </is>
      </c>
    </row>
    <row r="671" ht="15" customFormat="1" customHeight="1" s="36">
      <c r="A671" s="18" t="inlineStr">
        <is>
          <t>soebiz-US</t>
        </is>
      </c>
      <c r="B671" s="19" t="inlineStr">
        <is>
          <t>Soebiz美国站</t>
        </is>
      </c>
      <c r="C671" s="4">
        <f>B671&amp;D671</f>
        <v/>
      </c>
      <c r="D671" s="18" t="inlineStr">
        <is>
          <t>SZ-B9905ORB</t>
        </is>
      </c>
      <c r="E671" s="18" t="inlineStr">
        <is>
          <t>150F0099OB1</t>
        </is>
      </c>
      <c r="F671" s="4" t="inlineStr">
        <is>
          <t>99系列入墙面盆龙头 拉丝古铜色</t>
        </is>
      </c>
      <c r="G671" s="4" t="inlineStr">
        <is>
          <t>童劲威</t>
        </is>
      </c>
      <c r="H671" s="4" t="inlineStr">
        <is>
          <t>面盆</t>
        </is>
      </c>
      <c r="I671" s="12" t="inlineStr">
        <is>
          <t>是</t>
        </is>
      </c>
      <c r="J671" s="34" t="n">
        <v>45238</v>
      </c>
      <c r="K671" s="34" t="n">
        <v>45238</v>
      </c>
      <c r="L671" s="0">
        <f>DATEDIF(J671,$L$1,"M")</f>
        <v/>
      </c>
      <c r="M671" s="0">
        <f>IF(L671&lt;18,"新品期",IF(L671&lt;=36,"老品期","衰退期"))</f>
        <v/>
      </c>
      <c r="N671" s="36" t="inlineStr">
        <is>
          <t>清完不卖</t>
        </is>
      </c>
    </row>
    <row r="672" ht="15" customFormat="1" customHeight="1" s="36">
      <c r="A672" s="4" t="inlineStr">
        <is>
          <t>soebiz-MX</t>
        </is>
      </c>
      <c r="B672" s="4" t="inlineStr">
        <is>
          <t>Soebiz墨西哥站</t>
        </is>
      </c>
      <c r="C672" s="4">
        <f>B672&amp;D672</f>
        <v/>
      </c>
      <c r="D672" s="4" t="inlineStr">
        <is>
          <t>SZ-B9902BG</t>
        </is>
      </c>
      <c r="E672" s="4" t="inlineStr">
        <is>
          <t>120F0099BG1</t>
        </is>
      </c>
      <c r="F672" s="4" t="inlineStr">
        <is>
          <t>99系列高身单孔正开面盆龙头拉丝钛金封油</t>
        </is>
      </c>
      <c r="G672" s="4" t="inlineStr">
        <is>
          <t>童劲威</t>
        </is>
      </c>
      <c r="H672" s="4" t="inlineStr">
        <is>
          <t>面盆</t>
        </is>
      </c>
      <c r="I672" s="12" t="inlineStr">
        <is>
          <t>是</t>
        </is>
      </c>
      <c r="J672" s="34" t="n">
        <v>45238</v>
      </c>
      <c r="K672" s="34" t="n">
        <v>45238</v>
      </c>
      <c r="L672" s="0">
        <f>DATEDIF(J672,$L$1,"M")</f>
        <v/>
      </c>
      <c r="M672" s="0">
        <f>IF(L672&lt;18,"新品期",IF(L672&lt;=36,"老品期","衰退期"))</f>
        <v/>
      </c>
      <c r="N672" s="36" t="inlineStr">
        <is>
          <t>清完不卖</t>
        </is>
      </c>
    </row>
    <row r="673" ht="15" customFormat="1" customHeight="1" s="36">
      <c r="A673" s="4" t="inlineStr">
        <is>
          <t>soebiz-MX</t>
        </is>
      </c>
      <c r="B673" s="4" t="inlineStr">
        <is>
          <t>Soebiz墨西哥站</t>
        </is>
      </c>
      <c r="C673" s="4">
        <f>B673&amp;D673</f>
        <v/>
      </c>
      <c r="D673" s="4" t="inlineStr">
        <is>
          <t>SZ-B9902BN</t>
        </is>
      </c>
      <c r="E673" s="4" t="inlineStr">
        <is>
          <t>120F0099BN1</t>
        </is>
      </c>
      <c r="F673" s="4" t="inlineStr">
        <is>
          <t>99系列高身单孔正开面盆龙头拉丝封油</t>
        </is>
      </c>
      <c r="G673" s="4" t="inlineStr">
        <is>
          <t>童劲威</t>
        </is>
      </c>
      <c r="H673" s="4" t="inlineStr">
        <is>
          <t>面盆</t>
        </is>
      </c>
      <c r="I673" s="12" t="inlineStr">
        <is>
          <t>是</t>
        </is>
      </c>
      <c r="J673" s="34" t="n">
        <v>45238</v>
      </c>
      <c r="K673" s="34" t="n">
        <v>45238</v>
      </c>
      <c r="L673" s="0">
        <f>DATEDIF(J673,$L$1,"M")</f>
        <v/>
      </c>
      <c r="M673" s="0">
        <f>IF(L673&lt;18,"新品期",IF(L673&lt;=36,"老品期","衰退期"))</f>
        <v/>
      </c>
      <c r="N673" s="36" t="inlineStr">
        <is>
          <t>清完不卖</t>
        </is>
      </c>
    </row>
    <row r="674" ht="15" customFormat="1" customHeight="1" s="36">
      <c r="A674" s="4" t="inlineStr">
        <is>
          <t>HANGORO-US</t>
        </is>
      </c>
      <c r="B674" s="4" t="inlineStr">
        <is>
          <t>Hangoro美国站</t>
        </is>
      </c>
      <c r="C674" s="4">
        <f>B674&amp;D674</f>
        <v/>
      </c>
      <c r="D674" s="4" t="inlineStr">
        <is>
          <t>L2301-BG</t>
        </is>
      </c>
      <c r="E674" s="4" t="inlineStr">
        <is>
          <t>110F0023BG1</t>
        </is>
      </c>
      <c r="F674" s="4" t="inlineStr">
        <is>
          <t>23系列矮身单孔正开面盆龙头拉丝钛金封油</t>
        </is>
      </c>
      <c r="G674" s="4" t="inlineStr">
        <is>
          <t>曾志发</t>
        </is>
      </c>
      <c r="H674" s="4" t="inlineStr">
        <is>
          <t>面盆</t>
        </is>
      </c>
      <c r="I674" s="12" t="inlineStr">
        <is>
          <t>否</t>
        </is>
      </c>
      <c r="J674" s="34" t="n">
        <v>44712</v>
      </c>
      <c r="K674" s="34" t="n">
        <v>44712</v>
      </c>
      <c r="L674" s="0">
        <f>DATEDIF(J674,$L$1,"M")</f>
        <v/>
      </c>
      <c r="M674" s="0">
        <f>IF(L674&lt;18,"新品期",IF(L674&lt;=36,"老品期","衰退期"))</f>
        <v/>
      </c>
      <c r="N674" s="36" t="inlineStr">
        <is>
          <t>2025年9月1号以前梁丽梅负责</t>
        </is>
      </c>
    </row>
    <row r="675" ht="15" customFormat="1" customHeight="1" s="36">
      <c r="A675" s="4" t="inlineStr">
        <is>
          <t>HANGORO-US</t>
        </is>
      </c>
      <c r="B675" s="4" t="inlineStr">
        <is>
          <t>Hangoro美国站</t>
        </is>
      </c>
      <c r="C675" s="4">
        <f>B675&amp;D675</f>
        <v/>
      </c>
      <c r="D675" s="4" t="inlineStr">
        <is>
          <t>L2301-BK</t>
        </is>
      </c>
      <c r="E675" s="4" t="inlineStr">
        <is>
          <t>110F0023BK1</t>
        </is>
      </c>
      <c r="F675" s="4" t="inlineStr">
        <is>
          <t>23系列矮身单孔正开面盆龙头电泳黑</t>
        </is>
      </c>
      <c r="G675" s="4" t="inlineStr">
        <is>
          <t>曾志发</t>
        </is>
      </c>
      <c r="H675" s="4" t="inlineStr">
        <is>
          <t>面盆</t>
        </is>
      </c>
      <c r="I675" s="12" t="inlineStr">
        <is>
          <t>否</t>
        </is>
      </c>
      <c r="J675" s="34" t="n">
        <v>44712</v>
      </c>
      <c r="K675" s="34" t="n">
        <v>44712</v>
      </c>
      <c r="L675" s="0">
        <f>DATEDIF(J675,$L$1,"M")</f>
        <v/>
      </c>
      <c r="M675" s="0">
        <f>IF(L675&lt;18,"新品期",IF(L675&lt;=36,"老品期","衰退期"))</f>
        <v/>
      </c>
      <c r="N675" s="36" t="inlineStr">
        <is>
          <t>2025年9月1号以前梁丽梅负责</t>
        </is>
      </c>
    </row>
    <row r="676" ht="15" customFormat="1" customHeight="1" s="36">
      <c r="A676" s="4" t="inlineStr">
        <is>
          <t>HANGORO-US</t>
        </is>
      </c>
      <c r="B676" s="4" t="inlineStr">
        <is>
          <t>Hangoro美国站</t>
        </is>
      </c>
      <c r="C676" s="4">
        <f>B676&amp;D676</f>
        <v/>
      </c>
      <c r="D676" s="4" t="inlineStr">
        <is>
          <t>L2301-BN</t>
        </is>
      </c>
      <c r="E676" s="4" t="inlineStr">
        <is>
          <t>110F0023BN1</t>
        </is>
      </c>
      <c r="F676" s="4" t="inlineStr">
        <is>
          <t>23系列矮身单孔正开面盆龙头拉丝封油</t>
        </is>
      </c>
      <c r="G676" s="4" t="inlineStr">
        <is>
          <t>曾志发</t>
        </is>
      </c>
      <c r="H676" s="4" t="inlineStr">
        <is>
          <t>面盆</t>
        </is>
      </c>
      <c r="I676" s="12" t="inlineStr">
        <is>
          <t>否</t>
        </is>
      </c>
      <c r="J676" s="34" t="n">
        <v>44712</v>
      </c>
      <c r="K676" s="34" t="n">
        <v>44712</v>
      </c>
      <c r="L676" s="0">
        <f>DATEDIF(J676,$L$1,"M")</f>
        <v/>
      </c>
      <c r="M676" s="0">
        <f>IF(L676&lt;18,"新品期",IF(L676&lt;=36,"老品期","衰退期"))</f>
        <v/>
      </c>
      <c r="N676" s="36" t="inlineStr">
        <is>
          <t>2025年9月1号以前梁丽梅负责</t>
        </is>
      </c>
    </row>
    <row r="677" ht="15" customFormat="1" customHeight="1" s="36">
      <c r="A677" s="4" t="inlineStr">
        <is>
          <t>HANGORO-US</t>
        </is>
      </c>
      <c r="B677" s="4" t="inlineStr">
        <is>
          <t>Hangoro美国站</t>
        </is>
      </c>
      <c r="C677" s="4">
        <f>B677&amp;D677</f>
        <v/>
      </c>
      <c r="D677" s="4" t="inlineStr">
        <is>
          <t>L2301-CP</t>
        </is>
      </c>
      <c r="E677" s="4" t="inlineStr">
        <is>
          <t>110F0023CP1</t>
        </is>
      </c>
      <c r="F677" s="4" t="inlineStr">
        <is>
          <t>23系列矮身单孔正开面盆龙头铬</t>
        </is>
      </c>
      <c r="G677" s="4" t="inlineStr">
        <is>
          <t>曾志发</t>
        </is>
      </c>
      <c r="H677" s="4" t="inlineStr">
        <is>
          <t>面盆</t>
        </is>
      </c>
      <c r="I677" s="12" t="inlineStr">
        <is>
          <t>否</t>
        </is>
      </c>
      <c r="J677" s="34" t="n">
        <v>44712</v>
      </c>
      <c r="K677" s="34" t="n">
        <v>44712</v>
      </c>
      <c r="L677" s="0">
        <f>DATEDIF(J677,$L$1,"M")</f>
        <v/>
      </c>
      <c r="M677" s="0">
        <f>IF(L677&lt;18,"新品期",IF(L677&lt;=36,"老品期","衰退期"))</f>
        <v/>
      </c>
      <c r="N677" s="36" t="inlineStr">
        <is>
          <t>2025年9月1号以前梁丽梅负责</t>
        </is>
      </c>
    </row>
    <row r="678" ht="15" customFormat="1" customHeight="1" s="36">
      <c r="A678" s="4" t="inlineStr">
        <is>
          <t>HANGORO-US</t>
        </is>
      </c>
      <c r="B678" s="4" t="inlineStr">
        <is>
          <t>Hangoro美国站</t>
        </is>
      </c>
      <c r="C678" s="4">
        <f>B678&amp;D678</f>
        <v/>
      </c>
      <c r="D678" s="4" t="inlineStr">
        <is>
          <t>L2301-ORB</t>
        </is>
      </c>
      <c r="E678" s="4" t="inlineStr">
        <is>
          <t>110F0023OB1</t>
        </is>
      </c>
      <c r="F678" s="4" t="inlineStr">
        <is>
          <t>23系列矮身单孔正开面盆龙头拉丝古铜色</t>
        </is>
      </c>
      <c r="G678" s="4" t="inlineStr">
        <is>
          <t>曾志发</t>
        </is>
      </c>
      <c r="H678" s="4" t="inlineStr">
        <is>
          <t>面盆</t>
        </is>
      </c>
      <c r="I678" s="12" t="inlineStr">
        <is>
          <t>否</t>
        </is>
      </c>
      <c r="J678" s="34" t="n">
        <v>44712</v>
      </c>
      <c r="K678" s="34" t="n">
        <v>44712</v>
      </c>
      <c r="L678" s="0">
        <f>DATEDIF(J678,$L$1,"M")</f>
        <v/>
      </c>
      <c r="M678" s="0">
        <f>IF(L678&lt;18,"新品期",IF(L678&lt;=36,"老品期","衰退期"))</f>
        <v/>
      </c>
      <c r="N678" s="36" t="inlineStr">
        <is>
          <t>2025年9月1号以前梁丽梅负责</t>
        </is>
      </c>
    </row>
    <row r="679" ht="15" customFormat="1" customHeight="1" s="36">
      <c r="A679" s="4" t="inlineStr">
        <is>
          <t>HANGORO-US</t>
        </is>
      </c>
      <c r="B679" s="4" t="inlineStr">
        <is>
          <t>Hangoro美国站</t>
        </is>
      </c>
      <c r="C679" s="4">
        <f>B679&amp;D679</f>
        <v/>
      </c>
      <c r="D679" s="4" t="inlineStr">
        <is>
          <t>L2302-BG</t>
        </is>
      </c>
      <c r="E679" s="4" t="inlineStr">
        <is>
          <t>120F0023BG1</t>
        </is>
      </c>
      <c r="F679" s="4" t="inlineStr">
        <is>
          <t>23系列高身单孔正开面盆龙头拉丝钛金封油</t>
        </is>
      </c>
      <c r="G679" s="4" t="inlineStr">
        <is>
          <t>曾志发</t>
        </is>
      </c>
      <c r="H679" s="4" t="inlineStr">
        <is>
          <t>面盆</t>
        </is>
      </c>
      <c r="I679" s="12" t="inlineStr">
        <is>
          <t>否</t>
        </is>
      </c>
      <c r="J679" s="34" t="n">
        <v>44743</v>
      </c>
      <c r="K679" s="34" t="n">
        <v>44743</v>
      </c>
      <c r="L679" s="0">
        <f>DATEDIF(J679,$L$1,"M")</f>
        <v/>
      </c>
      <c r="M679" s="0">
        <f>IF(L679&lt;18,"新品期",IF(L679&lt;=36,"老品期","衰退期"))</f>
        <v/>
      </c>
      <c r="N679" s="36" t="inlineStr">
        <is>
          <t>2025年9月1号以前梁丽梅负责</t>
        </is>
      </c>
    </row>
    <row r="680" ht="15" customFormat="1" customHeight="1" s="36">
      <c r="A680" s="4" t="inlineStr">
        <is>
          <t>HANGORO-US</t>
        </is>
      </c>
      <c r="B680" s="4" t="inlineStr">
        <is>
          <t>Hangoro美国站</t>
        </is>
      </c>
      <c r="C680" s="4">
        <f>B680&amp;D680</f>
        <v/>
      </c>
      <c r="D680" s="4" t="inlineStr">
        <is>
          <t>L2302-BK</t>
        </is>
      </c>
      <c r="E680" s="4" t="inlineStr">
        <is>
          <t>120F0023BK1</t>
        </is>
      </c>
      <c r="F680" s="4" t="inlineStr">
        <is>
          <t>23系列高身单孔正开面盆龙头电泳黑</t>
        </is>
      </c>
      <c r="G680" s="4" t="inlineStr">
        <is>
          <t>曾志发</t>
        </is>
      </c>
      <c r="H680" s="4" t="inlineStr">
        <is>
          <t>面盆</t>
        </is>
      </c>
      <c r="I680" s="12" t="inlineStr">
        <is>
          <t>否</t>
        </is>
      </c>
      <c r="J680" s="34" t="n">
        <v>44743</v>
      </c>
      <c r="K680" s="34" t="n">
        <v>44743</v>
      </c>
      <c r="L680" s="0">
        <f>DATEDIF(J680,$L$1,"M")</f>
        <v/>
      </c>
      <c r="M680" s="0">
        <f>IF(L680&lt;18,"新品期",IF(L680&lt;=36,"老品期","衰退期"))</f>
        <v/>
      </c>
      <c r="N680" s="36" t="inlineStr">
        <is>
          <t>2025年9月1号以前梁丽梅负责</t>
        </is>
      </c>
    </row>
    <row r="681" ht="15" customFormat="1" customHeight="1" s="36">
      <c r="A681" s="4" t="inlineStr">
        <is>
          <t>HANGORO-US</t>
        </is>
      </c>
      <c r="B681" s="4" t="inlineStr">
        <is>
          <t>Hangoro美国站</t>
        </is>
      </c>
      <c r="C681" s="4">
        <f>B681&amp;D681</f>
        <v/>
      </c>
      <c r="D681" s="4" t="inlineStr">
        <is>
          <t>L2302-BN</t>
        </is>
      </c>
      <c r="E681" s="4" t="inlineStr">
        <is>
          <t>120F0023BN1</t>
        </is>
      </c>
      <c r="F681" s="4" t="inlineStr">
        <is>
          <t>23系列高身单孔正开面盆龙头拉丝封油</t>
        </is>
      </c>
      <c r="G681" s="4" t="inlineStr">
        <is>
          <t>曾志发</t>
        </is>
      </c>
      <c r="H681" s="4" t="inlineStr">
        <is>
          <t>面盆</t>
        </is>
      </c>
      <c r="I681" s="12" t="inlineStr">
        <is>
          <t>否</t>
        </is>
      </c>
      <c r="J681" s="34" t="n">
        <v>44743</v>
      </c>
      <c r="K681" s="34" t="n">
        <v>44743</v>
      </c>
      <c r="L681" s="0">
        <f>DATEDIF(J681,$L$1,"M")</f>
        <v/>
      </c>
      <c r="M681" s="0">
        <f>IF(L681&lt;18,"新品期",IF(L681&lt;=36,"老品期","衰退期"))</f>
        <v/>
      </c>
      <c r="N681" s="36" t="inlineStr">
        <is>
          <t>2025年9月1号以前梁丽梅负责</t>
        </is>
      </c>
    </row>
    <row r="682" ht="15" customFormat="1" customHeight="1" s="36">
      <c r="A682" s="4" t="inlineStr">
        <is>
          <t>HANGORO-US</t>
        </is>
      </c>
      <c r="B682" s="4" t="inlineStr">
        <is>
          <t>Hangoro美国站</t>
        </is>
      </c>
      <c r="C682" s="4">
        <f>B682&amp;D682</f>
        <v/>
      </c>
      <c r="D682" s="4" t="inlineStr">
        <is>
          <t>L2302-CP</t>
        </is>
      </c>
      <c r="E682" s="4" t="inlineStr">
        <is>
          <t>120F0023CP1</t>
        </is>
      </c>
      <c r="F682" s="4" t="inlineStr">
        <is>
          <t>23系列高身单孔正开面盆龙头铬</t>
        </is>
      </c>
      <c r="G682" s="4" t="inlineStr">
        <is>
          <t>曾志发</t>
        </is>
      </c>
      <c r="H682" s="4" t="inlineStr">
        <is>
          <t>面盆</t>
        </is>
      </c>
      <c r="I682" s="12" t="inlineStr">
        <is>
          <t>否</t>
        </is>
      </c>
      <c r="J682" s="34" t="n">
        <v>44743</v>
      </c>
      <c r="K682" s="34" t="n">
        <v>44743</v>
      </c>
      <c r="L682" s="0">
        <f>DATEDIF(J682,$L$1,"M")</f>
        <v/>
      </c>
      <c r="M682" s="0">
        <f>IF(L682&lt;18,"新品期",IF(L682&lt;=36,"老品期","衰退期"))</f>
        <v/>
      </c>
      <c r="N682" s="36" t="inlineStr">
        <is>
          <t>2025年9月1号以前梁丽梅负责</t>
        </is>
      </c>
    </row>
    <row r="683" ht="15" customFormat="1" customHeight="1" s="36">
      <c r="A683" s="4" t="inlineStr">
        <is>
          <t>HANGORO-US</t>
        </is>
      </c>
      <c r="B683" s="4" t="inlineStr">
        <is>
          <t>Hangoro美国站</t>
        </is>
      </c>
      <c r="C683" s="4">
        <f>B683&amp;D683</f>
        <v/>
      </c>
      <c r="D683" s="4" t="inlineStr">
        <is>
          <t>L2302-CP-ZZ</t>
        </is>
      </c>
      <c r="E683" s="4" t="inlineStr">
        <is>
          <t>120F0023CP1</t>
        </is>
      </c>
      <c r="F683" s="4" t="inlineStr">
        <is>
          <t>23系列高身单孔正开面盆龙头铬</t>
        </is>
      </c>
      <c r="G683" s="4" t="inlineStr">
        <is>
          <t>曾志发</t>
        </is>
      </c>
      <c r="H683" s="4" t="inlineStr">
        <is>
          <t>面盆</t>
        </is>
      </c>
      <c r="I683" s="12" t="inlineStr">
        <is>
          <t>是</t>
        </is>
      </c>
      <c r="J683" s="34" t="n">
        <v>44743</v>
      </c>
      <c r="K683" s="34" t="n">
        <v>44743</v>
      </c>
      <c r="L683" s="0">
        <f>DATEDIF(J683,$L$1,"M")</f>
        <v/>
      </c>
      <c r="M683" s="0">
        <f>IF(L683&lt;18,"新品期",IF(L683&lt;=36,"老品期","衰退期"))</f>
        <v/>
      </c>
      <c r="N683" s="36" t="inlineStr">
        <is>
          <t>2025年9月1号以前梁丽梅负责</t>
        </is>
      </c>
    </row>
    <row r="684" ht="15" customFormat="1" customHeight="1" s="36">
      <c r="A684" s="4" t="inlineStr">
        <is>
          <t>HANGORO-US</t>
        </is>
      </c>
      <c r="B684" s="4" t="inlineStr">
        <is>
          <t>Hangoro美国站</t>
        </is>
      </c>
      <c r="C684" s="4">
        <f>B684&amp;D684</f>
        <v/>
      </c>
      <c r="D684" s="4" t="inlineStr">
        <is>
          <t>L2302-ORB</t>
        </is>
      </c>
      <c r="E684" s="4" t="inlineStr">
        <is>
          <t>120F0023OB1</t>
        </is>
      </c>
      <c r="F684" s="4" t="inlineStr">
        <is>
          <t>23系列高身单孔正开面盆龙头拉丝古铜色</t>
        </is>
      </c>
      <c r="G684" s="4" t="inlineStr">
        <is>
          <t>曾志发</t>
        </is>
      </c>
      <c r="H684" s="4" t="inlineStr">
        <is>
          <t>面盆</t>
        </is>
      </c>
      <c r="I684" s="12" t="inlineStr">
        <is>
          <t>否</t>
        </is>
      </c>
      <c r="J684" s="34" t="n">
        <v>44743</v>
      </c>
      <c r="K684" s="34" t="n">
        <v>44743</v>
      </c>
      <c r="L684" s="0">
        <f>DATEDIF(J684,$L$1,"M")</f>
        <v/>
      </c>
      <c r="M684" s="0">
        <f>IF(L684&lt;18,"新品期",IF(L684&lt;=36,"老品期","衰退期"))</f>
        <v/>
      </c>
      <c r="N684" s="36" t="inlineStr">
        <is>
          <t>2025年9月1号以前梁丽梅负责</t>
        </is>
      </c>
    </row>
    <row r="685" ht="15" customFormat="1" customHeight="1" s="36">
      <c r="A685" s="4" t="inlineStr">
        <is>
          <t>HANGORO-US</t>
        </is>
      </c>
      <c r="B685" s="4" t="inlineStr">
        <is>
          <t>Hangoro美国站</t>
        </is>
      </c>
      <c r="C685" s="4">
        <f>B685&amp;D685</f>
        <v/>
      </c>
      <c r="D685" s="4" t="inlineStr">
        <is>
          <t>L2303-BG</t>
        </is>
      </c>
      <c r="E685" s="4" t="inlineStr">
        <is>
          <t>130F0023BG1</t>
        </is>
      </c>
      <c r="F685" s="4" t="inlineStr">
        <is>
          <t>23系列四寸连体面盆龙头拉丝钛金封油</t>
        </is>
      </c>
      <c r="G685" s="4" t="inlineStr">
        <is>
          <t>曾志发</t>
        </is>
      </c>
      <c r="H685" s="4" t="inlineStr">
        <is>
          <t>面盆</t>
        </is>
      </c>
      <c r="I685" s="12" t="inlineStr">
        <is>
          <t>否</t>
        </is>
      </c>
      <c r="J685" s="34" t="n">
        <v>44706</v>
      </c>
      <c r="K685" s="34" t="n">
        <v>44706</v>
      </c>
      <c r="L685" s="0">
        <f>DATEDIF(J685,$L$1,"M")</f>
        <v/>
      </c>
      <c r="M685" s="0">
        <f>IF(L685&lt;18,"新品期",IF(L685&lt;=36,"老品期","衰退期"))</f>
        <v/>
      </c>
      <c r="N685" s="36" t="inlineStr">
        <is>
          <t>2025年9月1号以前梁丽梅负责</t>
        </is>
      </c>
    </row>
    <row r="686" ht="15" customFormat="1" customHeight="1" s="36">
      <c r="A686" s="4" t="inlineStr">
        <is>
          <t>HANGORO-US</t>
        </is>
      </c>
      <c r="B686" s="4" t="inlineStr">
        <is>
          <t>Hangoro美国站</t>
        </is>
      </c>
      <c r="C686" s="4">
        <f>B686&amp;D686</f>
        <v/>
      </c>
      <c r="D686" s="4" t="inlineStr">
        <is>
          <t>L2303-BK</t>
        </is>
      </c>
      <c r="E686" s="4" t="inlineStr">
        <is>
          <t>130F0023BK1</t>
        </is>
      </c>
      <c r="F686" s="4" t="inlineStr">
        <is>
          <t>23系列四寸连体面盆龙头电泳黑</t>
        </is>
      </c>
      <c r="G686" s="4" t="inlineStr">
        <is>
          <t>曾志发</t>
        </is>
      </c>
      <c r="H686" s="4" t="inlineStr">
        <is>
          <t>面盆</t>
        </is>
      </c>
      <c r="I686" s="12" t="inlineStr">
        <is>
          <t>否</t>
        </is>
      </c>
      <c r="J686" s="34" t="n">
        <v>44706</v>
      </c>
      <c r="K686" s="34" t="n">
        <v>44706</v>
      </c>
      <c r="L686" s="0">
        <f>DATEDIF(J686,$L$1,"M")</f>
        <v/>
      </c>
      <c r="M686" s="0">
        <f>IF(L686&lt;18,"新品期",IF(L686&lt;=36,"老品期","衰退期"))</f>
        <v/>
      </c>
      <c r="N686" s="36" t="inlineStr">
        <is>
          <t>2025年9月1号以前梁丽梅负责</t>
        </is>
      </c>
    </row>
    <row r="687" ht="15" customFormat="1" customHeight="1" s="36">
      <c r="A687" s="4" t="inlineStr">
        <is>
          <t>HANGORO-US</t>
        </is>
      </c>
      <c r="B687" s="4" t="inlineStr">
        <is>
          <t>Hangoro美国站</t>
        </is>
      </c>
      <c r="C687" s="4">
        <f>B687&amp;D687</f>
        <v/>
      </c>
      <c r="D687" s="4" t="inlineStr">
        <is>
          <t>L2303-BN</t>
        </is>
      </c>
      <c r="E687" s="4" t="inlineStr">
        <is>
          <t>130F0023BN1</t>
        </is>
      </c>
      <c r="F687" s="4" t="inlineStr">
        <is>
          <t>23系列四寸连体面盆龙头拉丝封油</t>
        </is>
      </c>
      <c r="G687" s="4" t="inlineStr">
        <is>
          <t>曾志发</t>
        </is>
      </c>
      <c r="H687" s="4" t="inlineStr">
        <is>
          <t>面盆</t>
        </is>
      </c>
      <c r="I687" s="12" t="inlineStr">
        <is>
          <t>否</t>
        </is>
      </c>
      <c r="J687" s="34" t="n">
        <v>44706</v>
      </c>
      <c r="K687" s="34" t="n">
        <v>44706</v>
      </c>
      <c r="L687" s="0">
        <f>DATEDIF(J687,$L$1,"M")</f>
        <v/>
      </c>
      <c r="M687" s="0">
        <f>IF(L687&lt;18,"新品期",IF(L687&lt;=36,"老品期","衰退期"))</f>
        <v/>
      </c>
      <c r="N687" s="36" t="inlineStr">
        <is>
          <t>2025年9月1号以前梁丽梅负责</t>
        </is>
      </c>
    </row>
    <row r="688" ht="15" customFormat="1" customHeight="1" s="36">
      <c r="A688" s="4" t="inlineStr">
        <is>
          <t>HANGORO-US</t>
        </is>
      </c>
      <c r="B688" s="4" t="inlineStr">
        <is>
          <t>Hangoro美国站</t>
        </is>
      </c>
      <c r="C688" s="4">
        <f>B688&amp;D688</f>
        <v/>
      </c>
      <c r="D688" s="4" t="inlineStr">
        <is>
          <t>L2303-BN-ZZ</t>
        </is>
      </c>
      <c r="E688" s="4" t="inlineStr">
        <is>
          <t>130F0023BN1</t>
        </is>
      </c>
      <c r="F688" s="4" t="inlineStr">
        <is>
          <t>23系列四寸连体面盆龙头拉丝封油</t>
        </is>
      </c>
      <c r="G688" s="4" t="inlineStr">
        <is>
          <t>曾志发</t>
        </is>
      </c>
      <c r="H688" s="4" t="inlineStr">
        <is>
          <t>面盆</t>
        </is>
      </c>
      <c r="I688" s="12" t="inlineStr">
        <is>
          <t>是</t>
        </is>
      </c>
      <c r="J688" s="34" t="n">
        <v>44706</v>
      </c>
      <c r="K688" s="34" t="n">
        <v>44706</v>
      </c>
      <c r="L688" s="0">
        <f>DATEDIF(J688,$L$1,"M")</f>
        <v/>
      </c>
      <c r="M688" s="0">
        <f>IF(L688&lt;18,"新品期",IF(L688&lt;=36,"老品期","衰退期"))</f>
        <v/>
      </c>
      <c r="N688" s="36" t="inlineStr">
        <is>
          <t>2025年9月1号以前梁丽梅负责</t>
        </is>
      </c>
    </row>
    <row r="689" ht="15" customFormat="1" customHeight="1" s="36">
      <c r="A689" s="4" t="inlineStr">
        <is>
          <t>HANGORO-US</t>
        </is>
      </c>
      <c r="B689" s="4" t="inlineStr">
        <is>
          <t>Hangoro美国站</t>
        </is>
      </c>
      <c r="C689" s="4">
        <f>B689&amp;D689</f>
        <v/>
      </c>
      <c r="D689" s="4" t="inlineStr">
        <is>
          <t>L2303-CP</t>
        </is>
      </c>
      <c r="E689" s="4" t="inlineStr">
        <is>
          <t>130F0023CP1</t>
        </is>
      </c>
      <c r="F689" s="4" t="inlineStr">
        <is>
          <t>23系列四寸连体面盆龙头铬</t>
        </is>
      </c>
      <c r="G689" s="4" t="inlineStr">
        <is>
          <t>曾志发</t>
        </is>
      </c>
      <c r="H689" s="4" t="inlineStr">
        <is>
          <t>面盆</t>
        </is>
      </c>
      <c r="I689" s="12" t="inlineStr">
        <is>
          <t>否</t>
        </is>
      </c>
      <c r="J689" s="34" t="n">
        <v>44706</v>
      </c>
      <c r="K689" s="34" t="n">
        <v>44706</v>
      </c>
      <c r="L689" s="0">
        <f>DATEDIF(J689,$L$1,"M")</f>
        <v/>
      </c>
      <c r="M689" s="0">
        <f>IF(L689&lt;18,"新品期",IF(L689&lt;=36,"老品期","衰退期"))</f>
        <v/>
      </c>
      <c r="N689" s="36" t="inlineStr">
        <is>
          <t>2025年9月1号以前梁丽梅负责</t>
        </is>
      </c>
    </row>
    <row r="690" ht="15" customFormat="1" customHeight="1" s="36">
      <c r="A690" s="4" t="inlineStr">
        <is>
          <t>HANGORO-US</t>
        </is>
      </c>
      <c r="B690" s="4" t="inlineStr">
        <is>
          <t>Hangoro美国站</t>
        </is>
      </c>
      <c r="C690" s="4">
        <f>B690&amp;D690</f>
        <v/>
      </c>
      <c r="D690" s="4" t="inlineStr">
        <is>
          <t>L2303-CP-ZZ</t>
        </is>
      </c>
      <c r="E690" s="4" t="inlineStr">
        <is>
          <t>130F0023CP1</t>
        </is>
      </c>
      <c r="F690" s="4" t="inlineStr">
        <is>
          <t>23系列四寸连体面盆龙头铬</t>
        </is>
      </c>
      <c r="G690" s="4" t="inlineStr">
        <is>
          <t>曾志发</t>
        </is>
      </c>
      <c r="H690" s="4" t="inlineStr">
        <is>
          <t>面盆</t>
        </is>
      </c>
      <c r="I690" s="12" t="inlineStr">
        <is>
          <t>是</t>
        </is>
      </c>
      <c r="J690" s="34" t="n">
        <v>44706</v>
      </c>
      <c r="K690" s="34" t="n">
        <v>44706</v>
      </c>
      <c r="L690" s="0">
        <f>DATEDIF(J690,$L$1,"M")</f>
        <v/>
      </c>
      <c r="M690" s="0">
        <f>IF(L690&lt;18,"新品期",IF(L690&lt;=36,"老品期","衰退期"))</f>
        <v/>
      </c>
      <c r="N690" s="36" t="inlineStr">
        <is>
          <t>2025年9月1号以前梁丽梅负责</t>
        </is>
      </c>
    </row>
    <row r="691" ht="15" customFormat="1" customHeight="1" s="36">
      <c r="A691" s="4" t="inlineStr">
        <is>
          <t>HANGORO-US</t>
        </is>
      </c>
      <c r="B691" s="4" t="inlineStr">
        <is>
          <t>Hangoro美国站</t>
        </is>
      </c>
      <c r="C691" s="4">
        <f>B691&amp;D691</f>
        <v/>
      </c>
      <c r="D691" s="4" t="inlineStr">
        <is>
          <t>L2303-ORB</t>
        </is>
      </c>
      <c r="E691" s="4" t="inlineStr">
        <is>
          <t>130F0023OB1</t>
        </is>
      </c>
      <c r="F691" s="4" t="inlineStr">
        <is>
          <t>23系列四寸连体面盆龙头拉丝古铜色</t>
        </is>
      </c>
      <c r="G691" s="4" t="inlineStr">
        <is>
          <t>曾志发</t>
        </is>
      </c>
      <c r="H691" s="4" t="inlineStr">
        <is>
          <t>面盆</t>
        </is>
      </c>
      <c r="I691" s="12" t="inlineStr">
        <is>
          <t>否</t>
        </is>
      </c>
      <c r="J691" s="34" t="n">
        <v>44706</v>
      </c>
      <c r="K691" s="34" t="n">
        <v>44706</v>
      </c>
      <c r="L691" s="0">
        <f>DATEDIF(J691,$L$1,"M")</f>
        <v/>
      </c>
      <c r="M691" s="0">
        <f>IF(L691&lt;18,"新品期",IF(L691&lt;=36,"老品期","衰退期"))</f>
        <v/>
      </c>
      <c r="N691" s="36" t="inlineStr">
        <is>
          <t>2025年9月1号以前梁丽梅负责</t>
        </is>
      </c>
    </row>
    <row r="692" ht="15" customFormat="1" customHeight="1" s="36">
      <c r="A692" s="4" t="inlineStr">
        <is>
          <t>HANGORO-US</t>
        </is>
      </c>
      <c r="B692" s="4" t="inlineStr">
        <is>
          <t>Hangoro美国站</t>
        </is>
      </c>
      <c r="C692" s="4">
        <f>B692&amp;D692</f>
        <v/>
      </c>
      <c r="D692" s="4" t="inlineStr">
        <is>
          <t>L2304-BG</t>
        </is>
      </c>
      <c r="E692" s="4" t="inlineStr">
        <is>
          <t>140F0023BG1</t>
        </is>
      </c>
      <c r="F692" s="4" t="inlineStr">
        <is>
          <t>23系列四寸分体面盆龙头拉丝钛金封油</t>
        </is>
      </c>
      <c r="G692" s="4" t="inlineStr">
        <is>
          <t>曾志发</t>
        </is>
      </c>
      <c r="H692" s="4" t="inlineStr">
        <is>
          <t>面盆</t>
        </is>
      </c>
      <c r="I692" s="12" t="inlineStr">
        <is>
          <t>否</t>
        </is>
      </c>
      <c r="J692" s="34" t="n">
        <v>44757</v>
      </c>
      <c r="K692" s="34" t="n">
        <v>44757</v>
      </c>
      <c r="L692" s="0">
        <f>DATEDIF(J692,$L$1,"M")</f>
        <v/>
      </c>
      <c r="M692" s="0">
        <f>IF(L692&lt;18,"新品期",IF(L692&lt;=36,"老品期","衰退期"))</f>
        <v/>
      </c>
      <c r="N692" s="36" t="inlineStr">
        <is>
          <t>2025年9月1号以前梁丽梅负责</t>
        </is>
      </c>
    </row>
    <row r="693" ht="15" customFormat="1" customHeight="1" s="36">
      <c r="A693" s="4" t="inlineStr">
        <is>
          <t>HANGORO-US</t>
        </is>
      </c>
      <c r="B693" s="4" t="inlineStr">
        <is>
          <t>Hangoro美国站</t>
        </is>
      </c>
      <c r="C693" s="4">
        <f>B693&amp;D693</f>
        <v/>
      </c>
      <c r="D693" s="4" t="inlineStr">
        <is>
          <t>L2304-BG3</t>
        </is>
      </c>
      <c r="E693" s="4" t="inlineStr">
        <is>
          <t>140F0023BG3</t>
        </is>
      </c>
      <c r="F693" s="4" t="inlineStr">
        <is>
          <t>23系列四寸分体面盆龙头拉丝锆金封油</t>
        </is>
      </c>
      <c r="G693" s="4" t="inlineStr">
        <is>
          <t>曾志发</t>
        </is>
      </c>
      <c r="H693" s="4" t="inlineStr">
        <is>
          <t>面盆</t>
        </is>
      </c>
      <c r="I693" s="12" t="inlineStr">
        <is>
          <t>否</t>
        </is>
      </c>
      <c r="J693" s="34" t="n">
        <v>44757</v>
      </c>
      <c r="K693" s="34" t="n">
        <v>44757</v>
      </c>
      <c r="L693" s="0">
        <f>DATEDIF(J693,$L$1,"M")</f>
        <v/>
      </c>
      <c r="M693" s="0">
        <f>IF(L693&lt;18,"新品期",IF(L693&lt;=36,"老品期","衰退期"))</f>
        <v/>
      </c>
      <c r="N693" s="36" t="inlineStr">
        <is>
          <t>2025年9月1号以前梁丽梅负责</t>
        </is>
      </c>
    </row>
    <row r="694" ht="15" customFormat="1" customHeight="1" s="36">
      <c r="A694" s="4" t="inlineStr">
        <is>
          <t>HANGORO-US</t>
        </is>
      </c>
      <c r="B694" s="4" t="inlineStr">
        <is>
          <t>Hangoro美国站</t>
        </is>
      </c>
      <c r="C694" s="4">
        <f>B694&amp;D694</f>
        <v/>
      </c>
      <c r="D694" s="4" t="inlineStr">
        <is>
          <t>L2304-BK</t>
        </is>
      </c>
      <c r="E694" s="4" t="inlineStr">
        <is>
          <t>140F0023BK1</t>
        </is>
      </c>
      <c r="F694" s="4" t="inlineStr">
        <is>
          <t>23系列四寸分体面盆龙头电泳黑</t>
        </is>
      </c>
      <c r="G694" s="4" t="inlineStr">
        <is>
          <t>曾志发</t>
        </is>
      </c>
      <c r="H694" s="4" t="inlineStr">
        <is>
          <t>面盆</t>
        </is>
      </c>
      <c r="I694" s="12" t="inlineStr">
        <is>
          <t>否</t>
        </is>
      </c>
      <c r="J694" s="34" t="n">
        <v>44757</v>
      </c>
      <c r="K694" s="34" t="n">
        <v>44757</v>
      </c>
      <c r="L694" s="0">
        <f>DATEDIF(J694,$L$1,"M")</f>
        <v/>
      </c>
      <c r="M694" s="0">
        <f>IF(L694&lt;18,"新品期",IF(L694&lt;=36,"老品期","衰退期"))</f>
        <v/>
      </c>
      <c r="N694" s="36" t="inlineStr">
        <is>
          <t>2025年9月1号以前梁丽梅负责</t>
        </is>
      </c>
    </row>
    <row r="695" ht="15" customFormat="1" customHeight="1" s="36">
      <c r="A695" s="4" t="inlineStr">
        <is>
          <t>HANGORO-US</t>
        </is>
      </c>
      <c r="B695" s="4" t="inlineStr">
        <is>
          <t>Hangoro美国站</t>
        </is>
      </c>
      <c r="C695" s="4">
        <f>B695&amp;D695</f>
        <v/>
      </c>
      <c r="D695" s="4" t="inlineStr">
        <is>
          <t>L2304-BN</t>
        </is>
      </c>
      <c r="E695" s="4" t="inlineStr">
        <is>
          <t>140F0023BN1</t>
        </is>
      </c>
      <c r="F695" s="4" t="inlineStr">
        <is>
          <t>23系列四寸分体面盆龙头拉丝封油</t>
        </is>
      </c>
      <c r="G695" s="4" t="inlineStr">
        <is>
          <t>曾志发</t>
        </is>
      </c>
      <c r="H695" s="4" t="inlineStr">
        <is>
          <t>面盆</t>
        </is>
      </c>
      <c r="I695" s="12" t="inlineStr">
        <is>
          <t>否</t>
        </is>
      </c>
      <c r="J695" s="34" t="n">
        <v>44757</v>
      </c>
      <c r="K695" s="34" t="n">
        <v>44757</v>
      </c>
      <c r="L695" s="0">
        <f>DATEDIF(J695,$L$1,"M")</f>
        <v/>
      </c>
      <c r="M695" s="0">
        <f>IF(L695&lt;18,"新品期",IF(L695&lt;=36,"老品期","衰退期"))</f>
        <v/>
      </c>
      <c r="N695" s="36" t="inlineStr">
        <is>
          <t>2025年9月1号以前梁丽梅负责</t>
        </is>
      </c>
    </row>
    <row r="696" ht="15" customFormat="1" customHeight="1" s="36">
      <c r="A696" s="4" t="inlineStr">
        <is>
          <t>HANGORO-US</t>
        </is>
      </c>
      <c r="B696" s="4" t="inlineStr">
        <is>
          <t>Hangoro美国站</t>
        </is>
      </c>
      <c r="C696" s="4">
        <f>B696&amp;D696</f>
        <v/>
      </c>
      <c r="D696" s="4" t="inlineStr">
        <is>
          <t>L2304-CP</t>
        </is>
      </c>
      <c r="E696" s="4" t="inlineStr">
        <is>
          <t>140F0023CP1</t>
        </is>
      </c>
      <c r="F696" s="4" t="inlineStr">
        <is>
          <t>23系列四寸分体面盆龙头铬</t>
        </is>
      </c>
      <c r="G696" s="4" t="inlineStr">
        <is>
          <t>曾志发</t>
        </is>
      </c>
      <c r="H696" s="4" t="inlineStr">
        <is>
          <t>面盆</t>
        </is>
      </c>
      <c r="I696" s="12" t="inlineStr">
        <is>
          <t>否</t>
        </is>
      </c>
      <c r="J696" s="34" t="n">
        <v>44757</v>
      </c>
      <c r="K696" s="34" t="n">
        <v>44757</v>
      </c>
      <c r="L696" s="0">
        <f>DATEDIF(J696,$L$1,"M")</f>
        <v/>
      </c>
      <c r="M696" s="0">
        <f>IF(L696&lt;18,"新品期",IF(L696&lt;=36,"老品期","衰退期"))</f>
        <v/>
      </c>
      <c r="N696" s="36" t="inlineStr">
        <is>
          <t>2025年9月1号以前梁丽梅负责</t>
        </is>
      </c>
    </row>
    <row r="697" ht="15" customFormat="1" customHeight="1" s="36">
      <c r="A697" s="4" t="inlineStr">
        <is>
          <t>HANGORO-US</t>
        </is>
      </c>
      <c r="B697" s="4" t="inlineStr">
        <is>
          <t>Hangoro美国站</t>
        </is>
      </c>
      <c r="C697" s="4">
        <f>B697&amp;D697</f>
        <v/>
      </c>
      <c r="D697" s="4" t="inlineStr">
        <is>
          <t>L2304-ORB</t>
        </is>
      </c>
      <c r="E697" s="4" t="inlineStr">
        <is>
          <t>140F0023OB1</t>
        </is>
      </c>
      <c r="F697" s="4" t="inlineStr">
        <is>
          <t>23系列四寸分体面盆龙头拉丝古铜色</t>
        </is>
      </c>
      <c r="G697" s="4" t="inlineStr">
        <is>
          <t>曾志发</t>
        </is>
      </c>
      <c r="H697" s="4" t="inlineStr">
        <is>
          <t>面盆</t>
        </is>
      </c>
      <c r="I697" s="12" t="inlineStr">
        <is>
          <t>否</t>
        </is>
      </c>
      <c r="J697" s="34" t="n">
        <v>44757</v>
      </c>
      <c r="K697" s="34" t="n">
        <v>44757</v>
      </c>
      <c r="L697" s="0">
        <f>DATEDIF(J697,$L$1,"M")</f>
        <v/>
      </c>
      <c r="M697" s="0">
        <f>IF(L697&lt;18,"新品期",IF(L697&lt;=36,"老品期","衰退期"))</f>
        <v/>
      </c>
      <c r="N697" s="36" t="inlineStr">
        <is>
          <t>2025年9月1号以前梁丽梅负责</t>
        </is>
      </c>
    </row>
    <row r="698" ht="15" customFormat="1" customHeight="1" s="36">
      <c r="A698" s="4" t="inlineStr">
        <is>
          <t>HANGORO-US</t>
        </is>
      </c>
      <c r="B698" s="4" t="inlineStr">
        <is>
          <t>Hangoro美国站</t>
        </is>
      </c>
      <c r="C698" s="4">
        <f>B698&amp;D698</f>
        <v/>
      </c>
      <c r="D698" s="4" t="inlineStr">
        <is>
          <t>L2305-BG</t>
        </is>
      </c>
      <c r="E698" s="4" t="inlineStr">
        <is>
          <t>150F0023BG1</t>
        </is>
      </c>
      <c r="F698" s="4" t="inlineStr">
        <is>
          <t>23系列入墙面盆龙头拉丝钛金封油</t>
        </is>
      </c>
      <c r="G698" s="4" t="inlineStr">
        <is>
          <t>曾志发</t>
        </is>
      </c>
      <c r="H698" s="4" t="inlineStr">
        <is>
          <t>面盆</t>
        </is>
      </c>
      <c r="I698" s="12" t="inlineStr">
        <is>
          <t>是</t>
        </is>
      </c>
      <c r="J698" s="34" t="n">
        <v>44804</v>
      </c>
      <c r="K698" s="34" t="n">
        <v>44757</v>
      </c>
      <c r="L698" s="0">
        <f>DATEDIF(J698,$L$1,"M")</f>
        <v/>
      </c>
      <c r="M698" s="0">
        <f>IF(L698&lt;18,"新品期",IF(L698&lt;=36,"老品期","衰退期"))</f>
        <v/>
      </c>
      <c r="N698" s="36" t="inlineStr">
        <is>
          <t>2025年9月1号以前梁丽梅负责</t>
        </is>
      </c>
    </row>
    <row r="699" ht="15" customFormat="1" customHeight="1" s="36">
      <c r="A699" s="4" t="inlineStr">
        <is>
          <t>HANGORO-US</t>
        </is>
      </c>
      <c r="B699" s="4" t="inlineStr">
        <is>
          <t>Hangoro美国站</t>
        </is>
      </c>
      <c r="C699" s="4">
        <f>B699&amp;D699</f>
        <v/>
      </c>
      <c r="D699" s="4" t="inlineStr">
        <is>
          <t>L2305-BK</t>
        </is>
      </c>
      <c r="E699" s="4" t="inlineStr">
        <is>
          <t>150F0023BK1</t>
        </is>
      </c>
      <c r="F699" s="4" t="inlineStr">
        <is>
          <t>23系列入墙面盆龙头电泳黑</t>
        </is>
      </c>
      <c r="G699" s="4" t="inlineStr">
        <is>
          <t>曾志发</t>
        </is>
      </c>
      <c r="H699" s="4" t="inlineStr">
        <is>
          <t>面盆</t>
        </is>
      </c>
      <c r="I699" s="12" t="inlineStr">
        <is>
          <t>是</t>
        </is>
      </c>
      <c r="J699" s="34" t="n">
        <v>44804</v>
      </c>
      <c r="K699" s="34" t="n">
        <v>44757</v>
      </c>
      <c r="L699" s="0">
        <f>DATEDIF(J699,$L$1,"M")</f>
        <v/>
      </c>
      <c r="M699" s="0">
        <f>IF(L699&lt;18,"新品期",IF(L699&lt;=36,"老品期","衰退期"))</f>
        <v/>
      </c>
      <c r="N699" s="36" t="inlineStr">
        <is>
          <t>2025年9月1号以前梁丽梅负责</t>
        </is>
      </c>
    </row>
    <row r="700" ht="15" customFormat="1" customHeight="1" s="36">
      <c r="A700" s="4" t="inlineStr">
        <is>
          <t>HANGORO-US</t>
        </is>
      </c>
      <c r="B700" s="4" t="inlineStr">
        <is>
          <t>Hangoro美国站</t>
        </is>
      </c>
      <c r="C700" s="4">
        <f>B700&amp;D700</f>
        <v/>
      </c>
      <c r="D700" s="4" t="inlineStr">
        <is>
          <t>L2305-BN</t>
        </is>
      </c>
      <c r="E700" s="4" t="inlineStr">
        <is>
          <t>150F0023BN1</t>
        </is>
      </c>
      <c r="F700" s="4" t="inlineStr">
        <is>
          <t>23系列入墙面盆龙头拉丝封油</t>
        </is>
      </c>
      <c r="G700" s="4" t="inlineStr">
        <is>
          <t>曾志发</t>
        </is>
      </c>
      <c r="H700" s="4" t="inlineStr">
        <is>
          <t>面盆</t>
        </is>
      </c>
      <c r="I700" s="12" t="inlineStr">
        <is>
          <t>是</t>
        </is>
      </c>
      <c r="J700" s="34" t="n">
        <v>44804</v>
      </c>
      <c r="K700" s="34" t="n">
        <v>44757</v>
      </c>
      <c r="L700" s="0">
        <f>DATEDIF(J700,$L$1,"M")</f>
        <v/>
      </c>
      <c r="M700" s="0">
        <f>IF(L700&lt;18,"新品期",IF(L700&lt;=36,"老品期","衰退期"))</f>
        <v/>
      </c>
      <c r="N700" s="36" t="inlineStr">
        <is>
          <t>2025年9月1号以前梁丽梅负责</t>
        </is>
      </c>
    </row>
    <row r="701" ht="15" customFormat="1" customHeight="1" s="36">
      <c r="A701" s="4" t="inlineStr">
        <is>
          <t>HANGORO-US</t>
        </is>
      </c>
      <c r="B701" s="4" t="inlineStr">
        <is>
          <t>Hangoro美国站</t>
        </is>
      </c>
      <c r="C701" s="4">
        <f>B701&amp;D701</f>
        <v/>
      </c>
      <c r="D701" s="4" t="inlineStr">
        <is>
          <t>L2305-CP</t>
        </is>
      </c>
      <c r="E701" s="4" t="inlineStr">
        <is>
          <t>150F0023CP1</t>
        </is>
      </c>
      <c r="F701" s="4" t="inlineStr">
        <is>
          <t>23系列入墙面盆龙头铬</t>
        </is>
      </c>
      <c r="G701" s="4" t="inlineStr">
        <is>
          <t>曾志发</t>
        </is>
      </c>
      <c r="H701" s="4" t="inlineStr">
        <is>
          <t>面盆</t>
        </is>
      </c>
      <c r="I701" s="12" t="inlineStr">
        <is>
          <t>是</t>
        </is>
      </c>
      <c r="J701" s="34" t="n">
        <v>44804</v>
      </c>
      <c r="K701" s="34" t="n">
        <v>44757</v>
      </c>
      <c r="L701" s="0">
        <f>DATEDIF(J701,$L$1,"M")</f>
        <v/>
      </c>
      <c r="M701" s="0">
        <f>IF(L701&lt;18,"新品期",IF(L701&lt;=36,"老品期","衰退期"))</f>
        <v/>
      </c>
      <c r="N701" s="36" t="inlineStr">
        <is>
          <t>2025年9月1号以前梁丽梅负责</t>
        </is>
      </c>
    </row>
    <row r="702" ht="15" customFormat="1" customHeight="1" s="36">
      <c r="A702" s="4" t="inlineStr">
        <is>
          <t>HANGORO-US</t>
        </is>
      </c>
      <c r="B702" s="4" t="inlineStr">
        <is>
          <t>Hangoro美国站</t>
        </is>
      </c>
      <c r="C702" s="4">
        <f>B702&amp;D702</f>
        <v/>
      </c>
      <c r="D702" s="4" t="inlineStr">
        <is>
          <t>L2305-CP-ZZ</t>
        </is>
      </c>
      <c r="E702" s="4" t="inlineStr">
        <is>
          <t>150F0023CP1</t>
        </is>
      </c>
      <c r="F702" s="4" t="inlineStr">
        <is>
          <t>23系列入墙面盆龙头铬</t>
        </is>
      </c>
      <c r="G702" s="4" t="inlineStr">
        <is>
          <t>曾志发</t>
        </is>
      </c>
      <c r="H702" s="4" t="inlineStr">
        <is>
          <t>面盆</t>
        </is>
      </c>
      <c r="I702" s="12" t="inlineStr">
        <is>
          <t>是</t>
        </is>
      </c>
      <c r="J702" s="34" t="n">
        <v>44804</v>
      </c>
      <c r="K702" s="34" t="n">
        <v>44757</v>
      </c>
      <c r="L702" s="0">
        <f>DATEDIF(J702,$L$1,"M")</f>
        <v/>
      </c>
      <c r="M702" s="0">
        <f>IF(L702&lt;18,"新品期",IF(L702&lt;=36,"老品期","衰退期"))</f>
        <v/>
      </c>
      <c r="N702" s="36" t="inlineStr">
        <is>
          <t>2025年9月1号以前梁丽梅负责</t>
        </is>
      </c>
    </row>
    <row r="703" ht="15" customFormat="1" customHeight="1" s="36">
      <c r="A703" s="4" t="inlineStr">
        <is>
          <t>HANGORO-US</t>
        </is>
      </c>
      <c r="B703" s="4" t="inlineStr">
        <is>
          <t>Hangoro美国站</t>
        </is>
      </c>
      <c r="C703" s="4">
        <f>B703&amp;D703</f>
        <v/>
      </c>
      <c r="D703" s="4" t="inlineStr">
        <is>
          <t>L2305-ORB</t>
        </is>
      </c>
      <c r="E703" s="4" t="inlineStr">
        <is>
          <t>150F0023OB1</t>
        </is>
      </c>
      <c r="F703" s="4" t="inlineStr">
        <is>
          <t>23系列入墙面盆龙头拉丝古铜色</t>
        </is>
      </c>
      <c r="G703" s="4" t="inlineStr">
        <is>
          <t>曾志发</t>
        </is>
      </c>
      <c r="H703" s="4" t="inlineStr">
        <is>
          <t>面盆</t>
        </is>
      </c>
      <c r="I703" s="12" t="inlineStr">
        <is>
          <t>是</t>
        </is>
      </c>
      <c r="J703" s="34" t="n">
        <v>44804</v>
      </c>
      <c r="K703" s="34" t="n">
        <v>44757</v>
      </c>
      <c r="L703" s="0">
        <f>DATEDIF(J703,$L$1,"M")</f>
        <v/>
      </c>
      <c r="M703" s="0">
        <f>IF(L703&lt;18,"新品期",IF(L703&lt;=36,"老品期","衰退期"))</f>
        <v/>
      </c>
      <c r="N703" s="36" t="inlineStr">
        <is>
          <t>2025年9月1号以前梁丽梅负责</t>
        </is>
      </c>
    </row>
    <row r="704" ht="15" customFormat="1" customHeight="1" s="36">
      <c r="A704" s="4" t="inlineStr">
        <is>
          <t>KZ-liu-CA</t>
        </is>
      </c>
      <c r="B704" s="4" t="inlineStr">
        <is>
          <t>Kruzoo加拿大站</t>
        </is>
      </c>
      <c r="C704" s="4">
        <f>B704&amp;D704</f>
        <v/>
      </c>
      <c r="D704" s="4" t="inlineStr">
        <is>
          <t>LY08081BG</t>
        </is>
      </c>
      <c r="E704" s="4" t="inlineStr">
        <is>
          <t>320F0121BG1</t>
        </is>
      </c>
      <c r="F704" s="4" t="inlineStr">
        <is>
          <t>0121二功能入墙暗装淋浴龙头(顶喷+手持)拉丝钛金封油(12寸顶喷)</t>
        </is>
      </c>
      <c r="G704" s="4" t="inlineStr">
        <is>
          <t>宋江</t>
        </is>
      </c>
      <c r="H704" s="4" t="inlineStr">
        <is>
          <t>暗装淋浴</t>
        </is>
      </c>
      <c r="I704" s="12" t="inlineStr">
        <is>
          <t>是</t>
        </is>
      </c>
      <c r="J704" s="34" t="n">
        <v>44442</v>
      </c>
      <c r="K704" s="34" t="n">
        <v>44503</v>
      </c>
      <c r="L704" s="0">
        <f>DATEDIF(J704,$L$1,"M")</f>
        <v/>
      </c>
      <c r="M704" s="0">
        <f>IF(L704&lt;18,"新品期",IF(L704&lt;=36,"老品期","衰退期"))</f>
        <v/>
      </c>
      <c r="N704" s="36" t="inlineStr">
        <is>
          <t>2025年9月8以前何嘉威负责</t>
        </is>
      </c>
    </row>
    <row r="705" ht="15" customFormat="1" customHeight="1" s="36">
      <c r="A705" s="4" t="inlineStr">
        <is>
          <t>KZ-liu-CA</t>
        </is>
      </c>
      <c r="B705" s="4" t="inlineStr">
        <is>
          <t>Kruzoo加拿大站</t>
        </is>
      </c>
      <c r="C705" s="4">
        <f>B705&amp;D705</f>
        <v/>
      </c>
      <c r="D705" s="4" t="inlineStr">
        <is>
          <t>LY08081BN</t>
        </is>
      </c>
      <c r="E705" s="4" t="inlineStr">
        <is>
          <t>320F0121BN1</t>
        </is>
      </c>
      <c r="F705" s="4" t="inlineStr">
        <is>
          <t>0121二功能入墙暗装淋浴龙头(顶喷+手持)拉丝封半哑油(12寸顶喷)</t>
        </is>
      </c>
      <c r="G705" s="4" t="inlineStr">
        <is>
          <t>宋江</t>
        </is>
      </c>
      <c r="H705" s="4" t="inlineStr">
        <is>
          <t>暗装淋浴</t>
        </is>
      </c>
      <c r="I705" s="12" t="inlineStr">
        <is>
          <t>是</t>
        </is>
      </c>
      <c r="J705" s="34" t="n">
        <v>44442</v>
      </c>
      <c r="K705" s="34" t="n">
        <v>44503</v>
      </c>
      <c r="L705" s="0">
        <f>DATEDIF(J705,$L$1,"M")</f>
        <v/>
      </c>
      <c r="M705" s="0">
        <f>IF(L705&lt;18,"新品期",IF(L705&lt;=36,"老品期","衰退期"))</f>
        <v/>
      </c>
      <c r="N705" s="36" t="inlineStr">
        <is>
          <t>2025年9月8以前何嘉威负责</t>
        </is>
      </c>
    </row>
    <row r="706" ht="15" customFormat="1" customHeight="1" s="36">
      <c r="A706" s="4" t="inlineStr">
        <is>
          <t>KZ-liu-CA</t>
        </is>
      </c>
      <c r="B706" s="4" t="inlineStr">
        <is>
          <t>Kruzoo加拿大站</t>
        </is>
      </c>
      <c r="C706" s="4">
        <f>B706&amp;D706</f>
        <v/>
      </c>
      <c r="D706" s="4" t="inlineStr">
        <is>
          <t>LY08081CP</t>
        </is>
      </c>
      <c r="E706" s="4" t="inlineStr">
        <is>
          <t>320F0121CP1</t>
        </is>
      </c>
      <c r="F706" s="4" t="inlineStr">
        <is>
          <t>0121二功能入墙暗装淋浴龙头(顶喷+手持)铬(12寸顶喷)</t>
        </is>
      </c>
      <c r="G706" s="4" t="inlineStr">
        <is>
          <t>宋江</t>
        </is>
      </c>
      <c r="H706" s="4" t="inlineStr">
        <is>
          <t>暗装淋浴</t>
        </is>
      </c>
      <c r="I706" s="12" t="inlineStr">
        <is>
          <t>是</t>
        </is>
      </c>
      <c r="J706" s="34" t="n">
        <v>44442</v>
      </c>
      <c r="K706" s="34" t="n">
        <v>44503</v>
      </c>
      <c r="L706" s="0">
        <f>DATEDIF(J706,$L$1,"M")</f>
        <v/>
      </c>
      <c r="M706" s="0">
        <f>IF(L706&lt;18,"新品期",IF(L706&lt;=36,"老品期","衰退期"))</f>
        <v/>
      </c>
      <c r="N706" s="36" t="inlineStr">
        <is>
          <t>2025年9月8以前何嘉威负责</t>
        </is>
      </c>
    </row>
    <row r="707" ht="15" customFormat="1" customHeight="1" s="36">
      <c r="A707" s="4" t="inlineStr">
        <is>
          <t>KZ-liu-CA</t>
        </is>
      </c>
      <c r="B707" s="4" t="inlineStr">
        <is>
          <t>Kruzoo加拿大站</t>
        </is>
      </c>
      <c r="C707" s="4">
        <f>B707&amp;D707</f>
        <v/>
      </c>
      <c r="D707" s="4" t="inlineStr">
        <is>
          <t>LY08081MB</t>
        </is>
      </c>
      <c r="E707" s="4" t="inlineStr">
        <is>
          <t>320F0121BK1</t>
        </is>
      </c>
      <c r="F707" s="4" t="inlineStr">
        <is>
          <t>0121二功能入墙暗装淋浴龙头(顶喷+手持)电泳黑(12寸顶喷)</t>
        </is>
      </c>
      <c r="G707" s="4" t="inlineStr">
        <is>
          <t>宋江</t>
        </is>
      </c>
      <c r="H707" s="4" t="inlineStr">
        <is>
          <t>暗装淋浴</t>
        </is>
      </c>
      <c r="I707" s="12" t="inlineStr">
        <is>
          <t>是</t>
        </is>
      </c>
      <c r="J707" s="34" t="n">
        <v>44442</v>
      </c>
      <c r="K707" s="34" t="n">
        <v>44503</v>
      </c>
      <c r="L707" s="0">
        <f>DATEDIF(J707,$L$1,"M")</f>
        <v/>
      </c>
      <c r="M707" s="0">
        <f>IF(L707&lt;18,"新品期",IF(L707&lt;=36,"老品期","衰退期"))</f>
        <v/>
      </c>
      <c r="N707" s="36" t="inlineStr">
        <is>
          <t>2025年9月8以前何嘉威负责</t>
        </is>
      </c>
    </row>
    <row r="708" ht="15" customFormat="1" customHeight="1" s="36">
      <c r="A708" s="4" t="inlineStr">
        <is>
          <t>KZ-liu-CA</t>
        </is>
      </c>
      <c r="B708" s="4" t="inlineStr">
        <is>
          <t>Kruzoo加拿大站</t>
        </is>
      </c>
      <c r="C708" s="4">
        <f>B708&amp;D708</f>
        <v/>
      </c>
      <c r="D708" s="4" t="inlineStr">
        <is>
          <t>LY08082BG</t>
        </is>
      </c>
      <c r="E708" s="4" t="inlineStr">
        <is>
          <t>320F9082BG1</t>
        </is>
      </c>
      <c r="F708" s="4" t="inlineStr">
        <is>
          <t>9082二功能入墙暗装淋浴龙头(顶喷+手持)拉丝钛金封油(12寸吊顶)</t>
        </is>
      </c>
      <c r="G708" s="4" t="inlineStr">
        <is>
          <t>宋江</t>
        </is>
      </c>
      <c r="H708" s="4" t="inlineStr">
        <is>
          <t>暗装淋浴</t>
        </is>
      </c>
      <c r="I708" s="12" t="inlineStr">
        <is>
          <t>是</t>
        </is>
      </c>
      <c r="J708" s="34" t="n">
        <v>44747</v>
      </c>
      <c r="K708" s="34" t="n">
        <v>44809</v>
      </c>
      <c r="L708" s="0">
        <f>DATEDIF(J708,$L$1,"M")</f>
        <v/>
      </c>
      <c r="M708" s="0">
        <f>IF(L708&lt;18,"新品期",IF(L708&lt;=36,"老品期","衰退期"))</f>
        <v/>
      </c>
      <c r="N708" s="36" t="inlineStr">
        <is>
          <t>2025年9月8以前何嘉威负责</t>
        </is>
      </c>
    </row>
    <row r="709" ht="15" customFormat="1" customHeight="1" s="36">
      <c r="A709" s="4" t="inlineStr">
        <is>
          <t>KZ-liu-MX</t>
        </is>
      </c>
      <c r="B709" s="4" t="inlineStr">
        <is>
          <t>Kruzoo墨西哥站</t>
        </is>
      </c>
      <c r="C709" s="4">
        <f>B709&amp;D709</f>
        <v/>
      </c>
      <c r="D709" s="4" t="inlineStr">
        <is>
          <t>LY08082BG</t>
        </is>
      </c>
      <c r="E709" s="4" t="inlineStr">
        <is>
          <t>320F9082BG1</t>
        </is>
      </c>
      <c r="F709" s="4" t="inlineStr">
        <is>
          <t>9082二功能入墙暗装淋浴龙头(顶喷+手持)拉丝钛金封油(12寸吊顶)</t>
        </is>
      </c>
      <c r="G709" s="4" t="inlineStr">
        <is>
          <t>宋江</t>
        </is>
      </c>
      <c r="H709" s="4" t="inlineStr">
        <is>
          <t>暗装淋浴</t>
        </is>
      </c>
      <c r="I709" s="12" t="inlineStr">
        <is>
          <t>是</t>
        </is>
      </c>
      <c r="J709" s="34" t="n">
        <v>44747</v>
      </c>
      <c r="K709" s="34" t="n">
        <v>44809</v>
      </c>
      <c r="L709" s="0">
        <f>DATEDIF(J709,$L$1,"M")</f>
        <v/>
      </c>
      <c r="M709" s="0">
        <f>IF(L709&lt;18,"新品期",IF(L709&lt;=36,"老品期","衰退期"))</f>
        <v/>
      </c>
      <c r="N709" s="36" t="inlineStr">
        <is>
          <t>2025年9月8以前何嘉威负责</t>
        </is>
      </c>
    </row>
    <row r="710" ht="15" customFormat="1" customHeight="1" s="36">
      <c r="A710" s="4" t="inlineStr">
        <is>
          <t>KZ-liu-US</t>
        </is>
      </c>
      <c r="B710" s="4" t="inlineStr">
        <is>
          <t>Kruzoo美国站</t>
        </is>
      </c>
      <c r="C710" s="4">
        <f>B710&amp;D710</f>
        <v/>
      </c>
      <c r="D710" s="4" t="inlineStr">
        <is>
          <t>LY08082BN</t>
        </is>
      </c>
      <c r="E710" s="4" t="inlineStr">
        <is>
          <t>320F9082BN2</t>
        </is>
      </c>
      <c r="F710" s="4" t="inlineStr">
        <is>
          <t>9082二功能入墙暗装淋浴龙头(顶喷+手持)拉丝封半哑油(12寸吊顶)</t>
        </is>
      </c>
      <c r="G710" s="4" t="inlineStr">
        <is>
          <t>宋江</t>
        </is>
      </c>
      <c r="H710" s="4" t="inlineStr">
        <is>
          <t>暗装淋浴</t>
        </is>
      </c>
      <c r="I710" s="12" t="inlineStr">
        <is>
          <t>是</t>
        </is>
      </c>
      <c r="J710" s="34" t="n">
        <v>44747</v>
      </c>
      <c r="K710" s="34" t="n">
        <v>44809</v>
      </c>
      <c r="L710" s="0">
        <f>DATEDIF(J710,$L$1,"M")</f>
        <v/>
      </c>
      <c r="M710" s="0">
        <f>IF(L710&lt;18,"新品期",IF(L710&lt;=36,"老品期","衰退期"))</f>
        <v/>
      </c>
      <c r="N710" s="36" t="inlineStr">
        <is>
          <t>2025年9月8以前何嘉威负责</t>
        </is>
      </c>
    </row>
    <row r="711" ht="15" customFormat="1" customHeight="1" s="36">
      <c r="A711" s="4" t="inlineStr">
        <is>
          <t>KZ-liu-CA</t>
        </is>
      </c>
      <c r="B711" s="4" t="inlineStr">
        <is>
          <t>Kruzoo加拿大站</t>
        </is>
      </c>
      <c r="C711" s="4">
        <f>B711&amp;D711</f>
        <v/>
      </c>
      <c r="D711" s="4" t="inlineStr">
        <is>
          <t>LY08082BN</t>
        </is>
      </c>
      <c r="E711" s="4" t="inlineStr">
        <is>
          <t>320F9082BN2</t>
        </is>
      </c>
      <c r="F711" s="4" t="inlineStr">
        <is>
          <t>9082二功能入墙暗装淋浴龙头(顶喷+手持)拉丝封半哑油(12寸吊顶)</t>
        </is>
      </c>
      <c r="G711" s="4" t="inlineStr">
        <is>
          <t>宋江</t>
        </is>
      </c>
      <c r="H711" s="4" t="inlineStr">
        <is>
          <t>暗装淋浴</t>
        </is>
      </c>
      <c r="I711" s="12" t="inlineStr">
        <is>
          <t>是</t>
        </is>
      </c>
      <c r="J711" s="34" t="n">
        <v>44747</v>
      </c>
      <c r="K711" s="34" t="n">
        <v>44809</v>
      </c>
      <c r="L711" s="0">
        <f>DATEDIF(J711,$L$1,"M")</f>
        <v/>
      </c>
      <c r="M711" s="0">
        <f>IF(L711&lt;18,"新品期",IF(L711&lt;=36,"老品期","衰退期"))</f>
        <v/>
      </c>
      <c r="N711" s="36" t="inlineStr">
        <is>
          <t>2025年9月8以前何嘉威负责</t>
        </is>
      </c>
    </row>
    <row r="712" ht="15" customFormat="1" customHeight="1" s="36">
      <c r="A712" s="4" t="inlineStr">
        <is>
          <t>KZ-liu-MX</t>
        </is>
      </c>
      <c r="B712" s="4" t="inlineStr">
        <is>
          <t>Kruzoo墨西哥站</t>
        </is>
      </c>
      <c r="C712" s="4">
        <f>B712&amp;D712</f>
        <v/>
      </c>
      <c r="D712" s="4" t="inlineStr">
        <is>
          <t>LY08082BN</t>
        </is>
      </c>
      <c r="E712" s="4" t="inlineStr">
        <is>
          <t>320F9082BN2</t>
        </is>
      </c>
      <c r="F712" s="4" t="inlineStr">
        <is>
          <t>9082二功能入墙暗装淋浴龙头(顶喷+手持)拉丝封半哑油(12寸吊顶)</t>
        </is>
      </c>
      <c r="G712" s="4" t="inlineStr">
        <is>
          <t>宋江</t>
        </is>
      </c>
      <c r="H712" s="4" t="inlineStr">
        <is>
          <t>暗装淋浴</t>
        </is>
      </c>
      <c r="I712" s="12" t="inlineStr">
        <is>
          <t>是</t>
        </is>
      </c>
      <c r="J712" s="34" t="n">
        <v>44747</v>
      </c>
      <c r="K712" s="34" t="n">
        <v>44809</v>
      </c>
      <c r="L712" s="0">
        <f>DATEDIF(J712,$L$1,"M")</f>
        <v/>
      </c>
      <c r="M712" s="0">
        <f>IF(L712&lt;18,"新品期",IF(L712&lt;=36,"老品期","衰退期"))</f>
        <v/>
      </c>
      <c r="N712" s="36" t="inlineStr">
        <is>
          <t>2025年9月8以前何嘉威负责</t>
        </is>
      </c>
    </row>
    <row r="713" ht="15" customFormat="1" customHeight="1" s="36">
      <c r="A713" s="4" t="inlineStr">
        <is>
          <t>KZ-liu-CA</t>
        </is>
      </c>
      <c r="B713" s="4" t="inlineStr">
        <is>
          <t>Kruzoo加拿大站</t>
        </is>
      </c>
      <c r="C713" s="4">
        <f>B713&amp;D713</f>
        <v/>
      </c>
      <c r="D713" s="4" t="inlineStr">
        <is>
          <t>LY08082CP</t>
        </is>
      </c>
      <c r="E713" s="4" t="inlineStr">
        <is>
          <t>320F9082CP1</t>
        </is>
      </c>
      <c r="F713" s="4" t="inlineStr">
        <is>
          <t>9082二功能入墙暗装淋浴龙头(顶喷+手持)铬(12寸吊顶)</t>
        </is>
      </c>
      <c r="G713" s="4" t="inlineStr">
        <is>
          <t>宋江</t>
        </is>
      </c>
      <c r="H713" s="4" t="inlineStr">
        <is>
          <t>暗装淋浴</t>
        </is>
      </c>
      <c r="I713" s="12" t="inlineStr">
        <is>
          <t>是</t>
        </is>
      </c>
      <c r="J713" s="34" t="n">
        <v>44747</v>
      </c>
      <c r="K713" s="34" t="n">
        <v>44809</v>
      </c>
      <c r="L713" s="0">
        <f>DATEDIF(J713,$L$1,"M")</f>
        <v/>
      </c>
      <c r="M713" s="0">
        <f>IF(L713&lt;18,"新品期",IF(L713&lt;=36,"老品期","衰退期"))</f>
        <v/>
      </c>
      <c r="N713" s="36" t="inlineStr">
        <is>
          <t>2025年9月8以前何嘉威负责</t>
        </is>
      </c>
    </row>
    <row r="714" ht="15" customFormat="1" customHeight="1" s="36">
      <c r="A714" s="4" t="inlineStr">
        <is>
          <t>KZ-liu-US</t>
        </is>
      </c>
      <c r="B714" s="4" t="inlineStr">
        <is>
          <t>Kruzoo美国站</t>
        </is>
      </c>
      <c r="C714" s="4">
        <f>B714&amp;D714</f>
        <v/>
      </c>
      <c r="D714" s="4" t="inlineStr">
        <is>
          <t>LY08082MB</t>
        </is>
      </c>
      <c r="E714" s="4" t="inlineStr">
        <is>
          <t>320F9082BK1</t>
        </is>
      </c>
      <c r="F714" s="4" t="inlineStr">
        <is>
          <t>9082二功能入墙暗装淋浴龙头(顶喷+手持)电泳黑(12寸吊顶)</t>
        </is>
      </c>
      <c r="G714" s="4" t="inlineStr">
        <is>
          <t>宋江</t>
        </is>
      </c>
      <c r="H714" s="4" t="inlineStr">
        <is>
          <t>暗装淋浴</t>
        </is>
      </c>
      <c r="I714" s="12" t="inlineStr">
        <is>
          <t>是</t>
        </is>
      </c>
      <c r="J714" s="34" t="n">
        <v>44747</v>
      </c>
      <c r="K714" s="34" t="n">
        <v>44809</v>
      </c>
      <c r="L714" s="0">
        <f>DATEDIF(J714,$L$1,"M")</f>
        <v/>
      </c>
      <c r="M714" s="0">
        <f>IF(L714&lt;18,"新品期",IF(L714&lt;=36,"老品期","衰退期"))</f>
        <v/>
      </c>
      <c r="N714" s="36" t="inlineStr">
        <is>
          <t>2025年9月8以前何嘉威负责</t>
        </is>
      </c>
    </row>
    <row r="715" ht="15" customFormat="1" customHeight="1" s="36">
      <c r="A715" s="4" t="inlineStr">
        <is>
          <t>KZ-liu-CA</t>
        </is>
      </c>
      <c r="B715" s="4" t="inlineStr">
        <is>
          <t>Kruzoo加拿大站</t>
        </is>
      </c>
      <c r="C715" s="4">
        <f>B715&amp;D715</f>
        <v/>
      </c>
      <c r="D715" s="4" t="inlineStr">
        <is>
          <t>LY08082MB</t>
        </is>
      </c>
      <c r="E715" s="4" t="inlineStr">
        <is>
          <t>320F9082BK1</t>
        </is>
      </c>
      <c r="F715" s="4" t="inlineStr">
        <is>
          <t>9082二功能入墙暗装淋浴龙头(顶喷+手持)电泳黑(12寸吊顶)</t>
        </is>
      </c>
      <c r="G715" s="4" t="inlineStr">
        <is>
          <t>宋江</t>
        </is>
      </c>
      <c r="H715" s="4" t="inlineStr">
        <is>
          <t>暗装淋浴</t>
        </is>
      </c>
      <c r="I715" s="12" t="inlineStr">
        <is>
          <t>是</t>
        </is>
      </c>
      <c r="J715" s="34" t="n">
        <v>44747</v>
      </c>
      <c r="K715" s="34" t="n">
        <v>44809</v>
      </c>
      <c r="L715" s="0">
        <f>DATEDIF(J715,$L$1,"M")</f>
        <v/>
      </c>
      <c r="M715" s="0">
        <f>IF(L715&lt;18,"新品期",IF(L715&lt;=36,"老品期","衰退期"))</f>
        <v/>
      </c>
      <c r="N715" s="36" t="inlineStr">
        <is>
          <t>2025年9月8以前何嘉威负责</t>
        </is>
      </c>
    </row>
    <row r="716" ht="15" customFormat="1" customHeight="1" s="36">
      <c r="A716" s="4" t="inlineStr">
        <is>
          <t>KZ-liu-CA</t>
        </is>
      </c>
      <c r="B716" s="4" t="inlineStr">
        <is>
          <t>Kruzoo加拿大站</t>
        </is>
      </c>
      <c r="C716" s="4">
        <f>B716&amp;D716</f>
        <v/>
      </c>
      <c r="D716" s="4" t="inlineStr">
        <is>
          <t>LY08082ORB</t>
        </is>
      </c>
      <c r="E716" s="4" t="inlineStr">
        <is>
          <t>320F9082OB1</t>
        </is>
      </c>
      <c r="F716" s="4" t="inlineStr">
        <is>
          <t>908二功能入墙暗装淋浴龙头(顶喷+手持) 拉丝古铜色(12寸吊顶)</t>
        </is>
      </c>
      <c r="G716" s="4" t="inlineStr">
        <is>
          <t>宋江</t>
        </is>
      </c>
      <c r="H716" s="4" t="inlineStr">
        <is>
          <t>暗装淋浴</t>
        </is>
      </c>
      <c r="I716" s="12" t="inlineStr">
        <is>
          <t>是</t>
        </is>
      </c>
      <c r="J716" s="34" t="n">
        <v>44747</v>
      </c>
      <c r="K716" s="34" t="n">
        <v>44809</v>
      </c>
      <c r="L716" s="0">
        <f>DATEDIF(J716,$L$1,"M")</f>
        <v/>
      </c>
      <c r="M716" s="0">
        <f>IF(L716&lt;18,"新品期",IF(L716&lt;=36,"老品期","衰退期"))</f>
        <v/>
      </c>
      <c r="N716" s="36" t="inlineStr">
        <is>
          <t>2025年9月8以前何嘉威负责</t>
        </is>
      </c>
    </row>
    <row r="717" ht="15" customFormat="1" customHeight="1" s="36">
      <c r="A717" s="4" t="inlineStr">
        <is>
          <t>KZ-liu-US</t>
        </is>
      </c>
      <c r="B717" s="4" t="inlineStr">
        <is>
          <t>Kruzoo美国站</t>
        </is>
      </c>
      <c r="C717" s="4">
        <f>B717&amp;D717</f>
        <v/>
      </c>
      <c r="D717" s="4" t="inlineStr">
        <is>
          <t>LY08083BG</t>
        </is>
      </c>
      <c r="E717" s="4" t="inlineStr">
        <is>
          <t>321F0122BG1</t>
        </is>
      </c>
      <c r="F717" s="4" t="inlineStr">
        <is>
          <t>0122二功能吊顶暗装淋浴龙头(顶喷+手持)拉丝钛金封油（12寸吊顶）</t>
        </is>
      </c>
      <c r="G717" s="4" t="inlineStr">
        <is>
          <t>宋江</t>
        </is>
      </c>
      <c r="H717" s="4" t="inlineStr">
        <is>
          <t>暗装淋浴</t>
        </is>
      </c>
      <c r="I717" s="12" t="inlineStr">
        <is>
          <t>是</t>
        </is>
      </c>
      <c r="J717" s="34" t="n">
        <v>44697</v>
      </c>
      <c r="K717" s="34" t="n">
        <v>44758</v>
      </c>
      <c r="L717" s="0">
        <f>DATEDIF(J717,$L$1,"M")</f>
        <v/>
      </c>
      <c r="M717" s="0">
        <f>IF(L717&lt;18,"新品期",IF(L717&lt;=36,"老品期","衰退期"))</f>
        <v/>
      </c>
      <c r="N717" s="36" t="inlineStr">
        <is>
          <t>2025年9月8以前何嘉威负责</t>
        </is>
      </c>
    </row>
    <row r="718" ht="15" customFormat="1" customHeight="1" s="36">
      <c r="A718" s="4" t="inlineStr">
        <is>
          <t>KZ-liu-MX</t>
        </is>
      </c>
      <c r="B718" s="4" t="inlineStr">
        <is>
          <t>Kruzoo墨西哥站</t>
        </is>
      </c>
      <c r="C718" s="4">
        <f>B718&amp;D718</f>
        <v/>
      </c>
      <c r="D718" s="4" t="inlineStr">
        <is>
          <t>LY08083BG</t>
        </is>
      </c>
      <c r="E718" s="4" t="inlineStr">
        <is>
          <t>321F0122BG1</t>
        </is>
      </c>
      <c r="F718" s="4" t="inlineStr">
        <is>
          <t>0122二功能吊顶暗装淋浴龙头(顶喷+手持)拉丝钛金封油（12寸吊顶）</t>
        </is>
      </c>
      <c r="G718" s="4" t="inlineStr">
        <is>
          <t>宋江</t>
        </is>
      </c>
      <c r="H718" s="4" t="inlineStr">
        <is>
          <t>暗装淋浴</t>
        </is>
      </c>
      <c r="I718" s="12" t="inlineStr">
        <is>
          <t>是</t>
        </is>
      </c>
      <c r="J718" s="34" t="n">
        <v>44697</v>
      </c>
      <c r="K718" s="34" t="n">
        <v>44758</v>
      </c>
      <c r="L718" s="0">
        <f>DATEDIF(J718,$L$1,"M")</f>
        <v/>
      </c>
      <c r="M718" s="0">
        <f>IF(L718&lt;18,"新品期",IF(L718&lt;=36,"老品期","衰退期"))</f>
        <v/>
      </c>
      <c r="N718" s="36" t="inlineStr">
        <is>
          <t>2025年9月8以前何嘉威负责</t>
        </is>
      </c>
    </row>
    <row r="719" ht="15" customFormat="1" customHeight="1" s="36">
      <c r="A719" s="4" t="inlineStr">
        <is>
          <t>KZ-liu-US</t>
        </is>
      </c>
      <c r="B719" s="4" t="inlineStr">
        <is>
          <t>Kruzoo美国站</t>
        </is>
      </c>
      <c r="C719" s="4">
        <f>B719&amp;D719</f>
        <v/>
      </c>
      <c r="D719" s="4" t="inlineStr">
        <is>
          <t>LY08083BN</t>
        </is>
      </c>
      <c r="E719" s="4" t="inlineStr">
        <is>
          <t>321F0122BN1</t>
        </is>
      </c>
      <c r="F719" s="4" t="inlineStr">
        <is>
          <t>0122二功能吊顶暗装淋浴龙头(顶喷+手持)拉丝封半哑油（12寸吊顶）</t>
        </is>
      </c>
      <c r="G719" s="4" t="inlineStr">
        <is>
          <t>宋江</t>
        </is>
      </c>
      <c r="H719" s="4" t="inlineStr">
        <is>
          <t>暗装淋浴</t>
        </is>
      </c>
      <c r="I719" s="12" t="inlineStr">
        <is>
          <t>是</t>
        </is>
      </c>
      <c r="J719" s="34" t="n">
        <v>44697</v>
      </c>
      <c r="K719" s="34" t="n">
        <v>44758</v>
      </c>
      <c r="L719" s="0">
        <f>DATEDIF(J719,$L$1,"M")</f>
        <v/>
      </c>
      <c r="M719" s="0">
        <f>IF(L719&lt;18,"新品期",IF(L719&lt;=36,"老品期","衰退期"))</f>
        <v/>
      </c>
      <c r="N719" s="36" t="inlineStr">
        <is>
          <t>2025年9月8以前何嘉威负责</t>
        </is>
      </c>
    </row>
    <row r="720" ht="15" customFormat="1" customHeight="1" s="36">
      <c r="A720" s="4" t="inlineStr">
        <is>
          <t>KZ-liu-CA</t>
        </is>
      </c>
      <c r="B720" s="4" t="inlineStr">
        <is>
          <t>Kruzoo加拿大站</t>
        </is>
      </c>
      <c r="C720" s="4">
        <f>B720&amp;D720</f>
        <v/>
      </c>
      <c r="D720" s="4" t="inlineStr">
        <is>
          <t>LY08083BN</t>
        </is>
      </c>
      <c r="E720" s="4" t="inlineStr">
        <is>
          <t>321F0122BN1</t>
        </is>
      </c>
      <c r="F720" s="4" t="inlineStr">
        <is>
          <t>0122二功能吊顶暗装淋浴龙头(顶喷+手持)拉丝封半哑油（12寸吊顶）</t>
        </is>
      </c>
      <c r="G720" s="4" t="inlineStr">
        <is>
          <t>宋江</t>
        </is>
      </c>
      <c r="H720" s="4" t="inlineStr">
        <is>
          <t>暗装淋浴</t>
        </is>
      </c>
      <c r="I720" s="12" t="inlineStr">
        <is>
          <t>是</t>
        </is>
      </c>
      <c r="J720" s="34" t="n">
        <v>44697</v>
      </c>
      <c r="K720" s="34" t="n">
        <v>44758</v>
      </c>
      <c r="L720" s="0">
        <f>DATEDIF(J720,$L$1,"M")</f>
        <v/>
      </c>
      <c r="M720" s="0">
        <f>IF(L720&lt;18,"新品期",IF(L720&lt;=36,"老品期","衰退期"))</f>
        <v/>
      </c>
      <c r="N720" s="36" t="inlineStr">
        <is>
          <t>2025年9月8以前何嘉威负责</t>
        </is>
      </c>
    </row>
    <row r="721" ht="15" customFormat="1" customHeight="1" s="36">
      <c r="A721" s="4" t="inlineStr">
        <is>
          <t>KZ-liu-US</t>
        </is>
      </c>
      <c r="B721" s="4" t="inlineStr">
        <is>
          <t>Kruzoo美国站</t>
        </is>
      </c>
      <c r="C721" s="4">
        <f>B721&amp;D721</f>
        <v/>
      </c>
      <c r="D721" s="4" t="inlineStr">
        <is>
          <t>LY08083CP</t>
        </is>
      </c>
      <c r="E721" s="4" t="inlineStr">
        <is>
          <t>321F0122CP1</t>
        </is>
      </c>
      <c r="F721" s="4" t="inlineStr">
        <is>
          <t>0122二功能吊顶暗装淋浴龙头(顶喷+手持)铬（12寸吊顶）</t>
        </is>
      </c>
      <c r="G721" s="4" t="inlineStr">
        <is>
          <t>宋江</t>
        </is>
      </c>
      <c r="H721" s="4" t="inlineStr">
        <is>
          <t>暗装淋浴</t>
        </is>
      </c>
      <c r="I721" s="12" t="inlineStr">
        <is>
          <t>是</t>
        </is>
      </c>
      <c r="J721" s="34" t="n">
        <v>44697</v>
      </c>
      <c r="K721" s="34" t="n">
        <v>44758</v>
      </c>
      <c r="L721" s="0">
        <f>DATEDIF(J721,$L$1,"M")</f>
        <v/>
      </c>
      <c r="M721" s="0">
        <f>IF(L721&lt;18,"新品期",IF(L721&lt;=36,"老品期","衰退期"))</f>
        <v/>
      </c>
      <c r="N721" s="36" t="inlineStr">
        <is>
          <t>2025年9月8以前何嘉威负责</t>
        </is>
      </c>
    </row>
    <row r="722" ht="15" customFormat="1" customHeight="1" s="36">
      <c r="A722" s="4" t="inlineStr">
        <is>
          <t>KZ-liu-CA</t>
        </is>
      </c>
      <c r="B722" s="4" t="inlineStr">
        <is>
          <t>Kruzoo加拿大站</t>
        </is>
      </c>
      <c r="C722" s="4">
        <f>B722&amp;D722</f>
        <v/>
      </c>
      <c r="D722" s="4" t="inlineStr">
        <is>
          <t>LY08083CP</t>
        </is>
      </c>
      <c r="E722" s="4" t="inlineStr">
        <is>
          <t>321F0122CP1</t>
        </is>
      </c>
      <c r="F722" s="4" t="inlineStr">
        <is>
          <t>0122二功能吊顶暗装淋浴龙头(顶喷+手持)铬（12寸吊顶）</t>
        </is>
      </c>
      <c r="G722" s="4" t="inlineStr">
        <is>
          <t>宋江</t>
        </is>
      </c>
      <c r="H722" s="4" t="inlineStr">
        <is>
          <t>暗装淋浴</t>
        </is>
      </c>
      <c r="I722" s="12" t="inlineStr">
        <is>
          <t>是</t>
        </is>
      </c>
      <c r="J722" s="34" t="n">
        <v>44697</v>
      </c>
      <c r="K722" s="34" t="n">
        <v>44758</v>
      </c>
      <c r="L722" s="0">
        <f>DATEDIF(J722,$L$1,"M")</f>
        <v/>
      </c>
      <c r="M722" s="0">
        <f>IF(L722&lt;18,"新品期",IF(L722&lt;=36,"老品期","衰退期"))</f>
        <v/>
      </c>
      <c r="N722" s="36" t="inlineStr">
        <is>
          <t>2025年9月8以前何嘉威负责</t>
        </is>
      </c>
    </row>
    <row r="723" ht="15" customFormat="1" customHeight="1" s="36">
      <c r="A723" s="4" t="inlineStr">
        <is>
          <t>KZ-liu-US</t>
        </is>
      </c>
      <c r="B723" s="4" t="inlineStr">
        <is>
          <t>Kruzoo美国站</t>
        </is>
      </c>
      <c r="C723" s="4">
        <f>B723&amp;D723</f>
        <v/>
      </c>
      <c r="D723" s="4" t="inlineStr">
        <is>
          <t>LY08083MB</t>
        </is>
      </c>
      <c r="E723" s="4" t="inlineStr">
        <is>
          <t>321F0122BK1</t>
        </is>
      </c>
      <c r="F723" s="4" t="inlineStr">
        <is>
          <t>0122二功能吊顶暗装淋浴龙头(顶喷+手持)电泳黑（12寸吊顶）</t>
        </is>
      </c>
      <c r="G723" s="4" t="inlineStr">
        <is>
          <t>宋江</t>
        </is>
      </c>
      <c r="H723" s="4" t="inlineStr">
        <is>
          <t>暗装淋浴</t>
        </is>
      </c>
      <c r="I723" s="12" t="inlineStr">
        <is>
          <t>是</t>
        </is>
      </c>
      <c r="J723" s="34" t="n">
        <v>44697</v>
      </c>
      <c r="K723" s="34" t="n">
        <v>44758</v>
      </c>
      <c r="L723" s="0">
        <f>DATEDIF(J723,$L$1,"M")</f>
        <v/>
      </c>
      <c r="M723" s="0">
        <f>IF(L723&lt;18,"新品期",IF(L723&lt;=36,"老品期","衰退期"))</f>
        <v/>
      </c>
      <c r="N723" s="36" t="inlineStr">
        <is>
          <t>2025年9月8以前何嘉威负责</t>
        </is>
      </c>
    </row>
    <row r="724" ht="15" customFormat="1" customHeight="1" s="36">
      <c r="A724" s="4" t="inlineStr">
        <is>
          <t>KZ-liu-CA</t>
        </is>
      </c>
      <c r="B724" s="4" t="inlineStr">
        <is>
          <t>Kruzoo加拿大站</t>
        </is>
      </c>
      <c r="C724" s="4">
        <f>B724&amp;D724</f>
        <v/>
      </c>
      <c r="D724" s="4" t="inlineStr">
        <is>
          <t>LY08083MB</t>
        </is>
      </c>
      <c r="E724" s="4" t="inlineStr">
        <is>
          <t>321F0122BK1</t>
        </is>
      </c>
      <c r="F724" s="4" t="inlineStr">
        <is>
          <t>0122二功能吊顶暗装淋浴龙头(顶喷+手持)电泳黑（12寸吊顶）</t>
        </is>
      </c>
      <c r="G724" s="4" t="inlineStr">
        <is>
          <t>宋江</t>
        </is>
      </c>
      <c r="H724" s="4" t="inlineStr">
        <is>
          <t>暗装淋浴</t>
        </is>
      </c>
      <c r="I724" s="12" t="inlineStr">
        <is>
          <t>是</t>
        </is>
      </c>
      <c r="J724" s="34" t="n">
        <v>44697</v>
      </c>
      <c r="K724" s="34" t="n">
        <v>44758</v>
      </c>
      <c r="L724" s="0">
        <f>DATEDIF(J724,$L$1,"M")</f>
        <v/>
      </c>
      <c r="M724" s="0">
        <f>IF(L724&lt;18,"新品期",IF(L724&lt;=36,"老品期","衰退期"))</f>
        <v/>
      </c>
      <c r="N724" s="36" t="inlineStr">
        <is>
          <t>2025年9月8以前何嘉威负责</t>
        </is>
      </c>
    </row>
    <row r="725" ht="15" customFormat="1" customHeight="1" s="36">
      <c r="A725" s="4" t="inlineStr">
        <is>
          <t>KZ-liu-US</t>
        </is>
      </c>
      <c r="B725" s="4" t="inlineStr">
        <is>
          <t>Kruzoo美国站</t>
        </is>
      </c>
      <c r="C725" s="4">
        <f>B725&amp;D725</f>
        <v/>
      </c>
      <c r="D725" s="4" t="inlineStr">
        <is>
          <t>LY08083ORB</t>
        </is>
      </c>
      <c r="E725" s="4" t="inlineStr">
        <is>
          <t>321F0122OB1</t>
        </is>
      </c>
      <c r="F725" s="4" t="inlineStr">
        <is>
          <t>0122二功能吊顶暗装淋浴龙头(顶喷+手持)拉丝古铜色（12寸吊顶）</t>
        </is>
      </c>
      <c r="G725" s="4" t="inlineStr">
        <is>
          <t>宋江</t>
        </is>
      </c>
      <c r="H725" s="4" t="inlineStr">
        <is>
          <t>暗装淋浴</t>
        </is>
      </c>
      <c r="I725" s="12" t="inlineStr">
        <is>
          <t>是</t>
        </is>
      </c>
      <c r="J725" s="34" t="n">
        <v>44697</v>
      </c>
      <c r="K725" s="34" t="n">
        <v>44758</v>
      </c>
      <c r="L725" s="0">
        <f>DATEDIF(J725,$L$1,"M")</f>
        <v/>
      </c>
      <c r="M725" s="0">
        <f>IF(L725&lt;18,"新品期",IF(L725&lt;=36,"老品期","衰退期"))</f>
        <v/>
      </c>
      <c r="N725" s="36" t="inlineStr">
        <is>
          <t>2025年9月8以前何嘉威负责</t>
        </is>
      </c>
    </row>
    <row r="726" ht="15" customFormat="1" customHeight="1" s="36">
      <c r="A726" s="4" t="inlineStr">
        <is>
          <t>KZ-liu-CA</t>
        </is>
      </c>
      <c r="B726" s="4" t="inlineStr">
        <is>
          <t>Kruzoo加拿大站</t>
        </is>
      </c>
      <c r="C726" s="4">
        <f>B726&amp;D726</f>
        <v/>
      </c>
      <c r="D726" s="4" t="inlineStr">
        <is>
          <t>LY08083ORB</t>
        </is>
      </c>
      <c r="E726" s="4" t="inlineStr">
        <is>
          <t>321F0122OB1</t>
        </is>
      </c>
      <c r="F726" s="4" t="inlineStr">
        <is>
          <t>0122二功能吊顶暗装淋浴龙头(顶喷+手持)拉丝古铜色（12寸吊顶）</t>
        </is>
      </c>
      <c r="G726" s="4" t="inlineStr">
        <is>
          <t>宋江</t>
        </is>
      </c>
      <c r="H726" s="4" t="inlineStr">
        <is>
          <t>暗装淋浴</t>
        </is>
      </c>
      <c r="I726" s="12" t="inlineStr">
        <is>
          <t>是</t>
        </is>
      </c>
      <c r="J726" s="34" t="n">
        <v>44697</v>
      </c>
      <c r="K726" s="34" t="n">
        <v>44758</v>
      </c>
      <c r="L726" s="0">
        <f>DATEDIF(J726,$L$1,"M")</f>
        <v/>
      </c>
      <c r="M726" s="0">
        <f>IF(L726&lt;18,"新品期",IF(L726&lt;=36,"老品期","衰退期"))</f>
        <v/>
      </c>
      <c r="N726" s="36" t="inlineStr">
        <is>
          <t>2025年9月8以前何嘉威负责</t>
        </is>
      </c>
    </row>
    <row r="727" ht="15" customFormat="1" customHeight="1" s="36">
      <c r="A727" s="4" t="inlineStr">
        <is>
          <t>Wintap-US</t>
        </is>
      </c>
      <c r="B727" s="4" t="inlineStr">
        <is>
          <t>Wintap美国站</t>
        </is>
      </c>
      <c r="C727" s="4">
        <f>B727&amp;D727</f>
        <v/>
      </c>
      <c r="D727" s="4" t="inlineStr">
        <is>
          <t>M3-QVQ8-BKW4</t>
        </is>
      </c>
      <c r="E727" s="4" t="inlineStr">
        <is>
          <t>211F8000BK2</t>
        </is>
      </c>
      <c r="F727" s="4" t="inlineStr">
        <is>
          <t>8000二功能落地浴缸龙头酸铜发黑</t>
        </is>
      </c>
      <c r="G727" s="4" t="inlineStr">
        <is>
          <t>刘皓</t>
        </is>
      </c>
      <c r="H727" s="4" t="inlineStr">
        <is>
          <t>落地浴缸</t>
        </is>
      </c>
      <c r="I727" s="12" t="inlineStr">
        <is>
          <t>是</t>
        </is>
      </c>
      <c r="J727" s="34" t="n">
        <v>44854</v>
      </c>
      <c r="K727" s="34" t="n">
        <v>44854</v>
      </c>
      <c r="L727" s="0">
        <f>DATEDIF(J727,$L$1,"M")</f>
        <v/>
      </c>
      <c r="M727" s="0">
        <f>IF(L727&lt;18,"新品期",IF(L727&lt;=36,"老品期","衰退期"))</f>
        <v/>
      </c>
    </row>
    <row r="728" ht="15" customFormat="1" customHeight="1" s="36">
      <c r="A728" s="4" t="inlineStr">
        <is>
          <t>Wintap-CA</t>
        </is>
      </c>
      <c r="B728" s="4" t="inlineStr">
        <is>
          <t>Wintap加拿大站</t>
        </is>
      </c>
      <c r="C728" s="4">
        <f>B728&amp;D728</f>
        <v/>
      </c>
      <c r="D728" s="4" t="inlineStr">
        <is>
          <t>M3-QVQ8-BKW4</t>
        </is>
      </c>
      <c r="E728" s="4" t="inlineStr">
        <is>
          <t>211F8000BK2</t>
        </is>
      </c>
      <c r="F728" s="4" t="inlineStr">
        <is>
          <t>8000二功能落地浴缸龙头酸铜发黑</t>
        </is>
      </c>
      <c r="G728" s="4" t="inlineStr">
        <is>
          <t>刘皓</t>
        </is>
      </c>
      <c r="H728" s="4" t="inlineStr">
        <is>
          <t>落地浴缸</t>
        </is>
      </c>
      <c r="I728" s="12" t="inlineStr">
        <is>
          <t>是</t>
        </is>
      </c>
      <c r="J728" s="34" t="n">
        <v>44854</v>
      </c>
      <c r="K728" s="34" t="n">
        <v>44854</v>
      </c>
      <c r="L728" s="0">
        <f>DATEDIF(J728,$L$1,"M")</f>
        <v/>
      </c>
      <c r="M728" s="0">
        <f>IF(L728&lt;18,"新品期",IF(L728&lt;=36,"老品期","衰退期"))</f>
        <v/>
      </c>
    </row>
    <row r="729" ht="15" customFormat="1" customHeight="1" s="36">
      <c r="A729" s="4" t="inlineStr">
        <is>
          <t>NAUKWAN-US</t>
        </is>
      </c>
      <c r="B729" s="4" t="inlineStr">
        <is>
          <t>Naukwan美国站</t>
        </is>
      </c>
      <c r="C729" s="4">
        <f>B729&amp;D729</f>
        <v/>
      </c>
      <c r="D729" s="4" t="inlineStr">
        <is>
          <t>NB2207-BG</t>
        </is>
      </c>
      <c r="E729" s="4" t="inlineStr">
        <is>
          <t>221F0022BG1</t>
        </is>
      </c>
      <c r="F729" s="4" t="inlineStr">
        <is>
          <t>22系列三件套缸边浴缸龙头拉丝钛金封油</t>
        </is>
      </c>
      <c r="G729" s="4" t="inlineStr">
        <is>
          <t>刘皓</t>
        </is>
      </c>
      <c r="H729" s="4" t="inlineStr">
        <is>
          <t>缸边浴缸</t>
        </is>
      </c>
      <c r="I729" s="12" t="inlineStr">
        <is>
          <t>是</t>
        </is>
      </c>
      <c r="J729" s="34" t="n">
        <v>45358</v>
      </c>
      <c r="K729" s="34" t="n">
        <v>45358</v>
      </c>
      <c r="L729" s="0">
        <f>DATEDIF(J729,$L$1,"M")</f>
        <v/>
      </c>
      <c r="M729" s="0">
        <f>IF(L729&lt;18,"新品期",IF(L729&lt;=36,"老品期","衰退期"))</f>
        <v/>
      </c>
    </row>
    <row r="730" ht="15" customFormat="1" customHeight="1" s="36">
      <c r="A730" s="4" t="inlineStr">
        <is>
          <t>NAUKWAN-US</t>
        </is>
      </c>
      <c r="B730" s="4" t="inlineStr">
        <is>
          <t>Naukwan美国站</t>
        </is>
      </c>
      <c r="C730" s="4">
        <f>B730&amp;D730</f>
        <v/>
      </c>
      <c r="D730" s="4" t="inlineStr">
        <is>
          <t>NB2207-BK</t>
        </is>
      </c>
      <c r="E730" s="4" t="inlineStr">
        <is>
          <t>221F0022BK1</t>
        </is>
      </c>
      <c r="F730" s="4" t="inlineStr">
        <is>
          <t>22系列三件套缸边浴缸龙头电泳黑</t>
        </is>
      </c>
      <c r="G730" s="4" t="inlineStr">
        <is>
          <t>刘皓</t>
        </is>
      </c>
      <c r="H730" s="4" t="inlineStr">
        <is>
          <t>缸边浴缸</t>
        </is>
      </c>
      <c r="I730" s="12" t="inlineStr">
        <is>
          <t>是</t>
        </is>
      </c>
      <c r="J730" s="34" t="n">
        <v>45358</v>
      </c>
      <c r="K730" s="34" t="n">
        <v>45358</v>
      </c>
      <c r="L730" s="0">
        <f>DATEDIF(J730,$L$1,"M")</f>
        <v/>
      </c>
      <c r="M730" s="0">
        <f>IF(L730&lt;18,"新品期",IF(L730&lt;=36,"老品期","衰退期"))</f>
        <v/>
      </c>
    </row>
    <row r="731" ht="15" customFormat="1" customHeight="1" s="36">
      <c r="A731" s="4" t="inlineStr">
        <is>
          <t>NAUKWAN-US</t>
        </is>
      </c>
      <c r="B731" s="4" t="inlineStr">
        <is>
          <t>Naukwan美国站</t>
        </is>
      </c>
      <c r="C731" s="4">
        <f>B731&amp;D731</f>
        <v/>
      </c>
      <c r="D731" s="4" t="inlineStr">
        <is>
          <t>NB2207-BN</t>
        </is>
      </c>
      <c r="E731" s="4" t="inlineStr">
        <is>
          <t>221F0022BN1</t>
        </is>
      </c>
      <c r="F731" s="4" t="inlineStr">
        <is>
          <t>22系列三件套缸边浴缸龙头拉丝封油</t>
        </is>
      </c>
      <c r="G731" s="4" t="inlineStr">
        <is>
          <t>刘皓</t>
        </is>
      </c>
      <c r="H731" s="4" t="inlineStr">
        <is>
          <t>缸边浴缸</t>
        </is>
      </c>
      <c r="I731" s="12" t="inlineStr">
        <is>
          <t>是</t>
        </is>
      </c>
      <c r="J731" s="34" t="n">
        <v>45358</v>
      </c>
      <c r="K731" s="34" t="n">
        <v>45358</v>
      </c>
      <c r="L731" s="0">
        <f>DATEDIF(J731,$L$1,"M")</f>
        <v/>
      </c>
      <c r="M731" s="0">
        <f>IF(L731&lt;18,"新品期",IF(L731&lt;=36,"老品期","衰退期"))</f>
        <v/>
      </c>
    </row>
    <row r="732" ht="15" customFormat="1" customHeight="1" s="36">
      <c r="A732" s="4" t="inlineStr">
        <is>
          <t>NAUKWAN-US</t>
        </is>
      </c>
      <c r="B732" s="4" t="inlineStr">
        <is>
          <t>Naukwan美国站</t>
        </is>
      </c>
      <c r="C732" s="4">
        <f>B732&amp;D732</f>
        <v/>
      </c>
      <c r="D732" s="4" t="inlineStr">
        <is>
          <t>NB2207-CP</t>
        </is>
      </c>
      <c r="E732" s="4" t="inlineStr">
        <is>
          <t>221F0022CP1</t>
        </is>
      </c>
      <c r="F732" s="4" t="inlineStr">
        <is>
          <t>22系列三件套缸边浴缸龙头铬</t>
        </is>
      </c>
      <c r="G732" s="4" t="inlineStr">
        <is>
          <t>刘皓</t>
        </is>
      </c>
      <c r="H732" s="4" t="inlineStr">
        <is>
          <t>缸边浴缸</t>
        </is>
      </c>
      <c r="I732" s="12" t="inlineStr">
        <is>
          <t>是</t>
        </is>
      </c>
      <c r="J732" s="34" t="n">
        <v>45358</v>
      </c>
      <c r="K732" s="34" t="n">
        <v>45358</v>
      </c>
      <c r="L732" s="0">
        <f>DATEDIF(J732,$L$1,"M")</f>
        <v/>
      </c>
      <c r="M732" s="0">
        <f>IF(L732&lt;18,"新品期",IF(L732&lt;=36,"老品期","衰退期"))</f>
        <v/>
      </c>
    </row>
    <row r="733" ht="15" customFormat="1" customHeight="1" s="36">
      <c r="A733" s="4" t="inlineStr">
        <is>
          <t>NAUKWAN-US</t>
        </is>
      </c>
      <c r="B733" s="4" t="inlineStr">
        <is>
          <t>Naukwan美国站</t>
        </is>
      </c>
      <c r="C733" s="4">
        <f>B733&amp;D733</f>
        <v/>
      </c>
      <c r="D733" s="4" t="inlineStr">
        <is>
          <t>NB2207-ORB</t>
        </is>
      </c>
      <c r="E733" s="4" t="inlineStr">
        <is>
          <t>221F0022OB1</t>
        </is>
      </c>
      <c r="F733" s="4" t="inlineStr">
        <is>
          <t>22系列三件套缸边浴缸龙头拉丝古铜色</t>
        </is>
      </c>
      <c r="G733" s="4" t="inlineStr">
        <is>
          <t>刘皓</t>
        </is>
      </c>
      <c r="H733" s="4" t="inlineStr">
        <is>
          <t>缸边浴缸</t>
        </is>
      </c>
      <c r="I733" s="12" t="inlineStr">
        <is>
          <t>是</t>
        </is>
      </c>
      <c r="J733" s="34" t="n">
        <v>45358</v>
      </c>
      <c r="K733" s="34" t="n">
        <v>45358</v>
      </c>
      <c r="L733" s="0">
        <f>DATEDIF(J733,$L$1,"M")</f>
        <v/>
      </c>
      <c r="M733" s="0">
        <f>IF(L733&lt;18,"新品期",IF(L733&lt;=36,"老品期","衰退期"))</f>
        <v/>
      </c>
    </row>
    <row r="734" ht="15" customFormat="1" customHeight="1" s="36">
      <c r="A734" s="4" t="inlineStr">
        <is>
          <t>NAUKWAN-US</t>
        </is>
      </c>
      <c r="B734" s="4" t="inlineStr">
        <is>
          <t>Naukwan美国站</t>
        </is>
      </c>
      <c r="C734" s="4">
        <f>B734&amp;D734</f>
        <v/>
      </c>
      <c r="D734" s="4" t="inlineStr">
        <is>
          <t>NB2208-BG</t>
        </is>
      </c>
      <c r="E734" s="4" t="inlineStr">
        <is>
          <t>222F0022BG1</t>
        </is>
      </c>
      <c r="F734" s="4" t="inlineStr">
        <is>
          <t>22系列四件套缸边浴缸龙头拉丝钛金封油</t>
        </is>
      </c>
      <c r="G734" s="4" t="inlineStr">
        <is>
          <t>刘皓</t>
        </is>
      </c>
      <c r="H734" s="4" t="inlineStr">
        <is>
          <t>缸边浴缸</t>
        </is>
      </c>
      <c r="I734" s="12" t="inlineStr">
        <is>
          <t>是</t>
        </is>
      </c>
      <c r="J734" s="34" t="n">
        <v>45371</v>
      </c>
      <c r="K734" s="34" t="n">
        <v>45371</v>
      </c>
      <c r="L734" s="0">
        <f>DATEDIF(J734,$L$1,"M")</f>
        <v/>
      </c>
      <c r="M734" s="0">
        <f>IF(L734&lt;18,"新品期",IF(L734&lt;=36,"老品期","衰退期"))</f>
        <v/>
      </c>
    </row>
    <row r="735" ht="15" customFormat="1" customHeight="1" s="36">
      <c r="A735" s="4" t="inlineStr">
        <is>
          <t>NAUKWAN-US</t>
        </is>
      </c>
      <c r="B735" s="4" t="inlineStr">
        <is>
          <t>Naukwan美国站</t>
        </is>
      </c>
      <c r="C735" s="4">
        <f>B735&amp;D735</f>
        <v/>
      </c>
      <c r="D735" s="4" t="inlineStr">
        <is>
          <t>NB2208-BK</t>
        </is>
      </c>
      <c r="E735" s="4" t="inlineStr">
        <is>
          <t>222F0022BK1</t>
        </is>
      </c>
      <c r="F735" s="4" t="inlineStr">
        <is>
          <t>22系列四件套缸边浴缸龙头电泳黑</t>
        </is>
      </c>
      <c r="G735" s="4" t="inlineStr">
        <is>
          <t>刘皓</t>
        </is>
      </c>
      <c r="H735" s="4" t="inlineStr">
        <is>
          <t>缸边浴缸</t>
        </is>
      </c>
      <c r="I735" s="12" t="inlineStr">
        <is>
          <t>是</t>
        </is>
      </c>
      <c r="J735" s="34" t="n">
        <v>45371</v>
      </c>
      <c r="K735" s="34" t="n">
        <v>45371</v>
      </c>
      <c r="L735" s="0">
        <f>DATEDIF(J735,$L$1,"M")</f>
        <v/>
      </c>
      <c r="M735" s="0">
        <f>IF(L735&lt;18,"新品期",IF(L735&lt;=36,"老品期","衰退期"))</f>
        <v/>
      </c>
    </row>
    <row r="736" ht="15" customFormat="1" customHeight="1" s="36">
      <c r="A736" s="4" t="inlineStr">
        <is>
          <t>NAUKWAN-US</t>
        </is>
      </c>
      <c r="B736" s="4" t="inlineStr">
        <is>
          <t>Naukwan美国站</t>
        </is>
      </c>
      <c r="C736" s="4">
        <f>B736&amp;D736</f>
        <v/>
      </c>
      <c r="D736" s="4" t="inlineStr">
        <is>
          <t>NB2208-BN</t>
        </is>
      </c>
      <c r="E736" s="4" t="inlineStr">
        <is>
          <t>222F0022BN1</t>
        </is>
      </c>
      <c r="F736" s="4" t="inlineStr">
        <is>
          <t>22系列四件套缸边浴缸龙头拉丝封油</t>
        </is>
      </c>
      <c r="G736" s="4" t="inlineStr">
        <is>
          <t>刘皓</t>
        </is>
      </c>
      <c r="H736" s="4" t="inlineStr">
        <is>
          <t>缸边浴缸</t>
        </is>
      </c>
      <c r="I736" s="12" t="inlineStr">
        <is>
          <t>是</t>
        </is>
      </c>
      <c r="J736" s="34" t="n">
        <v>45371</v>
      </c>
      <c r="K736" s="34" t="n">
        <v>45371</v>
      </c>
      <c r="L736" s="0">
        <f>DATEDIF(J736,$L$1,"M")</f>
        <v/>
      </c>
      <c r="M736" s="0">
        <f>IF(L736&lt;18,"新品期",IF(L736&lt;=36,"老品期","衰退期"))</f>
        <v/>
      </c>
    </row>
    <row r="737" ht="15" customFormat="1" customHeight="1" s="36">
      <c r="A737" s="4" t="inlineStr">
        <is>
          <t>NAUKWAN-US</t>
        </is>
      </c>
      <c r="B737" s="4" t="inlineStr">
        <is>
          <t>Naukwan美国站</t>
        </is>
      </c>
      <c r="C737" s="4">
        <f>B737&amp;D737</f>
        <v/>
      </c>
      <c r="D737" s="4" t="inlineStr">
        <is>
          <t>NB2208-CP</t>
        </is>
      </c>
      <c r="E737" s="4" t="inlineStr">
        <is>
          <t>222F0022CP1</t>
        </is>
      </c>
      <c r="F737" s="4" t="inlineStr">
        <is>
          <t>22系列四件套缸边浴缸龙头铬</t>
        </is>
      </c>
      <c r="G737" s="4" t="inlineStr">
        <is>
          <t>刘皓</t>
        </is>
      </c>
      <c r="H737" s="4" t="inlineStr">
        <is>
          <t>缸边浴缸</t>
        </is>
      </c>
      <c r="I737" s="12" t="inlineStr">
        <is>
          <t>是</t>
        </is>
      </c>
      <c r="J737" s="34" t="n">
        <v>45371</v>
      </c>
      <c r="K737" s="34" t="n">
        <v>45371</v>
      </c>
      <c r="L737" s="0">
        <f>DATEDIF(J737,$L$1,"M")</f>
        <v/>
      </c>
      <c r="M737" s="0">
        <f>IF(L737&lt;18,"新品期",IF(L737&lt;=36,"老品期","衰退期"))</f>
        <v/>
      </c>
    </row>
    <row r="738" ht="15" customFormat="1" customHeight="1" s="36">
      <c r="A738" s="4" t="inlineStr">
        <is>
          <t>NAUKWAN-US</t>
        </is>
      </c>
      <c r="B738" s="4" t="inlineStr">
        <is>
          <t>Naukwan美国站</t>
        </is>
      </c>
      <c r="C738" s="4">
        <f>B738&amp;D738</f>
        <v/>
      </c>
      <c r="D738" s="4" t="inlineStr">
        <is>
          <t>NB2208-ORB</t>
        </is>
      </c>
      <c r="E738" s="4" t="inlineStr">
        <is>
          <t>222F0022OB1</t>
        </is>
      </c>
      <c r="F738" s="4" t="inlineStr">
        <is>
          <t>22系列四件套缸边浴缸龙头拉丝古铜色</t>
        </is>
      </c>
      <c r="G738" s="4" t="inlineStr">
        <is>
          <t>刘皓</t>
        </is>
      </c>
      <c r="H738" s="4" t="inlineStr">
        <is>
          <t>缸边浴缸</t>
        </is>
      </c>
      <c r="I738" s="12" t="inlineStr">
        <is>
          <t>是</t>
        </is>
      </c>
      <c r="J738" s="34" t="n">
        <v>45371</v>
      </c>
      <c r="K738" s="34" t="n">
        <v>45371</v>
      </c>
      <c r="L738" s="0">
        <f>DATEDIF(J738,$L$1,"M")</f>
        <v/>
      </c>
      <c r="M738" s="0">
        <f>IF(L738&lt;18,"新品期",IF(L738&lt;=36,"老品期","衰退期"))</f>
        <v/>
      </c>
    </row>
    <row r="739" ht="15" customFormat="1" customHeight="1" s="36">
      <c r="A739" s="4" t="inlineStr">
        <is>
          <t>soebiz-MX</t>
        </is>
      </c>
      <c r="B739" s="4" t="inlineStr">
        <is>
          <t>Soebiz墨西哥站</t>
        </is>
      </c>
      <c r="C739" s="4">
        <f>B739&amp;D739</f>
        <v/>
      </c>
      <c r="D739" s="4" t="inlineStr">
        <is>
          <t>SZ-B9905BK</t>
        </is>
      </c>
      <c r="E739" s="4" t="inlineStr">
        <is>
          <t>150F0099BK1</t>
        </is>
      </c>
      <c r="F739" s="4" t="inlineStr">
        <is>
          <t>99系列入墙面盆龙头电泳黑</t>
        </is>
      </c>
      <c r="G739" s="4" t="inlineStr">
        <is>
          <t>童劲威</t>
        </is>
      </c>
      <c r="H739" s="4" t="inlineStr">
        <is>
          <t>面盆</t>
        </is>
      </c>
      <c r="I739" s="12" t="inlineStr">
        <is>
          <t>是</t>
        </is>
      </c>
      <c r="J739" s="34" t="n">
        <v>45238</v>
      </c>
      <c r="K739" s="34" t="n">
        <v>45238</v>
      </c>
      <c r="L739" s="0">
        <f>DATEDIF(J739,$L$1,"M")</f>
        <v/>
      </c>
      <c r="M739" s="0">
        <f>IF(L739&lt;18,"新品期",IF(L739&lt;=36,"老品期","衰退期"))</f>
        <v/>
      </c>
      <c r="N739" s="36" t="inlineStr">
        <is>
          <t>清完不卖</t>
        </is>
      </c>
    </row>
    <row r="740" ht="15" customFormat="1" customHeight="1" s="36">
      <c r="A740" s="4" t="inlineStr">
        <is>
          <t>tacuet-CA</t>
        </is>
      </c>
      <c r="B740" s="4" t="inlineStr">
        <is>
          <t>Taucet加拿大站</t>
        </is>
      </c>
      <c r="C740" s="4">
        <f>B740&amp;D740</f>
        <v/>
      </c>
      <c r="D740" s="4" t="inlineStr">
        <is>
          <t>TT-9701BG</t>
        </is>
      </c>
      <c r="E740" s="4" t="inlineStr">
        <is>
          <t>110F0097BG1</t>
        </is>
      </c>
      <c r="F740" s="4" t="inlineStr">
        <is>
          <t>97系列矮身单孔正开面盆龙头拉丝钛金封油</t>
        </is>
      </c>
      <c r="G740" s="4" t="inlineStr">
        <is>
          <t>童劲威</t>
        </is>
      </c>
      <c r="H740" s="4" t="inlineStr">
        <is>
          <t>面盆</t>
        </is>
      </c>
      <c r="I740" s="12" t="inlineStr">
        <is>
          <t>是</t>
        </is>
      </c>
      <c r="J740" s="34" t="n">
        <v>45149</v>
      </c>
      <c r="K740" s="34" t="n">
        <v>45149</v>
      </c>
      <c r="L740" s="0">
        <f>DATEDIF(J740,$L$1,"M")</f>
        <v/>
      </c>
      <c r="M740" s="0">
        <f>IF(L740&lt;18,"新品期",IF(L740&lt;=36,"老品期","衰退期"))</f>
        <v/>
      </c>
      <c r="N740" s="36" t="inlineStr">
        <is>
          <t>清完不卖</t>
        </is>
      </c>
    </row>
    <row r="741" ht="15" customFormat="1" customHeight="1" s="36">
      <c r="A741" s="4" t="inlineStr">
        <is>
          <t>tacuet-CA</t>
        </is>
      </c>
      <c r="B741" s="4" t="inlineStr">
        <is>
          <t>Taucet加拿大站</t>
        </is>
      </c>
      <c r="C741" s="4">
        <f>B741&amp;D741</f>
        <v/>
      </c>
      <c r="D741" s="4" t="inlineStr">
        <is>
          <t>TT-9701ORB</t>
        </is>
      </c>
      <c r="E741" s="4" t="inlineStr">
        <is>
          <t>110F0097OB1</t>
        </is>
      </c>
      <c r="F741" s="4" t="inlineStr">
        <is>
          <t>97系列矮身单孔正开面盆龙头 拉丝古铜色</t>
        </is>
      </c>
      <c r="G741" s="4" t="inlineStr">
        <is>
          <t>童劲威</t>
        </is>
      </c>
      <c r="H741" s="4" t="inlineStr">
        <is>
          <t>面盆</t>
        </is>
      </c>
      <c r="I741" s="12" t="inlineStr">
        <is>
          <t>是</t>
        </is>
      </c>
      <c r="J741" s="34" t="n">
        <v>45149</v>
      </c>
      <c r="K741" s="34" t="n">
        <v>45149</v>
      </c>
      <c r="L741" s="0">
        <f>DATEDIF(J741,$L$1,"M")</f>
        <v/>
      </c>
      <c r="M741" s="0">
        <f>IF(L741&lt;18,"新品期",IF(L741&lt;=36,"老品期","衰退期"))</f>
        <v/>
      </c>
      <c r="N741" s="36" t="inlineStr">
        <is>
          <t>清完不卖</t>
        </is>
      </c>
    </row>
    <row r="742" ht="15" customFormat="1" customHeight="1" s="36">
      <c r="A742" s="4" t="inlineStr">
        <is>
          <t>tacuet-CA</t>
        </is>
      </c>
      <c r="B742" s="4" t="inlineStr">
        <is>
          <t>Taucet加拿大站</t>
        </is>
      </c>
      <c r="C742" s="4">
        <f>B742&amp;D742</f>
        <v/>
      </c>
      <c r="D742" s="4" t="inlineStr">
        <is>
          <t>TT-9704RGBK</t>
        </is>
      </c>
      <c r="E742" s="4" t="inlineStr">
        <is>
          <t>140F0097RB1</t>
        </is>
      </c>
      <c r="F742" s="4" t="inlineStr">
        <is>
          <t>97系列分体面盆龙头拉丝玫瑰金+黑色</t>
        </is>
      </c>
      <c r="G742" s="4" t="inlineStr">
        <is>
          <t>童劲威</t>
        </is>
      </c>
      <c r="H742" s="4" t="inlineStr">
        <is>
          <t>面盆</t>
        </is>
      </c>
      <c r="I742" s="12" t="inlineStr">
        <is>
          <t>是</t>
        </is>
      </c>
      <c r="J742" s="34" t="n">
        <v>45149</v>
      </c>
      <c r="K742" s="34" t="n">
        <v>45149</v>
      </c>
      <c r="L742" s="0">
        <f>DATEDIF(J742,$L$1,"M")</f>
        <v/>
      </c>
      <c r="M742" s="0">
        <f>IF(L742&lt;18,"新品期",IF(L742&lt;=36,"老品期","衰退期"))</f>
        <v/>
      </c>
      <c r="N742" s="36" t="inlineStr">
        <is>
          <t>清完不卖</t>
        </is>
      </c>
    </row>
    <row r="743" ht="15" customFormat="1" customHeight="1" s="36">
      <c r="A743" s="4" t="inlineStr">
        <is>
          <t>tacuet-US</t>
        </is>
      </c>
      <c r="B743" s="4" t="inlineStr">
        <is>
          <t>Taucet美国站</t>
        </is>
      </c>
      <c r="C743" s="4">
        <f>B743&amp;D743</f>
        <v/>
      </c>
      <c r="D743" s="4" t="inlineStr">
        <is>
          <t>TT-9701BG</t>
        </is>
      </c>
      <c r="E743" s="4" t="inlineStr">
        <is>
          <t>110F0097BG1</t>
        </is>
      </c>
      <c r="F743" s="4" t="inlineStr">
        <is>
          <t>97系列矮身单孔正开面盆龙头拉丝钛金封油</t>
        </is>
      </c>
      <c r="G743" s="4" t="inlineStr">
        <is>
          <t>童劲威</t>
        </is>
      </c>
      <c r="H743" s="4" t="inlineStr">
        <is>
          <t>面盆</t>
        </is>
      </c>
      <c r="I743" s="12" t="inlineStr">
        <is>
          <t>是</t>
        </is>
      </c>
      <c r="J743" s="34" t="n">
        <v>45149</v>
      </c>
      <c r="K743" s="34" t="n">
        <v>45149</v>
      </c>
      <c r="L743" s="0">
        <f>DATEDIF(J743,$L$1,"M")</f>
        <v/>
      </c>
      <c r="M743" s="0">
        <f>IF(L743&lt;18,"新品期",IF(L743&lt;=36,"老品期","衰退期"))</f>
        <v/>
      </c>
      <c r="N743" s="36" t="inlineStr">
        <is>
          <t>清完不卖</t>
        </is>
      </c>
    </row>
    <row r="744" ht="15" customFormat="1" customHeight="1" s="36">
      <c r="A744" s="4" t="inlineStr">
        <is>
          <t>tacuet-US</t>
        </is>
      </c>
      <c r="B744" s="4" t="inlineStr">
        <is>
          <t>Taucet美国站</t>
        </is>
      </c>
      <c r="C744" s="4">
        <f>B744&amp;D744</f>
        <v/>
      </c>
      <c r="D744" s="4" t="inlineStr">
        <is>
          <t>TT-9701BK01</t>
        </is>
      </c>
      <c r="E744" s="4" t="inlineStr">
        <is>
          <t>110F0097BK1</t>
        </is>
      </c>
      <c r="F744" s="4" t="inlineStr">
        <is>
          <t>97系列矮身单孔正开面盆龙头电泳黑</t>
        </is>
      </c>
      <c r="G744" s="4" t="inlineStr">
        <is>
          <t>童劲威</t>
        </is>
      </c>
      <c r="H744" s="4" t="inlineStr">
        <is>
          <t>面盆</t>
        </is>
      </c>
      <c r="I744" s="12" t="inlineStr">
        <is>
          <t>是</t>
        </is>
      </c>
      <c r="J744" s="34" t="n">
        <v>45149</v>
      </c>
      <c r="K744" s="34" t="n">
        <v>45149</v>
      </c>
      <c r="L744" s="0">
        <f>DATEDIF(J744,$L$1,"M")</f>
        <v/>
      </c>
      <c r="M744" s="0">
        <f>IF(L744&lt;18,"新品期",IF(L744&lt;=36,"老品期","衰退期"))</f>
        <v/>
      </c>
      <c r="N744" s="36" t="inlineStr">
        <is>
          <t>清完不卖</t>
        </is>
      </c>
    </row>
    <row r="745" ht="15" customFormat="1" customHeight="1" s="36">
      <c r="A745" s="4" t="inlineStr">
        <is>
          <t>tacuet-US</t>
        </is>
      </c>
      <c r="B745" s="4" t="inlineStr">
        <is>
          <t>Taucet美国站</t>
        </is>
      </c>
      <c r="C745" s="4">
        <f>B745&amp;D745</f>
        <v/>
      </c>
      <c r="D745" s="4" t="inlineStr">
        <is>
          <t>TT-9701BK03-ZZ</t>
        </is>
      </c>
      <c r="E745" s="4" t="inlineStr">
        <is>
          <t>110F0097BK1</t>
        </is>
      </c>
      <c r="F745" s="4" t="inlineStr">
        <is>
          <t>97系列矮身单孔正开面盆龙头电泳黑</t>
        </is>
      </c>
      <c r="G745" s="4" t="inlineStr">
        <is>
          <t>童劲威</t>
        </is>
      </c>
      <c r="H745" s="4" t="inlineStr">
        <is>
          <t>面盆</t>
        </is>
      </c>
      <c r="I745" s="12" t="inlineStr">
        <is>
          <t>是</t>
        </is>
      </c>
      <c r="J745" s="34" t="n">
        <v>45149</v>
      </c>
      <c r="K745" s="34" t="n">
        <v>45149</v>
      </c>
      <c r="L745" s="0">
        <f>DATEDIF(J745,$L$1,"M")</f>
        <v/>
      </c>
      <c r="M745" s="0">
        <f>IF(L745&lt;18,"新品期",IF(L745&lt;=36,"老品期","衰退期"))</f>
        <v/>
      </c>
      <c r="N745" s="36" t="inlineStr">
        <is>
          <t>清完不卖</t>
        </is>
      </c>
    </row>
    <row r="746" ht="15" customFormat="1" customHeight="1" s="36">
      <c r="A746" s="4" t="inlineStr">
        <is>
          <t>tacuet-US</t>
        </is>
      </c>
      <c r="B746" s="4" t="inlineStr">
        <is>
          <t>Taucet美国站</t>
        </is>
      </c>
      <c r="C746" s="4">
        <f>B746&amp;D746</f>
        <v/>
      </c>
      <c r="D746" s="4" t="inlineStr">
        <is>
          <t>TT-9701BN</t>
        </is>
      </c>
      <c r="E746" s="4" t="inlineStr">
        <is>
          <t>110F0097BN1</t>
        </is>
      </c>
      <c r="F746" s="4" t="inlineStr">
        <is>
          <t>97系列矮身单孔正开面盆龙头拉丝封油</t>
        </is>
      </c>
      <c r="G746" s="4" t="inlineStr">
        <is>
          <t>童劲威</t>
        </is>
      </c>
      <c r="H746" s="4" t="inlineStr">
        <is>
          <t>面盆</t>
        </is>
      </c>
      <c r="I746" s="12" t="inlineStr">
        <is>
          <t>是</t>
        </is>
      </c>
      <c r="J746" s="34" t="n">
        <v>45149</v>
      </c>
      <c r="K746" s="34" t="n">
        <v>45149</v>
      </c>
      <c r="L746" s="0">
        <f>DATEDIF(J746,$L$1,"M")</f>
        <v/>
      </c>
      <c r="M746" s="0">
        <f>IF(L746&lt;18,"新品期",IF(L746&lt;=36,"老品期","衰退期"))</f>
        <v/>
      </c>
      <c r="N746" s="36" t="inlineStr">
        <is>
          <t>清完不卖</t>
        </is>
      </c>
    </row>
    <row r="747" ht="15" customFormat="1" customHeight="1" s="36">
      <c r="A747" s="4" t="inlineStr">
        <is>
          <t>tacuet-US</t>
        </is>
      </c>
      <c r="B747" s="4" t="inlineStr">
        <is>
          <t>Taucet美国站</t>
        </is>
      </c>
      <c r="C747" s="4">
        <f>B747&amp;D747</f>
        <v/>
      </c>
      <c r="D747" s="4" t="inlineStr">
        <is>
          <t>TT-9701CP</t>
        </is>
      </c>
      <c r="E747" s="4" t="inlineStr">
        <is>
          <t>110F0097CP1</t>
        </is>
      </c>
      <c r="F747" s="4" t="inlineStr">
        <is>
          <t>97系列矮身单孔正开面盆龙头铬</t>
        </is>
      </c>
      <c r="G747" s="4" t="inlineStr">
        <is>
          <t>童劲威</t>
        </is>
      </c>
      <c r="H747" s="4" t="inlineStr">
        <is>
          <t>面盆</t>
        </is>
      </c>
      <c r="I747" s="12" t="inlineStr">
        <is>
          <t>是</t>
        </is>
      </c>
      <c r="J747" s="34" t="n">
        <v>45149</v>
      </c>
      <c r="K747" s="34" t="n">
        <v>45149</v>
      </c>
      <c r="L747" s="0">
        <f>DATEDIF(J747,$L$1,"M")</f>
        <v/>
      </c>
      <c r="M747" s="0">
        <f>IF(L747&lt;18,"新品期",IF(L747&lt;=36,"老品期","衰退期"))</f>
        <v/>
      </c>
      <c r="N747" s="36" t="inlineStr">
        <is>
          <t>清完不卖</t>
        </is>
      </c>
    </row>
    <row r="748" ht="15" customFormat="1" customHeight="1" s="36">
      <c r="A748" s="4" t="inlineStr">
        <is>
          <t>tacuet-US</t>
        </is>
      </c>
      <c r="B748" s="4" t="inlineStr">
        <is>
          <t>Taucet美国站</t>
        </is>
      </c>
      <c r="C748" s="4">
        <f>B748&amp;D748</f>
        <v/>
      </c>
      <c r="D748" s="4" t="inlineStr">
        <is>
          <t>TT-9701ORB</t>
        </is>
      </c>
      <c r="E748" s="4" t="inlineStr">
        <is>
          <t>110F0097OB1</t>
        </is>
      </c>
      <c r="F748" s="4" t="inlineStr">
        <is>
          <t>97系列矮身单孔正开面盆龙头 拉丝古铜色</t>
        </is>
      </c>
      <c r="G748" s="4" t="inlineStr">
        <is>
          <t>童劲威</t>
        </is>
      </c>
      <c r="H748" s="4" t="inlineStr">
        <is>
          <t>面盆</t>
        </is>
      </c>
      <c r="I748" s="12" t="inlineStr">
        <is>
          <t>是</t>
        </is>
      </c>
      <c r="J748" s="34" t="n">
        <v>45149</v>
      </c>
      <c r="K748" s="34" t="n">
        <v>45149</v>
      </c>
      <c r="L748" s="0">
        <f>DATEDIF(J748,$L$1,"M")</f>
        <v/>
      </c>
      <c r="M748" s="0">
        <f>IF(L748&lt;18,"新品期",IF(L748&lt;=36,"老品期","衰退期"))</f>
        <v/>
      </c>
      <c r="N748" s="36" t="inlineStr">
        <is>
          <t>清完不卖</t>
        </is>
      </c>
    </row>
    <row r="749" ht="15" customFormat="1" customHeight="1" s="36">
      <c r="A749" s="4" t="inlineStr">
        <is>
          <t>KZ-liu-US</t>
        </is>
      </c>
      <c r="B749" s="4" t="inlineStr">
        <is>
          <t>Kruzoo美国站</t>
        </is>
      </c>
      <c r="C749" s="4">
        <f>B749&amp;D749</f>
        <v/>
      </c>
      <c r="D749" s="4" t="inlineStr">
        <is>
          <t>PF01BG</t>
        </is>
      </c>
      <c r="E749" s="4" t="inlineStr">
        <is>
          <t>430F0800BG1</t>
        </is>
      </c>
      <c r="F749" s="4" t="inlineStr">
        <is>
          <t>0800折叠厨房龙头拉丝钛金封油</t>
        </is>
      </c>
      <c r="G749" s="4" t="inlineStr">
        <is>
          <t>吕凯烨</t>
        </is>
      </c>
      <c r="H749" s="4" t="inlineStr">
        <is>
          <t>厨房品线</t>
        </is>
      </c>
      <c r="I749" s="12" t="inlineStr">
        <is>
          <t>是</t>
        </is>
      </c>
      <c r="J749" s="34" t="n">
        <v>44627</v>
      </c>
      <c r="K749" s="34" t="n">
        <v>44688</v>
      </c>
      <c r="L749" s="0">
        <f>DATEDIF(J749,$L$1,"M")</f>
        <v/>
      </c>
      <c r="M749" s="0">
        <f>IF(L749&lt;18,"新品期",IF(L749&lt;=36,"老品期","衰退期"))</f>
        <v/>
      </c>
    </row>
    <row r="750" ht="15" customFormat="1" customHeight="1" s="36">
      <c r="A750" s="4" t="inlineStr">
        <is>
          <t>KZ-liu-US</t>
        </is>
      </c>
      <c r="B750" s="4" t="inlineStr">
        <is>
          <t>Kruzoo美国站</t>
        </is>
      </c>
      <c r="C750" s="4">
        <f>B750&amp;D750</f>
        <v/>
      </c>
      <c r="D750" s="4" t="inlineStr">
        <is>
          <t>PF01CP</t>
        </is>
      </c>
      <c r="E750" s="4" t="inlineStr">
        <is>
          <t>430F0800CP1</t>
        </is>
      </c>
      <c r="F750" s="4" t="inlineStr">
        <is>
          <t>0800折叠厨房龙头铬</t>
        </is>
      </c>
      <c r="G750" s="4" t="inlineStr">
        <is>
          <t>吕凯烨</t>
        </is>
      </c>
      <c r="H750" s="4" t="inlineStr">
        <is>
          <t>厨房品线</t>
        </is>
      </c>
      <c r="I750" s="12" t="inlineStr">
        <is>
          <t>是</t>
        </is>
      </c>
      <c r="J750" s="34" t="n">
        <v>44553</v>
      </c>
      <c r="K750" s="34" t="n">
        <v>44593</v>
      </c>
      <c r="L750" s="0">
        <f>DATEDIF(J750,$L$1,"M")</f>
        <v/>
      </c>
      <c r="M750" s="0">
        <f>IF(L750&lt;18,"新品期",IF(L750&lt;=36,"老品期","衰退期"))</f>
        <v/>
      </c>
    </row>
    <row r="751" ht="15" customFormat="1" customHeight="1" s="36">
      <c r="A751" s="4" t="inlineStr">
        <is>
          <t>KZ-liu-US</t>
        </is>
      </c>
      <c r="B751" s="4" t="inlineStr">
        <is>
          <t>Kruzoo美国站</t>
        </is>
      </c>
      <c r="C751" s="4">
        <f>B751&amp;D751</f>
        <v/>
      </c>
      <c r="D751" s="4" t="inlineStr">
        <is>
          <t>PF01MB</t>
        </is>
      </c>
      <c r="E751" s="4" t="inlineStr">
        <is>
          <t>430F0800BK1</t>
        </is>
      </c>
      <c r="F751" s="4" t="inlineStr">
        <is>
          <t>0800折叠厨房龙头电泳黑</t>
        </is>
      </c>
      <c r="G751" s="4" t="inlineStr">
        <is>
          <t>吕凯烨</t>
        </is>
      </c>
      <c r="H751" s="4" t="inlineStr">
        <is>
          <t>厨房品线</t>
        </is>
      </c>
      <c r="I751" s="12" t="inlineStr">
        <is>
          <t>是</t>
        </is>
      </c>
      <c r="J751" s="34" t="n">
        <v>44553</v>
      </c>
      <c r="K751" s="34" t="n">
        <v>44593</v>
      </c>
      <c r="L751" s="0">
        <f>DATEDIF(J751,$L$1,"M")</f>
        <v/>
      </c>
      <c r="M751" s="0">
        <f>IF(L751&lt;18,"新品期",IF(L751&lt;=36,"老品期","衰退期"))</f>
        <v/>
      </c>
    </row>
    <row r="752" ht="15" customFormat="1" customHeight="1" s="36">
      <c r="A752" s="4" t="inlineStr">
        <is>
          <t>KZ-liu-US</t>
        </is>
      </c>
      <c r="B752" s="4" t="inlineStr">
        <is>
          <t>Kruzoo美国站</t>
        </is>
      </c>
      <c r="C752" s="4">
        <f>B752&amp;D752</f>
        <v/>
      </c>
      <c r="D752" s="4" t="inlineStr">
        <is>
          <t>PF01MG</t>
        </is>
      </c>
      <c r="E752" s="4" t="inlineStr">
        <is>
          <t>430F0800BK1</t>
        </is>
      </c>
      <c r="F752" s="4" t="inlineStr">
        <is>
          <t>0800折叠厨房龙头电泳黑</t>
        </is>
      </c>
      <c r="G752" s="4" t="inlineStr">
        <is>
          <t>吕凯烨</t>
        </is>
      </c>
      <c r="H752" s="4" t="inlineStr">
        <is>
          <t>厨房品线</t>
        </is>
      </c>
      <c r="I752" s="12" t="inlineStr">
        <is>
          <t>是</t>
        </is>
      </c>
      <c r="J752" s="34" t="n">
        <v>44627</v>
      </c>
      <c r="K752" s="34" t="n">
        <v>44688</v>
      </c>
      <c r="L752" s="0">
        <f>DATEDIF(J752,$L$1,"M")</f>
        <v/>
      </c>
      <c r="M752" s="0">
        <f>IF(L752&lt;18,"新品期",IF(L752&lt;=36,"老品期","衰退期"))</f>
        <v/>
      </c>
    </row>
    <row r="753" ht="15" customFormat="1" customHeight="1" s="36">
      <c r="A753" s="4" t="inlineStr">
        <is>
          <t>KZ-liu-US</t>
        </is>
      </c>
      <c r="B753" s="4" t="inlineStr">
        <is>
          <t>Kruzoo美国站</t>
        </is>
      </c>
      <c r="C753" s="4">
        <f>B753&amp;D753</f>
        <v/>
      </c>
      <c r="D753" s="4" t="inlineStr">
        <is>
          <t>PF01ORB</t>
        </is>
      </c>
      <c r="E753" s="4" t="inlineStr">
        <is>
          <t>430F0800OB1</t>
        </is>
      </c>
      <c r="F753" s="4" t="inlineStr">
        <is>
          <t>0800折叠厨房龙头 拉丝古铜色</t>
        </is>
      </c>
      <c r="G753" s="4" t="inlineStr">
        <is>
          <t>吕凯烨</t>
        </is>
      </c>
      <c r="H753" s="4" t="inlineStr">
        <is>
          <t>厨房品线</t>
        </is>
      </c>
      <c r="I753" s="12" t="inlineStr">
        <is>
          <t>是</t>
        </is>
      </c>
      <c r="J753" s="34" t="n">
        <v>44391</v>
      </c>
      <c r="K753" s="34" t="n">
        <v>44453</v>
      </c>
      <c r="L753" s="0">
        <f>DATEDIF(J753,$L$1,"M")</f>
        <v/>
      </c>
      <c r="M753" s="0">
        <f>IF(L753&lt;18,"新品期",IF(L753&lt;=36,"老品期","衰退期"))</f>
        <v/>
      </c>
    </row>
    <row r="754" ht="15" customFormat="1" customHeight="1" s="36">
      <c r="A754" s="4" t="inlineStr">
        <is>
          <t>KZ-liu-CA</t>
        </is>
      </c>
      <c r="B754" s="4" t="inlineStr">
        <is>
          <t>Kruzoo加拿大站</t>
        </is>
      </c>
      <c r="C754" s="4">
        <f>B754&amp;D754</f>
        <v/>
      </c>
      <c r="D754" s="4" t="inlineStr">
        <is>
          <t>PF01ORB</t>
        </is>
      </c>
      <c r="E754" s="4" t="inlineStr">
        <is>
          <t>430F0800OB1</t>
        </is>
      </c>
      <c r="F754" s="4" t="inlineStr">
        <is>
          <t>0800折叠厨房龙头 拉丝古铜色</t>
        </is>
      </c>
      <c r="G754" s="4" t="inlineStr">
        <is>
          <t>吕凯烨</t>
        </is>
      </c>
      <c r="H754" s="4" t="inlineStr">
        <is>
          <t>厨房品线</t>
        </is>
      </c>
      <c r="I754" s="12" t="inlineStr">
        <is>
          <t>是</t>
        </is>
      </c>
      <c r="J754" s="34" t="n">
        <v>44391</v>
      </c>
      <c r="K754" s="34" t="n">
        <v>44453</v>
      </c>
      <c r="L754" s="0">
        <f>DATEDIF(J754,$L$1,"M")</f>
        <v/>
      </c>
      <c r="M754" s="0">
        <f>IF(L754&lt;18,"新品期",IF(L754&lt;=36,"老品期","衰退期"))</f>
        <v/>
      </c>
    </row>
    <row r="755" ht="15" customFormat="1" customHeight="1" s="36">
      <c r="A755" s="4" t="inlineStr">
        <is>
          <t>KZ-liu-US</t>
        </is>
      </c>
      <c r="B755" s="4" t="inlineStr">
        <is>
          <t>Kruzoo美国站</t>
        </is>
      </c>
      <c r="C755" s="4">
        <f>B755&amp;D755</f>
        <v/>
      </c>
      <c r="D755" s="4" t="inlineStr">
        <is>
          <t>PF02BN</t>
        </is>
      </c>
      <c r="E755" s="4" t="inlineStr">
        <is>
          <t>430F0800BN2</t>
        </is>
      </c>
      <c r="F755" s="4" t="inlineStr">
        <is>
          <t>0800折叠厨房龙头拉丝封半哑油</t>
        </is>
      </c>
      <c r="G755" s="4" t="inlineStr">
        <is>
          <t>吕凯烨</t>
        </is>
      </c>
      <c r="H755" s="4" t="inlineStr">
        <is>
          <t>厨房品线</t>
        </is>
      </c>
      <c r="I755" s="12" t="inlineStr">
        <is>
          <t>是</t>
        </is>
      </c>
      <c r="J755" s="34" t="n">
        <v>44678</v>
      </c>
      <c r="K755" s="34" t="n">
        <v>44739</v>
      </c>
      <c r="L755" s="0">
        <f>DATEDIF(J755,$L$1,"M")</f>
        <v/>
      </c>
      <c r="M755" s="0">
        <f>IF(L755&lt;18,"新品期",IF(L755&lt;=36,"老品期","衰退期"))</f>
        <v/>
      </c>
    </row>
    <row r="756" ht="15" customFormat="1" customHeight="1" s="36">
      <c r="A756" s="4" t="inlineStr">
        <is>
          <t>Wintap-US</t>
        </is>
      </c>
      <c r="B756" s="4" t="inlineStr">
        <is>
          <t>Wintap美国站</t>
        </is>
      </c>
      <c r="C756" s="4">
        <f>B756&amp;D756</f>
        <v/>
      </c>
      <c r="D756" s="4" t="inlineStr">
        <is>
          <t>PU-4540-MYN4</t>
        </is>
      </c>
      <c r="E756" s="4" t="inlineStr">
        <is>
          <t>211F8000OB1</t>
        </is>
      </c>
      <c r="F756" s="4" t="inlineStr">
        <is>
          <t>8000二功能落地浴缸龙头拉丝古铜色</t>
        </is>
      </c>
      <c r="G756" s="4" t="inlineStr">
        <is>
          <t>刘皓</t>
        </is>
      </c>
      <c r="H756" s="4" t="inlineStr">
        <is>
          <t>落地浴缸</t>
        </is>
      </c>
      <c r="I756" s="12" t="inlineStr">
        <is>
          <t>是</t>
        </is>
      </c>
      <c r="J756" s="34" t="n">
        <v>44854</v>
      </c>
      <c r="K756" s="34" t="n">
        <v>44854</v>
      </c>
      <c r="L756" s="0">
        <f>DATEDIF(J756,$L$1,"M")</f>
        <v/>
      </c>
      <c r="M756" s="0">
        <f>IF(L756&lt;18,"新品期",IF(L756&lt;=36,"老品期","衰退期"))</f>
        <v/>
      </c>
    </row>
    <row r="757" ht="15" customFormat="1" customHeight="1" s="36">
      <c r="A757" s="4" t="inlineStr">
        <is>
          <t>Wintap-CA</t>
        </is>
      </c>
      <c r="B757" s="4" t="inlineStr">
        <is>
          <t>Wintap加拿大站</t>
        </is>
      </c>
      <c r="C757" s="4">
        <f>B757&amp;D757</f>
        <v/>
      </c>
      <c r="D757" s="4" t="inlineStr">
        <is>
          <t>PU-4540-MYN4</t>
        </is>
      </c>
      <c r="E757" s="4" t="inlineStr">
        <is>
          <t>211F8000OB1</t>
        </is>
      </c>
      <c r="F757" s="4" t="inlineStr">
        <is>
          <t>8000二功能落地浴缸龙头拉丝古铜色</t>
        </is>
      </c>
      <c r="G757" s="4" t="inlineStr">
        <is>
          <t>刘皓</t>
        </is>
      </c>
      <c r="H757" s="4" t="inlineStr">
        <is>
          <t>落地浴缸</t>
        </is>
      </c>
      <c r="I757" s="12" t="inlineStr">
        <is>
          <t>是</t>
        </is>
      </c>
      <c r="J757" s="34" t="n">
        <v>44854</v>
      </c>
      <c r="K757" s="34" t="n">
        <v>44854</v>
      </c>
      <c r="L757" s="0">
        <f>DATEDIF(J757,$L$1,"M")</f>
        <v/>
      </c>
      <c r="M757" s="0">
        <f>IF(L757&lt;18,"新品期",IF(L757&lt;=36,"老品期","衰退期"))</f>
        <v/>
      </c>
    </row>
    <row r="758" ht="15" customFormat="1" customHeight="1" s="36">
      <c r="A758" s="20" t="inlineStr">
        <is>
          <t>soebiz-US</t>
        </is>
      </c>
      <c r="B758" s="20" t="inlineStr">
        <is>
          <t>Soebiz美国站</t>
        </is>
      </c>
      <c r="C758" s="4">
        <f>B758&amp;D758</f>
        <v/>
      </c>
      <c r="D758" s="20" t="inlineStr">
        <is>
          <t>SZ-B1005CP</t>
        </is>
      </c>
      <c r="E758" s="20" t="inlineStr">
        <is>
          <t>211F1005CP1</t>
        </is>
      </c>
      <c r="F758" s="4" t="inlineStr">
        <is>
          <t>1005二功能落地浴缸龙头铬</t>
        </is>
      </c>
      <c r="G758" s="20" t="inlineStr">
        <is>
          <t>刘皓</t>
        </is>
      </c>
      <c r="H758" s="4" t="inlineStr">
        <is>
          <t>落地浴缸</t>
        </is>
      </c>
      <c r="I758" s="12" t="n"/>
      <c r="J758" s="21" t="n">
        <v>45449</v>
      </c>
      <c r="K758" s="21" t="n">
        <v>45449</v>
      </c>
      <c r="L758" s="0">
        <f>DATEDIF(J758,$L$1,"M")</f>
        <v/>
      </c>
      <c r="M758" s="0">
        <f>IF(L758&lt;18,"新品期",IF(L758&lt;=36,"老品期","衰退期"))</f>
        <v/>
      </c>
    </row>
    <row r="759" ht="15" customFormat="1" customHeight="1" s="36">
      <c r="A759" s="4" t="inlineStr">
        <is>
          <t>soebiz-US</t>
        </is>
      </c>
      <c r="B759" s="4" t="inlineStr">
        <is>
          <t>Soebiz美国站</t>
        </is>
      </c>
      <c r="C759" s="4">
        <f>B759&amp;D759</f>
        <v/>
      </c>
      <c r="D759" s="4" t="inlineStr">
        <is>
          <t>SZ-B3005BK</t>
        </is>
      </c>
      <c r="E759" s="4" t="inlineStr">
        <is>
          <t>230F3005BK1</t>
        </is>
      </c>
      <c r="F759" s="4" t="inlineStr">
        <is>
          <t>3005单功能入墙浴缸龙头电泳黑</t>
        </is>
      </c>
      <c r="G759" s="4" t="inlineStr">
        <is>
          <t>陈巧娴</t>
        </is>
      </c>
      <c r="H759" s="4" t="inlineStr">
        <is>
          <t>缸边浴缸</t>
        </is>
      </c>
      <c r="I759" s="12" t="inlineStr">
        <is>
          <t>是</t>
        </is>
      </c>
      <c r="J759" s="34" t="n">
        <v>45547</v>
      </c>
      <c r="K759" s="34" t="n">
        <v>45547</v>
      </c>
      <c r="L759" s="0">
        <f>DATEDIF(J759,$L$1,"M")</f>
        <v/>
      </c>
      <c r="M759" s="0">
        <f>IF(L759&lt;18,"新品期",IF(L759&lt;=36,"老品期","衰退期"))</f>
        <v/>
      </c>
      <c r="N759" s="15" t="inlineStr">
        <is>
          <t>25年5月前胡娟娟负责</t>
        </is>
      </c>
    </row>
    <row r="760" ht="15" customFormat="1" customHeight="1" s="36">
      <c r="A760" s="4" t="inlineStr">
        <is>
          <t>soebiz-US</t>
        </is>
      </c>
      <c r="B760" s="4" t="inlineStr">
        <is>
          <t>Soebiz美国站</t>
        </is>
      </c>
      <c r="C760" s="4">
        <f>B760&amp;D760</f>
        <v/>
      </c>
      <c r="D760" s="4" t="inlineStr">
        <is>
          <t>SZ-B3005ORB</t>
        </is>
      </c>
      <c r="E760" s="4" t="inlineStr">
        <is>
          <t>230F3005OB1</t>
        </is>
      </c>
      <c r="F760" s="4" t="inlineStr">
        <is>
          <t>3005单功能入墙浴缸龙头拉丝古铜色</t>
        </is>
      </c>
      <c r="G760" s="4" t="inlineStr">
        <is>
          <t>陈巧娴</t>
        </is>
      </c>
      <c r="H760" s="4" t="inlineStr">
        <is>
          <t>缸边浴缸</t>
        </is>
      </c>
      <c r="I760" s="12" t="inlineStr">
        <is>
          <t>是</t>
        </is>
      </c>
      <c r="J760" s="34" t="n">
        <v>45547</v>
      </c>
      <c r="K760" s="34" t="n">
        <v>45547</v>
      </c>
      <c r="L760" s="0">
        <f>DATEDIF(J760,$L$1,"M")</f>
        <v/>
      </c>
      <c r="M760" s="0">
        <f>IF(L760&lt;18,"新品期",IF(L760&lt;=36,"老品期","衰退期"))</f>
        <v/>
      </c>
      <c r="N760" s="15" t="inlineStr">
        <is>
          <t>25年5月前胡娟娟负责</t>
        </is>
      </c>
    </row>
    <row r="761" ht="15" customFormat="1" customHeight="1" s="36">
      <c r="A761" s="4" t="inlineStr">
        <is>
          <t>soebiz-CA</t>
        </is>
      </c>
      <c r="B761" s="4" t="inlineStr">
        <is>
          <t>Soebiz加拿大站</t>
        </is>
      </c>
      <c r="C761" s="4">
        <f>B761&amp;D761</f>
        <v/>
      </c>
      <c r="D761" s="4" t="inlineStr">
        <is>
          <t>SZ-B3005ORB</t>
        </is>
      </c>
      <c r="E761" s="4" t="inlineStr">
        <is>
          <t>230F3005OB1</t>
        </is>
      </c>
      <c r="F761" s="4" t="inlineStr">
        <is>
          <t>3005单功能入墙浴缸龙头拉丝古铜色</t>
        </is>
      </c>
      <c r="G761" s="4" t="inlineStr">
        <is>
          <t>陈巧娴</t>
        </is>
      </c>
      <c r="H761" s="4" t="inlineStr">
        <is>
          <t>缸边浴缸</t>
        </is>
      </c>
      <c r="I761" s="12" t="inlineStr">
        <is>
          <t>是</t>
        </is>
      </c>
      <c r="J761" s="34" t="n">
        <v>45547</v>
      </c>
      <c r="K761" s="34" t="n">
        <v>45547</v>
      </c>
      <c r="L761" s="0">
        <f>DATEDIF(J761,$L$1,"M")</f>
        <v/>
      </c>
      <c r="M761" s="0">
        <f>IF(L761&lt;18,"新品期",IF(L761&lt;=36,"老品期","衰退期"))</f>
        <v/>
      </c>
      <c r="N761" s="15" t="inlineStr">
        <is>
          <t>25年5月前胡娟娟负责</t>
        </is>
      </c>
    </row>
    <row r="762" ht="15" customFormat="1" customHeight="1" s="36">
      <c r="A762" s="4" t="inlineStr">
        <is>
          <t>tacuet-US</t>
        </is>
      </c>
      <c r="B762" s="4" t="inlineStr">
        <is>
          <t>Taucet美国站</t>
        </is>
      </c>
      <c r="C762" s="4">
        <f>B762&amp;D762</f>
        <v/>
      </c>
      <c r="D762" s="4" t="inlineStr">
        <is>
          <t>TT-9701RGBK01</t>
        </is>
      </c>
      <c r="E762" s="4" t="inlineStr">
        <is>
          <t>110F0097RB1</t>
        </is>
      </c>
      <c r="F762" s="4" t="inlineStr">
        <is>
          <t>97系列矮身单孔正开面盆龙头拉丝玫瑰金+黑色</t>
        </is>
      </c>
      <c r="G762" s="4" t="inlineStr">
        <is>
          <t>童劲威</t>
        </is>
      </c>
      <c r="H762" s="4" t="inlineStr">
        <is>
          <t>面盆</t>
        </is>
      </c>
      <c r="I762" s="12" t="inlineStr">
        <is>
          <t>是</t>
        </is>
      </c>
      <c r="J762" s="34" t="n">
        <v>45149</v>
      </c>
      <c r="K762" s="34" t="n">
        <v>45149</v>
      </c>
      <c r="L762" s="0">
        <f>DATEDIF(J762,$L$1,"M")</f>
        <v/>
      </c>
      <c r="M762" s="0">
        <f>IF(L762&lt;18,"新品期",IF(L762&lt;=36,"老品期","衰退期"))</f>
        <v/>
      </c>
      <c r="N762" s="36" t="inlineStr">
        <is>
          <t>清完不卖</t>
        </is>
      </c>
    </row>
    <row r="763" ht="15" customFormat="1" customHeight="1" s="36">
      <c r="A763" s="4" t="inlineStr">
        <is>
          <t>tacuet-US</t>
        </is>
      </c>
      <c r="B763" s="4" t="inlineStr">
        <is>
          <t>Taucet美国站</t>
        </is>
      </c>
      <c r="C763" s="4">
        <f>B763&amp;D763</f>
        <v/>
      </c>
      <c r="D763" s="4" t="inlineStr">
        <is>
          <t>TT-9701RGBK03-ZZ</t>
        </is>
      </c>
      <c r="E763" s="4" t="inlineStr">
        <is>
          <t>110F0097RB1</t>
        </is>
      </c>
      <c r="F763" s="4" t="inlineStr">
        <is>
          <t>97系列矮身单孔正开面盆龙头拉丝玫瑰金+黑色</t>
        </is>
      </c>
      <c r="G763" s="4" t="inlineStr">
        <is>
          <t>童劲威</t>
        </is>
      </c>
      <c r="H763" s="4" t="inlineStr">
        <is>
          <t>面盆</t>
        </is>
      </c>
      <c r="I763" s="12" t="inlineStr">
        <is>
          <t>是</t>
        </is>
      </c>
      <c r="J763" s="34" t="n">
        <v>45149</v>
      </c>
      <c r="K763" s="34" t="n">
        <v>45149</v>
      </c>
      <c r="L763" s="0">
        <f>DATEDIF(J763,$L$1,"M")</f>
        <v/>
      </c>
      <c r="M763" s="0">
        <f>IF(L763&lt;18,"新品期",IF(L763&lt;=36,"老品期","衰退期"))</f>
        <v/>
      </c>
      <c r="N763" s="36" t="inlineStr">
        <is>
          <t>清完不卖</t>
        </is>
      </c>
    </row>
    <row r="764" ht="15" customFormat="1" customHeight="1" s="36">
      <c r="A764" s="4" t="inlineStr">
        <is>
          <t>tacuet-US</t>
        </is>
      </c>
      <c r="B764" s="4" t="inlineStr">
        <is>
          <t>Taucet美国站</t>
        </is>
      </c>
      <c r="C764" s="4">
        <f>B764&amp;D764</f>
        <v/>
      </c>
      <c r="D764" s="4" t="inlineStr">
        <is>
          <t>TT-9704BG01</t>
        </is>
      </c>
      <c r="E764" s="4" t="inlineStr">
        <is>
          <t>140F0097BG1</t>
        </is>
      </c>
      <c r="F764" s="4" t="inlineStr">
        <is>
          <t>97系列分体面盆龙头拉丝钛金封油</t>
        </is>
      </c>
      <c r="G764" s="4" t="inlineStr">
        <is>
          <t>童劲威</t>
        </is>
      </c>
      <c r="H764" s="4" t="inlineStr">
        <is>
          <t>面盆</t>
        </is>
      </c>
      <c r="I764" s="12" t="inlineStr">
        <is>
          <t>是</t>
        </is>
      </c>
      <c r="J764" s="34" t="n">
        <v>45149</v>
      </c>
      <c r="K764" s="34" t="n">
        <v>45149</v>
      </c>
      <c r="L764" s="0">
        <f>DATEDIF(J764,$L$1,"M")</f>
        <v/>
      </c>
      <c r="M764" s="0">
        <f>IF(L764&lt;18,"新品期",IF(L764&lt;=36,"老品期","衰退期"))</f>
        <v/>
      </c>
      <c r="N764" s="36" t="inlineStr">
        <is>
          <t>清完不卖</t>
        </is>
      </c>
    </row>
    <row r="765" ht="15" customFormat="1" customHeight="1" s="36">
      <c r="A765" s="4" t="inlineStr">
        <is>
          <t>tacuet-US</t>
        </is>
      </c>
      <c r="B765" s="4" t="inlineStr">
        <is>
          <t>Taucet美国站</t>
        </is>
      </c>
      <c r="C765" s="4">
        <f>B765&amp;D765</f>
        <v/>
      </c>
      <c r="D765" s="4" t="inlineStr">
        <is>
          <t>TT-9704BK01</t>
        </is>
      </c>
      <c r="E765" s="4" t="inlineStr">
        <is>
          <t>140F0097BK1</t>
        </is>
      </c>
      <c r="F765" s="4" t="inlineStr">
        <is>
          <t>97系列分体面盆龙头电泳黑</t>
        </is>
      </c>
      <c r="G765" s="4" t="inlineStr">
        <is>
          <t>童劲威</t>
        </is>
      </c>
      <c r="H765" s="4" t="inlineStr">
        <is>
          <t>面盆</t>
        </is>
      </c>
      <c r="I765" s="12" t="inlineStr">
        <is>
          <t>是</t>
        </is>
      </c>
      <c r="J765" s="34" t="n">
        <v>45149</v>
      </c>
      <c r="K765" s="34" t="n">
        <v>45149</v>
      </c>
      <c r="L765" s="0">
        <f>DATEDIF(J765,$L$1,"M")</f>
        <v/>
      </c>
      <c r="M765" s="0">
        <f>IF(L765&lt;18,"新品期",IF(L765&lt;=36,"老品期","衰退期"))</f>
        <v/>
      </c>
      <c r="N765" s="36" t="inlineStr">
        <is>
          <t>清完不卖</t>
        </is>
      </c>
    </row>
    <row r="766" ht="15" customFormat="1" customHeight="1" s="36">
      <c r="A766" s="4" t="inlineStr">
        <is>
          <t>tacuet-US</t>
        </is>
      </c>
      <c r="B766" s="4" t="inlineStr">
        <is>
          <t>Taucet美国站</t>
        </is>
      </c>
      <c r="C766" s="4">
        <f>B766&amp;D766</f>
        <v/>
      </c>
      <c r="D766" s="4" t="inlineStr">
        <is>
          <t>TT-9704BK02-zz</t>
        </is>
      </c>
      <c r="E766" s="4" t="inlineStr">
        <is>
          <t>140F0097BK1</t>
        </is>
      </c>
      <c r="F766" s="4" t="inlineStr">
        <is>
          <t>97系列分体面盆龙头电泳黑</t>
        </is>
      </c>
      <c r="G766" s="4" t="inlineStr">
        <is>
          <t>童劲威</t>
        </is>
      </c>
      <c r="H766" s="4" t="inlineStr">
        <is>
          <t>面盆</t>
        </is>
      </c>
      <c r="I766" s="12" t="inlineStr">
        <is>
          <t>是</t>
        </is>
      </c>
      <c r="J766" s="34" t="n">
        <v>45149</v>
      </c>
      <c r="K766" s="34" t="n">
        <v>45149</v>
      </c>
      <c r="L766" s="0">
        <f>DATEDIF(J766,$L$1,"M")</f>
        <v/>
      </c>
      <c r="M766" s="0">
        <f>IF(L766&lt;18,"新品期",IF(L766&lt;=36,"老品期","衰退期"))</f>
        <v/>
      </c>
      <c r="N766" s="36" t="inlineStr">
        <is>
          <t>清完不卖</t>
        </is>
      </c>
    </row>
    <row r="767" ht="15" customFormat="1" customHeight="1" s="36">
      <c r="A767" s="4" t="inlineStr">
        <is>
          <t>tacuet-US</t>
        </is>
      </c>
      <c r="B767" s="4" t="inlineStr">
        <is>
          <t>Taucet美国站</t>
        </is>
      </c>
      <c r="C767" s="4">
        <f>B767&amp;D767</f>
        <v/>
      </c>
      <c r="D767" s="4" t="inlineStr">
        <is>
          <t>TT-9704BN</t>
        </is>
      </c>
      <c r="E767" s="4" t="inlineStr">
        <is>
          <t>140F0097BN1</t>
        </is>
      </c>
      <c r="F767" s="4" t="inlineStr">
        <is>
          <t>97系列分体面盆龙头拉丝封油</t>
        </is>
      </c>
      <c r="G767" s="4" t="inlineStr">
        <is>
          <t>童劲威</t>
        </is>
      </c>
      <c r="H767" s="4" t="inlineStr">
        <is>
          <t>面盆</t>
        </is>
      </c>
      <c r="I767" s="12" t="inlineStr">
        <is>
          <t>是</t>
        </is>
      </c>
      <c r="J767" s="34" t="n">
        <v>45149</v>
      </c>
      <c r="K767" s="34" t="n">
        <v>45149</v>
      </c>
      <c r="L767" s="0">
        <f>DATEDIF(J767,$L$1,"M")</f>
        <v/>
      </c>
      <c r="M767" s="0">
        <f>IF(L767&lt;18,"新品期",IF(L767&lt;=36,"老品期","衰退期"))</f>
        <v/>
      </c>
      <c r="N767" s="36" t="inlineStr">
        <is>
          <t>清完不卖</t>
        </is>
      </c>
    </row>
    <row r="768" ht="15" customFormat="1" customHeight="1" s="36">
      <c r="A768" s="4" t="inlineStr">
        <is>
          <t>tacuet-US</t>
        </is>
      </c>
      <c r="B768" s="4" t="inlineStr">
        <is>
          <t>Taucet美国站</t>
        </is>
      </c>
      <c r="C768" s="4">
        <f>B768&amp;D768</f>
        <v/>
      </c>
      <c r="D768" s="4" t="inlineStr">
        <is>
          <t>TT-9704CP</t>
        </is>
      </c>
      <c r="E768" s="4" t="inlineStr">
        <is>
          <t>140F0097CP1</t>
        </is>
      </c>
      <c r="F768" s="4" t="inlineStr">
        <is>
          <t>97系列分体面盆龙头铬</t>
        </is>
      </c>
      <c r="G768" s="4" t="inlineStr">
        <is>
          <t>童劲威</t>
        </is>
      </c>
      <c r="H768" s="4" t="inlineStr">
        <is>
          <t>面盆</t>
        </is>
      </c>
      <c r="I768" s="12" t="inlineStr">
        <is>
          <t>是</t>
        </is>
      </c>
      <c r="J768" s="34" t="n">
        <v>45149</v>
      </c>
      <c r="K768" s="34" t="n">
        <v>45149</v>
      </c>
      <c r="L768" s="0">
        <f>DATEDIF(J768,$L$1,"M")</f>
        <v/>
      </c>
      <c r="M768" s="0">
        <f>IF(L768&lt;18,"新品期",IF(L768&lt;=36,"老品期","衰退期"))</f>
        <v/>
      </c>
      <c r="N768" s="36" t="inlineStr">
        <is>
          <t>清完不卖</t>
        </is>
      </c>
    </row>
    <row r="769" ht="15" customFormat="1" customHeight="1" s="36">
      <c r="A769" s="4" t="inlineStr">
        <is>
          <t>tacuet-US</t>
        </is>
      </c>
      <c r="B769" s="4" t="inlineStr">
        <is>
          <t>Taucet美国站</t>
        </is>
      </c>
      <c r="C769" s="4">
        <f>B769&amp;D769</f>
        <v/>
      </c>
      <c r="D769" s="4" t="inlineStr">
        <is>
          <t>TT-9704ORB</t>
        </is>
      </c>
      <c r="E769" s="4" t="inlineStr">
        <is>
          <t>140F0097OB1</t>
        </is>
      </c>
      <c r="F769" s="4" t="inlineStr">
        <is>
          <t>97系列分体面盆龙头 拉丝古铜色</t>
        </is>
      </c>
      <c r="G769" s="4" t="inlineStr">
        <is>
          <t>童劲威</t>
        </is>
      </c>
      <c r="H769" s="4" t="inlineStr">
        <is>
          <t>面盆</t>
        </is>
      </c>
      <c r="I769" s="12" t="inlineStr">
        <is>
          <t>是</t>
        </is>
      </c>
      <c r="J769" s="34" t="n">
        <v>45149</v>
      </c>
      <c r="K769" s="34" t="n">
        <v>45149</v>
      </c>
      <c r="L769" s="0">
        <f>DATEDIF(J769,$L$1,"M")</f>
        <v/>
      </c>
      <c r="M769" s="0">
        <f>IF(L769&lt;18,"新品期",IF(L769&lt;=36,"老品期","衰退期"))</f>
        <v/>
      </c>
      <c r="N769" s="36" t="inlineStr">
        <is>
          <t>清完不卖</t>
        </is>
      </c>
    </row>
    <row r="770" ht="15" customFormat="1" customHeight="1" s="36">
      <c r="A770" s="4" t="inlineStr">
        <is>
          <t>tacuet-US</t>
        </is>
      </c>
      <c r="B770" s="4" t="inlineStr">
        <is>
          <t>Taucet美国站</t>
        </is>
      </c>
      <c r="C770" s="4">
        <f>B770&amp;D770</f>
        <v/>
      </c>
      <c r="D770" s="4" t="inlineStr">
        <is>
          <t>TT-9704RGBK</t>
        </is>
      </c>
      <c r="E770" s="4" t="inlineStr">
        <is>
          <t>140F0097RB1</t>
        </is>
      </c>
      <c r="F770" s="4" t="inlineStr">
        <is>
          <t>97系列分体面盆龙头拉丝玫瑰金+黑色</t>
        </is>
      </c>
      <c r="G770" s="4" t="inlineStr">
        <is>
          <t>童劲威</t>
        </is>
      </c>
      <c r="H770" s="4" t="inlineStr">
        <is>
          <t>面盆</t>
        </is>
      </c>
      <c r="I770" s="12" t="inlineStr">
        <is>
          <t>是</t>
        </is>
      </c>
      <c r="J770" s="34" t="n">
        <v>45149</v>
      </c>
      <c r="K770" s="34" t="n">
        <v>45149</v>
      </c>
      <c r="L770" s="0">
        <f>DATEDIF(J770,$L$1,"M")</f>
        <v/>
      </c>
      <c r="M770" s="0">
        <f>IF(L770&lt;18,"新品期",IF(L770&lt;=36,"老品期","衰退期"))</f>
        <v/>
      </c>
      <c r="N770" s="36" t="inlineStr">
        <is>
          <t>清完不卖</t>
        </is>
      </c>
    </row>
    <row r="771" ht="15" customFormat="1" customHeight="1" s="36">
      <c r="A771" s="4" t="inlineStr">
        <is>
          <t>tacuet-MX</t>
        </is>
      </c>
      <c r="B771" s="4" t="inlineStr">
        <is>
          <t>Taucet墨西哥站</t>
        </is>
      </c>
      <c r="C771" s="4">
        <f>B771&amp;D771</f>
        <v/>
      </c>
      <c r="D771" s="4" t="inlineStr">
        <is>
          <t>TT-9701BK03-ZZ</t>
        </is>
      </c>
      <c r="E771" s="4" t="inlineStr">
        <is>
          <t>110F0097BK1</t>
        </is>
      </c>
      <c r="F771" s="4" t="inlineStr">
        <is>
          <t>97系列矮身单孔正开面盆龙头电泳黑</t>
        </is>
      </c>
      <c r="G771" s="4" t="inlineStr">
        <is>
          <t>童劲威</t>
        </is>
      </c>
      <c r="H771" s="4" t="inlineStr">
        <is>
          <t>面盆</t>
        </is>
      </c>
      <c r="I771" s="12" t="inlineStr">
        <is>
          <t>是</t>
        </is>
      </c>
      <c r="J771" s="34" t="n">
        <v>45149</v>
      </c>
      <c r="K771" s="34" t="n">
        <v>45149</v>
      </c>
      <c r="L771" s="0">
        <f>DATEDIF(J771,$L$1,"M")</f>
        <v/>
      </c>
      <c r="M771" s="0">
        <f>IF(L771&lt;18,"新品期",IF(L771&lt;=36,"老品期","衰退期"))</f>
        <v/>
      </c>
      <c r="N771" s="36" t="inlineStr">
        <is>
          <t>清完不卖</t>
        </is>
      </c>
    </row>
    <row r="772" ht="15" customFormat="1" customHeight="1" s="36">
      <c r="A772" s="4" t="inlineStr">
        <is>
          <t>tacuet-MX</t>
        </is>
      </c>
      <c r="B772" s="4" t="inlineStr">
        <is>
          <t>Taucet墨西哥站</t>
        </is>
      </c>
      <c r="C772" s="4">
        <f>B772&amp;D772</f>
        <v/>
      </c>
      <c r="D772" s="4" t="inlineStr">
        <is>
          <t>TT-9701BN</t>
        </is>
      </c>
      <c r="E772" s="4" t="inlineStr">
        <is>
          <t>110F0097BN1</t>
        </is>
      </c>
      <c r="F772" s="4" t="inlineStr">
        <is>
          <t>97系列矮身单孔正开面盆龙头拉丝封油</t>
        </is>
      </c>
      <c r="G772" s="4" t="inlineStr">
        <is>
          <t>童劲威</t>
        </is>
      </c>
      <c r="H772" s="4" t="inlineStr">
        <is>
          <t>面盆</t>
        </is>
      </c>
      <c r="I772" s="12" t="inlineStr">
        <is>
          <t>是</t>
        </is>
      </c>
      <c r="J772" s="34" t="n">
        <v>45149</v>
      </c>
      <c r="K772" s="34" t="n">
        <v>45149</v>
      </c>
      <c r="L772" s="0">
        <f>DATEDIF(J772,$L$1,"M")</f>
        <v/>
      </c>
      <c r="M772" s="0">
        <f>IF(L772&lt;18,"新品期",IF(L772&lt;=36,"老品期","衰退期"))</f>
        <v/>
      </c>
      <c r="N772" s="36" t="inlineStr">
        <is>
          <t>清完不卖</t>
        </is>
      </c>
    </row>
    <row r="773" ht="15" customFormat="1" customHeight="1" s="36">
      <c r="A773" s="4" t="inlineStr">
        <is>
          <t>tacuet-MX</t>
        </is>
      </c>
      <c r="B773" s="4" t="inlineStr">
        <is>
          <t>Taucet墨西哥站</t>
        </is>
      </c>
      <c r="C773" s="4">
        <f>B773&amp;D773</f>
        <v/>
      </c>
      <c r="D773" s="4" t="inlineStr">
        <is>
          <t>TT-9701RGBK01</t>
        </is>
      </c>
      <c r="E773" s="4" t="inlineStr">
        <is>
          <t>110F0097RB1</t>
        </is>
      </c>
      <c r="F773" s="4" t="inlineStr">
        <is>
          <t>97系列矮身单孔正开面盆龙头拉丝玫瑰金+黑色</t>
        </is>
      </c>
      <c r="G773" s="4" t="inlineStr">
        <is>
          <t>童劲威</t>
        </is>
      </c>
      <c r="H773" s="4" t="inlineStr">
        <is>
          <t>面盆</t>
        </is>
      </c>
      <c r="I773" s="12" t="inlineStr">
        <is>
          <t>是</t>
        </is>
      </c>
      <c r="J773" s="34" t="n">
        <v>45149</v>
      </c>
      <c r="K773" s="34" t="n">
        <v>45149</v>
      </c>
      <c r="L773" s="0">
        <f>DATEDIF(J773,$L$1,"M")</f>
        <v/>
      </c>
      <c r="M773" s="0">
        <f>IF(L773&lt;18,"新品期",IF(L773&lt;=36,"老品期","衰退期"))</f>
        <v/>
      </c>
      <c r="N773" s="36" t="inlineStr">
        <is>
          <t>清完不卖</t>
        </is>
      </c>
    </row>
    <row r="774" ht="15" customFormat="1" customHeight="1" s="36">
      <c r="A774" s="4" t="inlineStr">
        <is>
          <t>tacuet-MX</t>
        </is>
      </c>
      <c r="B774" s="4" t="inlineStr">
        <is>
          <t>Taucet墨西哥站</t>
        </is>
      </c>
      <c r="C774" s="4">
        <f>B774&amp;D774</f>
        <v/>
      </c>
      <c r="D774" s="4" t="inlineStr">
        <is>
          <t>TT-9704RGBK</t>
        </is>
      </c>
      <c r="E774" s="4" t="inlineStr">
        <is>
          <t>140F0097RB1</t>
        </is>
      </c>
      <c r="F774" s="4" t="inlineStr">
        <is>
          <t>97系列分体面盆龙头拉丝玫瑰金+黑色</t>
        </is>
      </c>
      <c r="G774" s="4" t="inlineStr">
        <is>
          <t>童劲威</t>
        </is>
      </c>
      <c r="H774" s="4" t="inlineStr">
        <is>
          <t>面盆</t>
        </is>
      </c>
      <c r="I774" s="12" t="inlineStr">
        <is>
          <t>是</t>
        </is>
      </c>
      <c r="J774" s="34" t="n">
        <v>45149</v>
      </c>
      <c r="K774" s="34" t="n">
        <v>45149</v>
      </c>
      <c r="L774" s="0">
        <f>DATEDIF(J774,$L$1,"M")</f>
        <v/>
      </c>
      <c r="M774" s="0">
        <f>IF(L774&lt;18,"新品期",IF(L774&lt;=36,"老品期","衰退期"))</f>
        <v/>
      </c>
      <c r="N774" s="36" t="inlineStr">
        <is>
          <t>清完不卖</t>
        </is>
      </c>
    </row>
    <row r="775" ht="15" customFormat="1" customHeight="1" s="36">
      <c r="A775" s="4" t="inlineStr">
        <is>
          <t>WINKEAR-US</t>
        </is>
      </c>
      <c r="B775" s="4" t="inlineStr">
        <is>
          <t>Winkear美国站</t>
        </is>
      </c>
      <c r="C775" s="4">
        <f>B775&amp;D775</f>
        <v/>
      </c>
      <c r="D775" s="4" t="inlineStr">
        <is>
          <t>Amazon.Found.B0B6Q3CD5R</t>
        </is>
      </c>
      <c r="E775" s="4" t="inlineStr">
        <is>
          <t>140F0022BG1</t>
        </is>
      </c>
      <c r="F775" s="4" t="inlineStr">
        <is>
          <t>22系列四寸分体面盆龙头拉丝钛金封油</t>
        </is>
      </c>
      <c r="G775" s="4" t="inlineStr">
        <is>
          <t>童劲威</t>
        </is>
      </c>
      <c r="H775" s="4" t="inlineStr">
        <is>
          <t>面盆</t>
        </is>
      </c>
      <c r="I775" s="12" t="inlineStr">
        <is>
          <t>否</t>
        </is>
      </c>
      <c r="J775" s="34" t="n">
        <v>44757</v>
      </c>
      <c r="K775" s="34" t="n">
        <v>44757</v>
      </c>
      <c r="L775" s="0">
        <f>DATEDIF(J775,$L$1,"M")</f>
        <v/>
      </c>
      <c r="M775" s="0">
        <f>IF(L775&lt;18,"新品期",IF(L775&lt;=36,"老品期","衰退期"))</f>
        <v/>
      </c>
    </row>
    <row r="776" ht="15" customFormat="1" customHeight="1" s="36">
      <c r="A776" s="4" t="inlineStr">
        <is>
          <t>WINKEAR-US</t>
        </is>
      </c>
      <c r="B776" s="4" t="inlineStr">
        <is>
          <t>Winkear美国站</t>
        </is>
      </c>
      <c r="C776" s="4">
        <f>B776&amp;D776</f>
        <v/>
      </c>
      <c r="D776" s="4" t="inlineStr">
        <is>
          <t>L0001-BG</t>
        </is>
      </c>
      <c r="E776" s="4" t="inlineStr">
        <is>
          <t>110F0001BG3</t>
        </is>
      </c>
      <c r="F776" s="4" t="inlineStr">
        <is>
          <t>0001不锈钢面盆龙头拉丝锆金封油</t>
        </is>
      </c>
      <c r="G776" s="4" t="inlineStr">
        <is>
          <t>童劲威</t>
        </is>
      </c>
      <c r="H776" s="4" t="inlineStr">
        <is>
          <t>面盆</t>
        </is>
      </c>
      <c r="I776" s="12" t="inlineStr">
        <is>
          <t>否</t>
        </is>
      </c>
      <c r="J776" s="34" t="n">
        <v>45696</v>
      </c>
      <c r="K776" s="34" t="n">
        <v>45696</v>
      </c>
      <c r="L776" s="0">
        <f>DATEDIF(J776,$L$1,"M")</f>
        <v/>
      </c>
      <c r="M776" s="0">
        <f>IF(L776&lt;18,"新品期",IF(L776&lt;=36,"老品期","衰退期"))</f>
        <v/>
      </c>
    </row>
    <row r="777" ht="15" customFormat="1" customHeight="1" s="36">
      <c r="A777" s="4" t="inlineStr">
        <is>
          <t>WINKEAR-US</t>
        </is>
      </c>
      <c r="B777" s="4" t="inlineStr">
        <is>
          <t>Winkear美国站</t>
        </is>
      </c>
      <c r="C777" s="4">
        <f>B777&amp;D777</f>
        <v/>
      </c>
      <c r="D777" s="4" t="inlineStr">
        <is>
          <t>L0001-BK</t>
        </is>
      </c>
      <c r="E777" s="4" t="inlineStr">
        <is>
          <t>110F0001BK1</t>
        </is>
      </c>
      <c r="F777" s="4" t="inlineStr">
        <is>
          <t>0001不锈钢面盆龙头电泳黑</t>
        </is>
      </c>
      <c r="G777" s="4" t="inlineStr">
        <is>
          <t>童劲威</t>
        </is>
      </c>
      <c r="H777" s="4" t="inlineStr">
        <is>
          <t>面盆</t>
        </is>
      </c>
      <c r="I777" s="12" t="inlineStr">
        <is>
          <t>否</t>
        </is>
      </c>
      <c r="J777" s="34" t="n">
        <v>45696</v>
      </c>
      <c r="K777" s="34" t="n">
        <v>45696</v>
      </c>
      <c r="L777" s="0">
        <f>DATEDIF(J777,$L$1,"M")</f>
        <v/>
      </c>
      <c r="M777" s="0">
        <f>IF(L777&lt;18,"新品期",IF(L777&lt;=36,"老品期","衰退期"))</f>
        <v/>
      </c>
    </row>
    <row r="778" ht="15" customFormat="1" customHeight="1" s="36">
      <c r="A778" s="4" t="inlineStr">
        <is>
          <t>WINKEAR-US</t>
        </is>
      </c>
      <c r="B778" s="4" t="inlineStr">
        <is>
          <t>Winkear美国站</t>
        </is>
      </c>
      <c r="C778" s="4">
        <f>B778&amp;D778</f>
        <v/>
      </c>
      <c r="D778" s="4" t="inlineStr">
        <is>
          <t>L0001-BKZZ01</t>
        </is>
      </c>
      <c r="E778" s="4" t="inlineStr">
        <is>
          <t>110F0001BK1</t>
        </is>
      </c>
      <c r="F778" s="4" t="inlineStr">
        <is>
          <t>0001不锈钢面盆龙头电泳黑</t>
        </is>
      </c>
      <c r="G778" s="4" t="inlineStr">
        <is>
          <t>童劲威</t>
        </is>
      </c>
      <c r="H778" s="4" t="inlineStr">
        <is>
          <t>面盆</t>
        </is>
      </c>
      <c r="I778" s="12" t="inlineStr">
        <is>
          <t>否</t>
        </is>
      </c>
      <c r="J778" s="34" t="n">
        <v>45696</v>
      </c>
      <c r="K778" s="34" t="n">
        <v>45696</v>
      </c>
      <c r="L778" s="0">
        <f>DATEDIF(J778,$L$1,"M")</f>
        <v/>
      </c>
      <c r="M778" s="0">
        <f>IF(L778&lt;18,"新品期",IF(L778&lt;=36,"老品期","衰退期"))</f>
        <v/>
      </c>
    </row>
    <row r="779" ht="15" customFormat="1" customHeight="1" s="36">
      <c r="A779" s="4" t="inlineStr">
        <is>
          <t>WINKEAR-US</t>
        </is>
      </c>
      <c r="B779" s="4" t="inlineStr">
        <is>
          <t>Winkear美国站</t>
        </is>
      </c>
      <c r="C779" s="4">
        <f>B779&amp;D779</f>
        <v/>
      </c>
      <c r="D779" s="4" t="inlineStr">
        <is>
          <t>L0001-BKZZ02</t>
        </is>
      </c>
      <c r="E779" s="4" t="inlineStr">
        <is>
          <t>110F0001BK1</t>
        </is>
      </c>
      <c r="F779" s="4" t="inlineStr">
        <is>
          <t>0001不锈钢面盆龙头电泳黑</t>
        </is>
      </c>
      <c r="G779" s="4" t="inlineStr">
        <is>
          <t>童劲威</t>
        </is>
      </c>
      <c r="H779" s="4" t="inlineStr">
        <is>
          <t>面盆</t>
        </is>
      </c>
      <c r="I779" s="12" t="inlineStr">
        <is>
          <t>否</t>
        </is>
      </c>
      <c r="J779" s="34" t="n">
        <v>45696</v>
      </c>
      <c r="K779" s="34" t="n">
        <v>45696</v>
      </c>
      <c r="L779" s="0">
        <f>DATEDIF(J779,$L$1,"M")</f>
        <v/>
      </c>
      <c r="M779" s="0">
        <f>IF(L779&lt;18,"新品期",IF(L779&lt;=36,"老品期","衰退期"))</f>
        <v/>
      </c>
    </row>
    <row r="780" ht="15" customFormat="1" customHeight="1" s="36">
      <c r="A780" s="4" t="inlineStr">
        <is>
          <t>WINKEAR-US</t>
        </is>
      </c>
      <c r="B780" s="4" t="inlineStr">
        <is>
          <t>Winkear美国站</t>
        </is>
      </c>
      <c r="C780" s="4">
        <f>B780&amp;D780</f>
        <v/>
      </c>
      <c r="D780" s="4" t="inlineStr">
        <is>
          <t>L0001-BKZZ03</t>
        </is>
      </c>
      <c r="E780" s="4" t="inlineStr">
        <is>
          <t>110F0001BK1</t>
        </is>
      </c>
      <c r="F780" s="4" t="inlineStr">
        <is>
          <t>0001不锈钢面盆龙头电泳黑</t>
        </is>
      </c>
      <c r="G780" s="4" t="inlineStr">
        <is>
          <t>童劲威</t>
        </is>
      </c>
      <c r="H780" s="4" t="inlineStr">
        <is>
          <t>面盆</t>
        </is>
      </c>
      <c r="I780" s="12" t="inlineStr">
        <is>
          <t>否</t>
        </is>
      </c>
      <c r="J780" s="34" t="n">
        <v>45696</v>
      </c>
      <c r="K780" s="34" t="n">
        <v>45696</v>
      </c>
      <c r="L780" s="0">
        <f>DATEDIF(J780,$L$1,"M")</f>
        <v/>
      </c>
      <c r="M780" s="0">
        <f>IF(L780&lt;18,"新品期",IF(L780&lt;=36,"老品期","衰退期"))</f>
        <v/>
      </c>
    </row>
    <row r="781" ht="15" customFormat="1" customHeight="1" s="36">
      <c r="A781" s="4" t="inlineStr">
        <is>
          <t>WINKEAR-US</t>
        </is>
      </c>
      <c r="B781" s="4" t="inlineStr">
        <is>
          <t>Winkear美国站</t>
        </is>
      </c>
      <c r="C781" s="4">
        <f>B781&amp;D781</f>
        <v/>
      </c>
      <c r="D781" s="4" t="inlineStr">
        <is>
          <t>L0001-BKZZ04</t>
        </is>
      </c>
      <c r="E781" s="4" t="inlineStr">
        <is>
          <t>110F0001BK1</t>
        </is>
      </c>
      <c r="F781" s="4" t="inlineStr">
        <is>
          <t>0001不锈钢面盆龙头电泳黑</t>
        </is>
      </c>
      <c r="G781" s="4" t="inlineStr">
        <is>
          <t>童劲威</t>
        </is>
      </c>
      <c r="H781" s="4" t="inlineStr">
        <is>
          <t>面盆</t>
        </is>
      </c>
      <c r="I781" s="12" t="inlineStr">
        <is>
          <t>否</t>
        </is>
      </c>
      <c r="J781" s="34" t="n">
        <v>45696</v>
      </c>
      <c r="K781" s="34" t="n">
        <v>45696</v>
      </c>
      <c r="L781" s="0">
        <f>DATEDIF(J781,$L$1,"M")</f>
        <v/>
      </c>
      <c r="M781" s="0">
        <f>IF(L781&lt;18,"新品期",IF(L781&lt;=36,"老品期","衰退期"))</f>
        <v/>
      </c>
    </row>
    <row r="782" ht="15" customFormat="1" customHeight="1" s="36">
      <c r="A782" s="4" t="inlineStr">
        <is>
          <t>WINKEAR-US</t>
        </is>
      </c>
      <c r="B782" s="4" t="inlineStr">
        <is>
          <t>Winkear美国站</t>
        </is>
      </c>
      <c r="C782" s="4">
        <f>B782&amp;D782</f>
        <v/>
      </c>
      <c r="D782" s="4" t="inlineStr">
        <is>
          <t>L0001-BKZZ05</t>
        </is>
      </c>
      <c r="E782" s="4" t="inlineStr">
        <is>
          <t>110F0001BK1</t>
        </is>
      </c>
      <c r="F782" s="4" t="inlineStr">
        <is>
          <t>0001不锈钢面盆龙头电泳黑</t>
        </is>
      </c>
      <c r="G782" s="4" t="inlineStr">
        <is>
          <t>童劲威</t>
        </is>
      </c>
      <c r="H782" s="4" t="inlineStr">
        <is>
          <t>面盆</t>
        </is>
      </c>
      <c r="I782" s="12" t="inlineStr">
        <is>
          <t>否</t>
        </is>
      </c>
      <c r="J782" s="34" t="n">
        <v>45696</v>
      </c>
      <c r="K782" s="34" t="n">
        <v>45696</v>
      </c>
      <c r="L782" s="0">
        <f>DATEDIF(J782,$L$1,"M")</f>
        <v/>
      </c>
      <c r="M782" s="0">
        <f>IF(L782&lt;18,"新品期",IF(L782&lt;=36,"老品期","衰退期"))</f>
        <v/>
      </c>
    </row>
    <row r="783" ht="15" customFormat="1" customHeight="1" s="36">
      <c r="A783" s="4" t="inlineStr">
        <is>
          <t>WINKEAR-US</t>
        </is>
      </c>
      <c r="B783" s="4" t="inlineStr">
        <is>
          <t>Winkear美国站</t>
        </is>
      </c>
      <c r="C783" s="4">
        <f>B783&amp;D783</f>
        <v/>
      </c>
      <c r="D783" s="4" t="inlineStr">
        <is>
          <t>L0001-BN</t>
        </is>
      </c>
      <c r="E783" s="4" t="inlineStr">
        <is>
          <t>110F0001BN5</t>
        </is>
      </c>
      <c r="F783" s="4" t="inlineStr">
        <is>
          <t>0001不锈钢面盆龙头拉丝封油</t>
        </is>
      </c>
      <c r="G783" s="4" t="inlineStr">
        <is>
          <t>童劲威</t>
        </is>
      </c>
      <c r="H783" s="4" t="inlineStr">
        <is>
          <t>面盆</t>
        </is>
      </c>
      <c r="I783" s="12" t="inlineStr">
        <is>
          <t>否</t>
        </is>
      </c>
      <c r="J783" s="34" t="n">
        <v>45696</v>
      </c>
      <c r="K783" s="34" t="n">
        <v>45696</v>
      </c>
      <c r="L783" s="0">
        <f>DATEDIF(J783,$L$1,"M")</f>
        <v/>
      </c>
      <c r="M783" s="0">
        <f>IF(L783&lt;18,"新品期",IF(L783&lt;=36,"老品期","衰退期"))</f>
        <v/>
      </c>
    </row>
    <row r="784" ht="15" customFormat="1" customHeight="1" s="36">
      <c r="A784" s="4" t="inlineStr">
        <is>
          <t>WINKEAR-US</t>
        </is>
      </c>
      <c r="B784" s="4" t="inlineStr">
        <is>
          <t>Winkear美国站</t>
        </is>
      </c>
      <c r="C784" s="4">
        <f>B784&amp;D784</f>
        <v/>
      </c>
      <c r="D784" s="4" t="inlineStr">
        <is>
          <t>L2201-BG</t>
        </is>
      </c>
      <c r="E784" s="4" t="inlineStr">
        <is>
          <t>110F0022BG1</t>
        </is>
      </c>
      <c r="F784" s="4" t="inlineStr">
        <is>
          <t>22系列矮身单孔正开面盆龙头拉丝钛金封油</t>
        </is>
      </c>
      <c r="G784" s="4" t="inlineStr">
        <is>
          <t>童劲威</t>
        </is>
      </c>
      <c r="H784" s="4" t="inlineStr">
        <is>
          <t>面盆</t>
        </is>
      </c>
      <c r="I784" s="12" t="inlineStr">
        <is>
          <t>否</t>
        </is>
      </c>
      <c r="J784" s="34" t="n">
        <v>44712</v>
      </c>
      <c r="K784" s="34" t="n">
        <v>44712</v>
      </c>
      <c r="L784" s="0">
        <f>DATEDIF(J784,$L$1,"M")</f>
        <v/>
      </c>
      <c r="M784" s="0">
        <f>IF(L784&lt;18,"新品期",IF(L784&lt;=36,"老品期","衰退期"))</f>
        <v/>
      </c>
    </row>
    <row r="785" ht="15" customFormat="1" customHeight="1" s="36">
      <c r="A785" s="4" t="inlineStr">
        <is>
          <t>soebiz-US</t>
        </is>
      </c>
      <c r="B785" s="4" t="inlineStr">
        <is>
          <t>Soebiz美国站</t>
        </is>
      </c>
      <c r="C785" s="4">
        <f>B785&amp;D785</f>
        <v/>
      </c>
      <c r="D785" s="4" t="inlineStr">
        <is>
          <t>SZ-B9906BK</t>
        </is>
      </c>
      <c r="E785" s="4" t="inlineStr">
        <is>
          <t>230F0099BK1</t>
        </is>
      </c>
      <c r="F785" s="4" t="inlineStr">
        <is>
          <t>99系列单功能入墙浴缸龙头电泳黑</t>
        </is>
      </c>
      <c r="G785" s="4" t="inlineStr">
        <is>
          <t>陈巧娴</t>
        </is>
      </c>
      <c r="H785" s="4" t="inlineStr">
        <is>
          <t>缸边浴缸</t>
        </is>
      </c>
      <c r="I785" s="12" t="inlineStr">
        <is>
          <t>是</t>
        </is>
      </c>
      <c r="J785" s="34" t="n">
        <v>45514</v>
      </c>
      <c r="K785" s="34" t="n">
        <v>45514</v>
      </c>
      <c r="L785" s="0">
        <f>DATEDIF(J785,$L$1,"M")</f>
        <v/>
      </c>
      <c r="M785" s="0">
        <f>IF(L785&lt;18,"新品期",IF(L785&lt;=36,"老品期","衰退期"))</f>
        <v/>
      </c>
      <c r="N785" s="15" t="inlineStr">
        <is>
          <t>25年5月前胡娟娟负责</t>
        </is>
      </c>
    </row>
    <row r="786" ht="15" customFormat="1" customHeight="1" s="36">
      <c r="A786" s="4" t="inlineStr">
        <is>
          <t>soebiz-US</t>
        </is>
      </c>
      <c r="B786" s="4" t="inlineStr">
        <is>
          <t>Soebiz美国站</t>
        </is>
      </c>
      <c r="C786" s="4">
        <f>B786&amp;D786</f>
        <v/>
      </c>
      <c r="D786" s="4" t="inlineStr">
        <is>
          <t>SZ-B9906BN</t>
        </is>
      </c>
      <c r="E786" s="4" t="inlineStr">
        <is>
          <t>230F0099BN1</t>
        </is>
      </c>
      <c r="F786" s="4" t="inlineStr">
        <is>
          <t>99系列单功能入墙浴缸龙头拉丝封油</t>
        </is>
      </c>
      <c r="G786" s="4" t="inlineStr">
        <is>
          <t>陈巧娴</t>
        </is>
      </c>
      <c r="H786" s="4" t="inlineStr">
        <is>
          <t>缸边浴缸</t>
        </is>
      </c>
      <c r="I786" s="12" t="inlineStr">
        <is>
          <t>是</t>
        </is>
      </c>
      <c r="J786" s="34" t="n">
        <v>45514</v>
      </c>
      <c r="K786" s="34" t="n">
        <v>45514</v>
      </c>
      <c r="L786" s="0">
        <f>DATEDIF(J786,$L$1,"M")</f>
        <v/>
      </c>
      <c r="M786" s="0">
        <f>IF(L786&lt;18,"新品期",IF(L786&lt;=36,"老品期","衰退期"))</f>
        <v/>
      </c>
      <c r="N786" s="15" t="inlineStr">
        <is>
          <t>25年5月前胡娟娟负责</t>
        </is>
      </c>
    </row>
    <row r="787" ht="15" customFormat="1" customHeight="1" s="36">
      <c r="A787" s="4" t="inlineStr">
        <is>
          <t>soebiz-US</t>
        </is>
      </c>
      <c r="B787" s="4" t="inlineStr">
        <is>
          <t>Soebiz美国站</t>
        </is>
      </c>
      <c r="C787" s="4">
        <f>B787&amp;D787</f>
        <v/>
      </c>
      <c r="D787" s="4" t="inlineStr">
        <is>
          <t>SZ-B9906ORB</t>
        </is>
      </c>
      <c r="E787" s="4" t="inlineStr">
        <is>
          <t>230F0099OB1</t>
        </is>
      </c>
      <c r="F787" s="4" t="inlineStr">
        <is>
          <t>99系列单功能入墙浴缸龙头 拉丝古铜色</t>
        </is>
      </c>
      <c r="G787" s="4" t="inlineStr">
        <is>
          <t>陈巧娴</t>
        </is>
      </c>
      <c r="H787" s="4" t="inlineStr">
        <is>
          <t>缸边浴缸</t>
        </is>
      </c>
      <c r="I787" s="12" t="inlineStr">
        <is>
          <t>是</t>
        </is>
      </c>
      <c r="J787" s="34" t="n">
        <v>45514</v>
      </c>
      <c r="K787" s="34" t="n">
        <v>45514</v>
      </c>
      <c r="L787" s="0">
        <f>DATEDIF(J787,$L$1,"M")</f>
        <v/>
      </c>
      <c r="M787" s="0">
        <f>IF(L787&lt;18,"新品期",IF(L787&lt;=36,"老品期","衰退期"))</f>
        <v/>
      </c>
      <c r="N787" s="15" t="inlineStr">
        <is>
          <t>25年5月前胡娟娟负责</t>
        </is>
      </c>
    </row>
    <row r="788" ht="15" customFormat="1" customHeight="1" s="36">
      <c r="A788" s="4" t="inlineStr">
        <is>
          <t>soebiz-US</t>
        </is>
      </c>
      <c r="B788" s="4" t="inlineStr">
        <is>
          <t>Soebiz美国站</t>
        </is>
      </c>
      <c r="C788" s="4">
        <f>B788&amp;D788</f>
        <v/>
      </c>
      <c r="D788" s="4" t="inlineStr">
        <is>
          <t>SZ-B9907BG</t>
        </is>
      </c>
      <c r="E788" s="4" t="inlineStr">
        <is>
          <t>221F0099BG1</t>
        </is>
      </c>
      <c r="F788" s="4" t="inlineStr">
        <is>
          <t>99系列三件套缸边浴缸龙头拉丝钛金封油</t>
        </is>
      </c>
      <c r="G788" s="4" t="inlineStr">
        <is>
          <t>陈巧娴</t>
        </is>
      </c>
      <c r="H788" s="4" t="inlineStr">
        <is>
          <t>缸边浴缸</t>
        </is>
      </c>
      <c r="I788" s="12" t="inlineStr">
        <is>
          <t>是</t>
        </is>
      </c>
      <c r="J788" s="34" t="n">
        <v>45174</v>
      </c>
      <c r="K788" s="34" t="n">
        <v>45174</v>
      </c>
      <c r="L788" s="0">
        <f>DATEDIF(J788,$L$1,"M")</f>
        <v/>
      </c>
      <c r="M788" s="0">
        <f>IF(L788&lt;18,"新品期",IF(L788&lt;=36,"老品期","衰退期"))</f>
        <v/>
      </c>
      <c r="N788" s="15" t="inlineStr">
        <is>
          <t>25年5月前胡娟娟负责</t>
        </is>
      </c>
    </row>
    <row r="789" ht="15" customFormat="1" customHeight="1" s="36">
      <c r="A789" s="4" t="inlineStr">
        <is>
          <t>soebiz-US</t>
        </is>
      </c>
      <c r="B789" s="4" t="inlineStr">
        <is>
          <t>Soebiz美国站</t>
        </is>
      </c>
      <c r="C789" s="4">
        <f>B789&amp;D789</f>
        <v/>
      </c>
      <c r="D789" s="4" t="inlineStr">
        <is>
          <t>SZ-B9907BK</t>
        </is>
      </c>
      <c r="E789" s="4" t="inlineStr">
        <is>
          <t>221F0099BK1</t>
        </is>
      </c>
      <c r="F789" s="4" t="inlineStr">
        <is>
          <t>99系列三件套缸边浴缸龙头电泳黑</t>
        </is>
      </c>
      <c r="G789" s="4" t="inlineStr">
        <is>
          <t>陈巧娴</t>
        </is>
      </c>
      <c r="H789" s="4" t="inlineStr">
        <is>
          <t>缸边浴缸</t>
        </is>
      </c>
      <c r="I789" s="12" t="inlineStr">
        <is>
          <t>是</t>
        </is>
      </c>
      <c r="J789" s="34" t="n">
        <v>45174</v>
      </c>
      <c r="K789" s="34" t="n">
        <v>45174</v>
      </c>
      <c r="L789" s="0">
        <f>DATEDIF(J789,$L$1,"M")</f>
        <v/>
      </c>
      <c r="M789" s="0">
        <f>IF(L789&lt;18,"新品期",IF(L789&lt;=36,"老品期","衰退期"))</f>
        <v/>
      </c>
      <c r="N789" s="15" t="inlineStr">
        <is>
          <t>25年5月前胡娟娟负责</t>
        </is>
      </c>
    </row>
    <row r="790" ht="15" customFormat="1" customHeight="1" s="36">
      <c r="A790" s="4" t="inlineStr">
        <is>
          <t>soebiz-US</t>
        </is>
      </c>
      <c r="B790" s="4" t="inlineStr">
        <is>
          <t>Soebiz美国站</t>
        </is>
      </c>
      <c r="C790" s="4">
        <f>B790&amp;D790</f>
        <v/>
      </c>
      <c r="D790" s="4" t="inlineStr">
        <is>
          <t>SZ-B9907BN</t>
        </is>
      </c>
      <c r="E790" s="4" t="inlineStr">
        <is>
          <t>221F0099BN1</t>
        </is>
      </c>
      <c r="F790" s="4" t="inlineStr">
        <is>
          <t>99系列三件套缸边浴缸龙头拉丝封油</t>
        </is>
      </c>
      <c r="G790" s="4" t="inlineStr">
        <is>
          <t>陈巧娴</t>
        </is>
      </c>
      <c r="H790" s="4" t="inlineStr">
        <is>
          <t>缸边浴缸</t>
        </is>
      </c>
      <c r="I790" s="12" t="inlineStr">
        <is>
          <t>是</t>
        </is>
      </c>
      <c r="J790" s="34" t="n">
        <v>45174</v>
      </c>
      <c r="K790" s="34" t="n">
        <v>45174</v>
      </c>
      <c r="L790" s="0">
        <f>DATEDIF(J790,$L$1,"M")</f>
        <v/>
      </c>
      <c r="M790" s="0">
        <f>IF(L790&lt;18,"新品期",IF(L790&lt;=36,"老品期","衰退期"))</f>
        <v/>
      </c>
      <c r="N790" s="15" t="inlineStr">
        <is>
          <t>25年5月前胡娟娟负责</t>
        </is>
      </c>
    </row>
    <row r="791" ht="15" customFormat="1" customHeight="1" s="36">
      <c r="A791" s="4" t="inlineStr">
        <is>
          <t>soebiz-US</t>
        </is>
      </c>
      <c r="B791" s="4" t="inlineStr">
        <is>
          <t>Soebiz美国站</t>
        </is>
      </c>
      <c r="C791" s="4">
        <f>B791&amp;D791</f>
        <v/>
      </c>
      <c r="D791" s="4" t="inlineStr">
        <is>
          <t>SZ-B9907CP</t>
        </is>
      </c>
      <c r="E791" s="4" t="inlineStr">
        <is>
          <t>221F0099CP1</t>
        </is>
      </c>
      <c r="F791" s="4" t="inlineStr">
        <is>
          <t>99系列三件套缸边浴缸龙头铬</t>
        </is>
      </c>
      <c r="G791" s="4" t="inlineStr">
        <is>
          <t>陈巧娴</t>
        </is>
      </c>
      <c r="H791" s="4" t="inlineStr">
        <is>
          <t>缸边浴缸</t>
        </is>
      </c>
      <c r="I791" s="12" t="inlineStr">
        <is>
          <t>是</t>
        </is>
      </c>
      <c r="J791" s="34" t="n">
        <v>45174</v>
      </c>
      <c r="K791" s="34" t="n">
        <v>45174</v>
      </c>
      <c r="L791" s="0">
        <f>DATEDIF(J791,$L$1,"M")</f>
        <v/>
      </c>
      <c r="M791" s="0">
        <f>IF(L791&lt;18,"新品期",IF(L791&lt;=36,"老品期","衰退期"))</f>
        <v/>
      </c>
      <c r="N791" s="15" t="inlineStr">
        <is>
          <t>25年5月前胡娟娟负责</t>
        </is>
      </c>
    </row>
    <row r="792" ht="15" customFormat="1" customHeight="1" s="36">
      <c r="A792" s="4" t="inlineStr">
        <is>
          <t>soebiz-MX</t>
        </is>
      </c>
      <c r="B792" s="4" t="inlineStr">
        <is>
          <t>Soebiz墨西哥站</t>
        </is>
      </c>
      <c r="C792" s="4">
        <f>B792&amp;D792</f>
        <v/>
      </c>
      <c r="D792" s="4" t="inlineStr">
        <is>
          <t>SZ-B9907CP</t>
        </is>
      </c>
      <c r="E792" s="4" t="inlineStr">
        <is>
          <t>221F0099CP1</t>
        </is>
      </c>
      <c r="F792" s="4" t="inlineStr">
        <is>
          <t>99系列三件套缸边浴缸龙头铬</t>
        </is>
      </c>
      <c r="G792" s="4" t="inlineStr">
        <is>
          <t>陈巧娴</t>
        </is>
      </c>
      <c r="H792" s="4" t="inlineStr">
        <is>
          <t>缸边浴缸</t>
        </is>
      </c>
      <c r="I792" s="12" t="inlineStr">
        <is>
          <t>是</t>
        </is>
      </c>
      <c r="J792" s="34" t="n">
        <v>45174</v>
      </c>
      <c r="K792" s="34" t="n">
        <v>45174</v>
      </c>
      <c r="L792" s="0">
        <f>DATEDIF(J792,$L$1,"M")</f>
        <v/>
      </c>
      <c r="M792" s="0">
        <f>IF(L792&lt;18,"新品期",IF(L792&lt;=36,"老品期","衰退期"))</f>
        <v/>
      </c>
      <c r="N792" s="15" t="inlineStr">
        <is>
          <t>25年5月前胡娟娟负责</t>
        </is>
      </c>
    </row>
    <row r="793" ht="15" customFormat="1" customHeight="1" s="36">
      <c r="A793" s="4" t="inlineStr">
        <is>
          <t>soebiz-US</t>
        </is>
      </c>
      <c r="B793" s="4" t="inlineStr">
        <is>
          <t>Soebiz美国站</t>
        </is>
      </c>
      <c r="C793" s="4">
        <f>B793&amp;D793</f>
        <v/>
      </c>
      <c r="D793" s="4" t="inlineStr">
        <is>
          <t>SZ-B9907ORB</t>
        </is>
      </c>
      <c r="E793" s="4" t="inlineStr">
        <is>
          <t>221F0099OB1</t>
        </is>
      </c>
      <c r="F793" s="4" t="inlineStr">
        <is>
          <t>99系列三件套缸边浴缸龙头 拉丝古铜色</t>
        </is>
      </c>
      <c r="G793" s="4" t="inlineStr">
        <is>
          <t>陈巧娴</t>
        </is>
      </c>
      <c r="H793" s="4" t="inlineStr">
        <is>
          <t>缸边浴缸</t>
        </is>
      </c>
      <c r="I793" s="12" t="inlineStr">
        <is>
          <t>是</t>
        </is>
      </c>
      <c r="J793" s="34" t="n">
        <v>45174</v>
      </c>
      <c r="K793" s="34" t="n">
        <v>45174</v>
      </c>
      <c r="L793" s="0">
        <f>DATEDIF(J793,$L$1,"M")</f>
        <v/>
      </c>
      <c r="M793" s="0">
        <f>IF(L793&lt;18,"新品期",IF(L793&lt;=36,"老品期","衰退期"))</f>
        <v/>
      </c>
      <c r="N793" s="15" t="inlineStr">
        <is>
          <t>25年5月前胡娟娟负责</t>
        </is>
      </c>
    </row>
    <row r="794" ht="15" customFormat="1" customHeight="1" s="36">
      <c r="A794" s="4" t="inlineStr">
        <is>
          <t>soebiz-US</t>
        </is>
      </c>
      <c r="B794" s="4" t="inlineStr">
        <is>
          <t>Soebiz美国站</t>
        </is>
      </c>
      <c r="C794" s="4">
        <f>B794&amp;D794</f>
        <v/>
      </c>
      <c r="D794" s="4" t="inlineStr">
        <is>
          <t>SZ-B9908BG</t>
        </is>
      </c>
      <c r="E794" s="4" t="inlineStr">
        <is>
          <t>222F0099BG1</t>
        </is>
      </c>
      <c r="F794" s="4" t="inlineStr">
        <is>
          <t>99系列四件套缸边浴缸龙头拉丝钛金封油</t>
        </is>
      </c>
      <c r="G794" s="4" t="inlineStr">
        <is>
          <t>陈巧娴</t>
        </is>
      </c>
      <c r="H794" s="4" t="inlineStr">
        <is>
          <t>缸边浴缸</t>
        </is>
      </c>
      <c r="I794" s="12" t="inlineStr">
        <is>
          <t>是</t>
        </is>
      </c>
      <c r="J794" s="34" t="n">
        <v>45223</v>
      </c>
      <c r="K794" s="34" t="n">
        <v>45223</v>
      </c>
      <c r="L794" s="0">
        <f>DATEDIF(J794,$L$1,"M")</f>
        <v/>
      </c>
      <c r="M794" s="0">
        <f>IF(L794&lt;18,"新品期",IF(L794&lt;=36,"老品期","衰退期"))</f>
        <v/>
      </c>
      <c r="N794" s="15" t="inlineStr">
        <is>
          <t>25年5月前胡娟娟负责</t>
        </is>
      </c>
    </row>
    <row r="795" ht="15" customFormat="1" customHeight="1" s="36">
      <c r="A795" s="4" t="inlineStr">
        <is>
          <t>soebiz-MX</t>
        </is>
      </c>
      <c r="B795" s="4" t="inlineStr">
        <is>
          <t>Soebiz墨西哥站</t>
        </is>
      </c>
      <c r="C795" s="4">
        <f>B795&amp;D795</f>
        <v/>
      </c>
      <c r="D795" s="4" t="inlineStr">
        <is>
          <t>SZ-B9908BG</t>
        </is>
      </c>
      <c r="E795" s="4" t="inlineStr">
        <is>
          <t>222F0099BG1</t>
        </is>
      </c>
      <c r="F795" s="4" t="inlineStr">
        <is>
          <t>99系列四件套缸边浴缸龙头拉丝钛金封油</t>
        </is>
      </c>
      <c r="G795" s="4" t="inlineStr">
        <is>
          <t>陈巧娴</t>
        </is>
      </c>
      <c r="H795" s="4" t="inlineStr">
        <is>
          <t>缸边浴缸</t>
        </is>
      </c>
      <c r="I795" s="12" t="inlineStr">
        <is>
          <t>是</t>
        </is>
      </c>
      <c r="J795" s="34" t="n">
        <v>45223</v>
      </c>
      <c r="K795" s="34" t="n">
        <v>45223</v>
      </c>
      <c r="L795" s="0">
        <f>DATEDIF(J795,$L$1,"M")</f>
        <v/>
      </c>
      <c r="M795" s="0">
        <f>IF(L795&lt;18,"新品期",IF(L795&lt;=36,"老品期","衰退期"))</f>
        <v/>
      </c>
      <c r="N795" s="15" t="inlineStr">
        <is>
          <t>25年5月前胡娟娟负责</t>
        </is>
      </c>
    </row>
    <row r="796" ht="15" customFormat="1" customHeight="1" s="36">
      <c r="A796" s="4" t="inlineStr">
        <is>
          <t>soebiz-US</t>
        </is>
      </c>
      <c r="B796" s="4" t="inlineStr">
        <is>
          <t>Soebiz美国站</t>
        </is>
      </c>
      <c r="C796" s="4">
        <f>B796&amp;D796</f>
        <v/>
      </c>
      <c r="D796" s="4" t="inlineStr">
        <is>
          <t>SZ-B9908BK</t>
        </is>
      </c>
      <c r="E796" s="4" t="inlineStr">
        <is>
          <t>222F0099BK1</t>
        </is>
      </c>
      <c r="F796" s="4" t="inlineStr">
        <is>
          <t>99系列四件套缸边浴缸龙头电泳黑</t>
        </is>
      </c>
      <c r="G796" s="4" t="inlineStr">
        <is>
          <t>陈巧娴</t>
        </is>
      </c>
      <c r="H796" s="4" t="inlineStr">
        <is>
          <t>缸边浴缸</t>
        </is>
      </c>
      <c r="I796" s="12" t="inlineStr">
        <is>
          <t>是</t>
        </is>
      </c>
      <c r="J796" s="34" t="n">
        <v>45223</v>
      </c>
      <c r="K796" s="34" t="n">
        <v>45223</v>
      </c>
      <c r="L796" s="0">
        <f>DATEDIF(J796,$L$1,"M")</f>
        <v/>
      </c>
      <c r="M796" s="0">
        <f>IF(L796&lt;18,"新品期",IF(L796&lt;=36,"老品期","衰退期"))</f>
        <v/>
      </c>
      <c r="N796" s="15" t="inlineStr">
        <is>
          <t>25年5月前胡娟娟负责</t>
        </is>
      </c>
    </row>
    <row r="797" ht="15" customFormat="1" customHeight="1" s="36">
      <c r="A797" s="4" t="inlineStr">
        <is>
          <t>soebiz-US</t>
        </is>
      </c>
      <c r="B797" s="4" t="inlineStr">
        <is>
          <t>Soebiz美国站</t>
        </is>
      </c>
      <c r="C797" s="4">
        <f>B797&amp;D797</f>
        <v/>
      </c>
      <c r="D797" s="4" t="inlineStr">
        <is>
          <t>SZ-B9908BKZZ</t>
        </is>
      </c>
      <c r="E797" s="4" t="inlineStr">
        <is>
          <t>222F0099BK1</t>
        </is>
      </c>
      <c r="F797" s="4" t="inlineStr">
        <is>
          <t>99系列四件套缸边浴缸龙头电泳黑</t>
        </is>
      </c>
      <c r="G797" s="4" t="inlineStr">
        <is>
          <t>陈巧娴</t>
        </is>
      </c>
      <c r="H797" s="4" t="inlineStr">
        <is>
          <t>缸边浴缸</t>
        </is>
      </c>
      <c r="I797" s="12" t="inlineStr">
        <is>
          <t>是</t>
        </is>
      </c>
      <c r="J797" s="34" t="n">
        <v>45223</v>
      </c>
      <c r="K797" s="34" t="n">
        <v>45223</v>
      </c>
      <c r="L797" s="0">
        <f>DATEDIF(J797,$L$1,"M")</f>
        <v/>
      </c>
      <c r="M797" s="0">
        <f>IF(L797&lt;18,"新品期",IF(L797&lt;=36,"老品期","衰退期"))</f>
        <v/>
      </c>
      <c r="N797" s="15" t="inlineStr">
        <is>
          <t>25年5月前胡娟娟负责</t>
        </is>
      </c>
    </row>
    <row r="798" ht="15" customFormat="1" customHeight="1" s="36">
      <c r="A798" s="4" t="inlineStr">
        <is>
          <t>soebiz-BR</t>
        </is>
      </c>
      <c r="B798" s="4" t="inlineStr">
        <is>
          <t>Soebiz巴西站</t>
        </is>
      </c>
      <c r="C798" s="4">
        <f>B798&amp;D798</f>
        <v/>
      </c>
      <c r="D798" s="4" t="inlineStr">
        <is>
          <t>SZ-B9908BKZZ</t>
        </is>
      </c>
      <c r="E798" s="4" t="inlineStr">
        <is>
          <t>222F0099BK1</t>
        </is>
      </c>
      <c r="F798" s="4" t="inlineStr">
        <is>
          <t>99系列四件套缸边浴缸龙头电泳黑</t>
        </is>
      </c>
      <c r="G798" s="4" t="inlineStr">
        <is>
          <t>陈巧娴</t>
        </is>
      </c>
      <c r="H798" s="4" t="inlineStr">
        <is>
          <t>缸边浴缸</t>
        </is>
      </c>
      <c r="I798" s="12" t="inlineStr">
        <is>
          <t>是</t>
        </is>
      </c>
      <c r="J798" s="34" t="n">
        <v>45223</v>
      </c>
      <c r="K798" s="34" t="n">
        <v>45223</v>
      </c>
      <c r="L798" s="0">
        <f>DATEDIF(J798,$L$1,"M")</f>
        <v/>
      </c>
      <c r="M798" s="0">
        <f>IF(L798&lt;18,"新品期",IF(L798&lt;=36,"老品期","衰退期"))</f>
        <v/>
      </c>
      <c r="N798" s="15" t="inlineStr">
        <is>
          <t>25年5月前胡娟娟负责</t>
        </is>
      </c>
    </row>
    <row r="799" ht="15" customFormat="1" customHeight="1" s="36">
      <c r="A799" s="4" t="inlineStr">
        <is>
          <t>soebiz-US</t>
        </is>
      </c>
      <c r="B799" s="4" t="inlineStr">
        <is>
          <t>Soebiz美国站</t>
        </is>
      </c>
      <c r="C799" s="4">
        <f>B799&amp;D799</f>
        <v/>
      </c>
      <c r="D799" s="4" t="inlineStr">
        <is>
          <t>SZ-B9908BN</t>
        </is>
      </c>
      <c r="E799" s="4" t="inlineStr">
        <is>
          <t>222F0099BN1</t>
        </is>
      </c>
      <c r="F799" s="4" t="inlineStr">
        <is>
          <t>99系列四件套缸边浴缸龙头拉丝封油</t>
        </is>
      </c>
      <c r="G799" s="4" t="inlineStr">
        <is>
          <t>陈巧娴</t>
        </is>
      </c>
      <c r="H799" s="4" t="inlineStr">
        <is>
          <t>缸边浴缸</t>
        </is>
      </c>
      <c r="I799" s="12" t="inlineStr">
        <is>
          <t>是</t>
        </is>
      </c>
      <c r="J799" s="34" t="n">
        <v>45223</v>
      </c>
      <c r="K799" s="34" t="n">
        <v>45223</v>
      </c>
      <c r="L799" s="0">
        <f>DATEDIF(J799,$L$1,"M")</f>
        <v/>
      </c>
      <c r="M799" s="0">
        <f>IF(L799&lt;18,"新品期",IF(L799&lt;=36,"老品期","衰退期"))</f>
        <v/>
      </c>
      <c r="N799" s="15" t="inlineStr">
        <is>
          <t>25年5月前胡娟娟负责</t>
        </is>
      </c>
    </row>
    <row r="800" ht="15" customFormat="1" customHeight="1" s="36">
      <c r="A800" s="4" t="inlineStr">
        <is>
          <t>soebiz-US</t>
        </is>
      </c>
      <c r="B800" s="4" t="inlineStr">
        <is>
          <t>Soebiz美国站</t>
        </is>
      </c>
      <c r="C800" s="4">
        <f>B800&amp;D800</f>
        <v/>
      </c>
      <c r="D800" s="4" t="inlineStr">
        <is>
          <t>SZ-B9908CP</t>
        </is>
      </c>
      <c r="E800" s="4" t="inlineStr">
        <is>
          <t>222F0099CP1</t>
        </is>
      </c>
      <c r="F800" s="4" t="inlineStr">
        <is>
          <t>99系列四件套缸边浴缸龙头铬</t>
        </is>
      </c>
      <c r="G800" s="4" t="inlineStr">
        <is>
          <t>陈巧娴</t>
        </is>
      </c>
      <c r="H800" s="4" t="inlineStr">
        <is>
          <t>缸边浴缸</t>
        </is>
      </c>
      <c r="I800" s="12" t="inlineStr">
        <is>
          <t>是</t>
        </is>
      </c>
      <c r="J800" s="34" t="n">
        <v>45223</v>
      </c>
      <c r="K800" s="34" t="n">
        <v>45223</v>
      </c>
      <c r="L800" s="0">
        <f>DATEDIF(J800,$L$1,"M")</f>
        <v/>
      </c>
      <c r="M800" s="0">
        <f>IF(L800&lt;18,"新品期",IF(L800&lt;=36,"老品期","衰退期"))</f>
        <v/>
      </c>
      <c r="N800" s="15" t="inlineStr">
        <is>
          <t>25年5月前胡娟娟负责</t>
        </is>
      </c>
    </row>
    <row r="801" ht="15" customFormat="1" customHeight="1" s="36">
      <c r="A801" s="4" t="inlineStr">
        <is>
          <t>soebiz-US</t>
        </is>
      </c>
      <c r="B801" s="4" t="inlineStr">
        <is>
          <t>Soebiz美国站</t>
        </is>
      </c>
      <c r="C801" s="4">
        <f>B801&amp;D801</f>
        <v/>
      </c>
      <c r="D801" s="4" t="inlineStr">
        <is>
          <t>SZ-B9908CPZZ</t>
        </is>
      </c>
      <c r="E801" s="4" t="inlineStr">
        <is>
          <t>222F0099CP1</t>
        </is>
      </c>
      <c r="F801" s="4" t="inlineStr">
        <is>
          <t>99系列四件套缸边浴缸龙头铬</t>
        </is>
      </c>
      <c r="G801" s="4" t="inlineStr">
        <is>
          <t>陈巧娴</t>
        </is>
      </c>
      <c r="H801" s="4" t="inlineStr">
        <is>
          <t>缸边浴缸</t>
        </is>
      </c>
      <c r="I801" s="12" t="inlineStr">
        <is>
          <t>是</t>
        </is>
      </c>
      <c r="J801" s="34" t="n">
        <v>45223</v>
      </c>
      <c r="K801" s="34" t="n">
        <v>45223</v>
      </c>
      <c r="L801" s="0">
        <f>DATEDIF(J801,$L$1,"M")</f>
        <v/>
      </c>
      <c r="M801" s="0">
        <f>IF(L801&lt;18,"新品期",IF(L801&lt;=36,"老品期","衰退期"))</f>
        <v/>
      </c>
      <c r="N801" s="15" t="inlineStr">
        <is>
          <t>25年5月前胡娟娟负责</t>
        </is>
      </c>
    </row>
    <row r="802" ht="15" customFormat="1" customHeight="1" s="36">
      <c r="A802" s="4" t="inlineStr">
        <is>
          <t>soebiz-BR</t>
        </is>
      </c>
      <c r="B802" s="4" t="inlineStr">
        <is>
          <t>Soebiz巴西站</t>
        </is>
      </c>
      <c r="C802" s="4">
        <f>B802&amp;D802</f>
        <v/>
      </c>
      <c r="D802" s="4" t="inlineStr">
        <is>
          <t>SZ-B9908CPZZ</t>
        </is>
      </c>
      <c r="E802" s="4" t="inlineStr">
        <is>
          <t>222F0099CP1</t>
        </is>
      </c>
      <c r="F802" s="4" t="inlineStr">
        <is>
          <t>99系列四件套缸边浴缸龙头铬</t>
        </is>
      </c>
      <c r="G802" s="4" t="inlineStr">
        <is>
          <t>陈巧娴</t>
        </is>
      </c>
      <c r="H802" s="4" t="inlineStr">
        <is>
          <t>缸边浴缸</t>
        </is>
      </c>
      <c r="I802" s="12" t="inlineStr">
        <is>
          <t>是</t>
        </is>
      </c>
      <c r="J802" s="34" t="n">
        <v>45223</v>
      </c>
      <c r="K802" s="34" t="n">
        <v>45223</v>
      </c>
      <c r="L802" s="0">
        <f>DATEDIF(J802,$L$1,"M")</f>
        <v/>
      </c>
      <c r="M802" s="0">
        <f>IF(L802&lt;18,"新品期",IF(L802&lt;=36,"老品期","衰退期"))</f>
        <v/>
      </c>
      <c r="N802" s="15" t="inlineStr">
        <is>
          <t>25年5月前胡娟娟负责</t>
        </is>
      </c>
    </row>
    <row r="803" ht="15" customFormat="1" customHeight="1" s="36">
      <c r="A803" s="4" t="inlineStr">
        <is>
          <t>soebiz-US</t>
        </is>
      </c>
      <c r="B803" s="4" t="inlineStr">
        <is>
          <t>Soebiz美国站</t>
        </is>
      </c>
      <c r="C803" s="4">
        <f>B803&amp;D803</f>
        <v/>
      </c>
      <c r="D803" s="4" t="inlineStr">
        <is>
          <t>SZ-B9908ORB</t>
        </is>
      </c>
      <c r="E803" s="4" t="inlineStr">
        <is>
          <t>222F0099OB1</t>
        </is>
      </c>
      <c r="F803" s="4" t="inlineStr">
        <is>
          <t>99系列四件套缸边浴缸龙头 拉丝古铜色</t>
        </is>
      </c>
      <c r="G803" s="4" t="inlineStr">
        <is>
          <t>陈巧娴</t>
        </is>
      </c>
      <c r="H803" s="4" t="inlineStr">
        <is>
          <t>缸边浴缸</t>
        </is>
      </c>
      <c r="I803" s="12" t="inlineStr">
        <is>
          <t>是</t>
        </is>
      </c>
      <c r="J803" s="34" t="n">
        <v>45223</v>
      </c>
      <c r="K803" s="34" t="n">
        <v>45223</v>
      </c>
      <c r="L803" s="0">
        <f>DATEDIF(J803,$L$1,"M")</f>
        <v/>
      </c>
      <c r="M803" s="0">
        <f>IF(L803&lt;18,"新品期",IF(L803&lt;=36,"老品期","衰退期"))</f>
        <v/>
      </c>
      <c r="N803" s="15" t="inlineStr">
        <is>
          <t>25年5月前胡娟娟负责</t>
        </is>
      </c>
    </row>
    <row r="804" ht="15" customFormat="1" customHeight="1" s="36">
      <c r="A804" s="4" t="inlineStr">
        <is>
          <t>soebiz-CA</t>
        </is>
      </c>
      <c r="B804" s="4" t="inlineStr">
        <is>
          <t>Soebiz加拿大站</t>
        </is>
      </c>
      <c r="C804" s="4">
        <f>B804&amp;D804</f>
        <v/>
      </c>
      <c r="D804" s="4" t="inlineStr">
        <is>
          <t>SZ-B9908ORB</t>
        </is>
      </c>
      <c r="E804" s="4" t="inlineStr">
        <is>
          <t>222F0099OB1</t>
        </is>
      </c>
      <c r="F804" s="4" t="inlineStr">
        <is>
          <t>99系列四件套缸边浴缸龙头 拉丝古铜色</t>
        </is>
      </c>
      <c r="G804" s="4" t="inlineStr">
        <is>
          <t>陈巧娴</t>
        </is>
      </c>
      <c r="H804" s="4" t="inlineStr">
        <is>
          <t>缸边浴缸</t>
        </is>
      </c>
      <c r="I804" s="12" t="inlineStr">
        <is>
          <t>是</t>
        </is>
      </c>
      <c r="J804" s="34" t="n">
        <v>45223</v>
      </c>
      <c r="K804" s="34" t="n">
        <v>45223</v>
      </c>
      <c r="L804" s="0">
        <f>DATEDIF(J804,$L$1,"M")</f>
        <v/>
      </c>
      <c r="M804" s="0">
        <f>IF(L804&lt;18,"新品期",IF(L804&lt;=36,"老品期","衰退期"))</f>
        <v/>
      </c>
      <c r="N804" s="15" t="inlineStr">
        <is>
          <t>25年5月前胡娟娟负责</t>
        </is>
      </c>
    </row>
    <row r="805" ht="15" customFormat="1" customHeight="1" s="36">
      <c r="A805" s="4" t="inlineStr">
        <is>
          <t>soebiz-US</t>
        </is>
      </c>
      <c r="B805" s="4" t="inlineStr">
        <is>
          <t>Soebiz美国站</t>
        </is>
      </c>
      <c r="C805" s="4">
        <f>B805&amp;D805</f>
        <v/>
      </c>
      <c r="D805" s="4" t="inlineStr">
        <is>
          <t>SZ-B9909BG</t>
        </is>
      </c>
      <c r="E805" s="4" t="inlineStr">
        <is>
          <t>223F0099BG1</t>
        </is>
      </c>
      <c r="F805" s="4" t="inlineStr">
        <is>
          <t>99系列五件套缸边浴缸龙头拉丝钛金封油</t>
        </is>
      </c>
      <c r="G805" s="4" t="inlineStr">
        <is>
          <t>陈巧娴</t>
        </is>
      </c>
      <c r="H805" s="4" t="inlineStr">
        <is>
          <t>缸边浴缸</t>
        </is>
      </c>
      <c r="I805" s="12" t="inlineStr">
        <is>
          <t>是</t>
        </is>
      </c>
      <c r="J805" s="34" t="n">
        <v>45223</v>
      </c>
      <c r="K805" s="34" t="n">
        <v>45223</v>
      </c>
      <c r="L805" s="0">
        <f>DATEDIF(J805,$L$1,"M")</f>
        <v/>
      </c>
      <c r="M805" s="0">
        <f>IF(L805&lt;18,"新品期",IF(L805&lt;=36,"老品期","衰退期"))</f>
        <v/>
      </c>
      <c r="N805" s="15" t="inlineStr">
        <is>
          <t>25年5月前胡娟娟负责</t>
        </is>
      </c>
    </row>
    <row r="806" ht="15" customFormat="1" customHeight="1" s="36">
      <c r="A806" s="4" t="inlineStr">
        <is>
          <t>soebiz-US</t>
        </is>
      </c>
      <c r="B806" s="4" t="inlineStr">
        <is>
          <t>Soebiz美国站</t>
        </is>
      </c>
      <c r="C806" s="4">
        <f>B806&amp;D806</f>
        <v/>
      </c>
      <c r="D806" s="4" t="inlineStr">
        <is>
          <t>SZ-B9909BK</t>
        </is>
      </c>
      <c r="E806" s="4" t="inlineStr">
        <is>
          <t>223F0099BK1</t>
        </is>
      </c>
      <c r="F806" s="4" t="inlineStr">
        <is>
          <t>99系列五件套缸边浴缸龙头电泳黑</t>
        </is>
      </c>
      <c r="G806" s="4" t="inlineStr">
        <is>
          <t>陈巧娴</t>
        </is>
      </c>
      <c r="H806" s="4" t="inlineStr">
        <is>
          <t>缸边浴缸</t>
        </is>
      </c>
      <c r="I806" s="12" t="inlineStr">
        <is>
          <t>是</t>
        </is>
      </c>
      <c r="J806" s="34" t="n">
        <v>45223</v>
      </c>
      <c r="K806" s="34" t="n">
        <v>45223</v>
      </c>
      <c r="L806" s="0">
        <f>DATEDIF(J806,$L$1,"M")</f>
        <v/>
      </c>
      <c r="M806" s="0">
        <f>IF(L806&lt;18,"新品期",IF(L806&lt;=36,"老品期","衰退期"))</f>
        <v/>
      </c>
      <c r="N806" s="15" t="inlineStr">
        <is>
          <t>25年5月前胡娟娟负责</t>
        </is>
      </c>
    </row>
    <row r="807" ht="15" customFormat="1" customHeight="1" s="36">
      <c r="A807" s="4" t="inlineStr">
        <is>
          <t>soebiz-MX</t>
        </is>
      </c>
      <c r="B807" s="4" t="inlineStr">
        <is>
          <t>Soebiz墨西哥站</t>
        </is>
      </c>
      <c r="C807" s="4">
        <f>B807&amp;D807</f>
        <v/>
      </c>
      <c r="D807" s="4" t="inlineStr">
        <is>
          <t>SZ-B9909BK</t>
        </is>
      </c>
      <c r="E807" s="4" t="inlineStr">
        <is>
          <t>223F0099BK1</t>
        </is>
      </c>
      <c r="F807" s="4" t="inlineStr">
        <is>
          <t>99系列五件套缸边浴缸龙头电泳黑</t>
        </is>
      </c>
      <c r="G807" s="4" t="inlineStr">
        <is>
          <t>陈巧娴</t>
        </is>
      </c>
      <c r="H807" s="4" t="inlineStr">
        <is>
          <t>缸边浴缸</t>
        </is>
      </c>
      <c r="I807" s="12" t="inlineStr">
        <is>
          <t>是</t>
        </is>
      </c>
      <c r="J807" s="34" t="n">
        <v>45223</v>
      </c>
      <c r="K807" s="34" t="n">
        <v>45223</v>
      </c>
      <c r="L807" s="0">
        <f>DATEDIF(J807,$L$1,"M")</f>
        <v/>
      </c>
      <c r="M807" s="0">
        <f>IF(L807&lt;18,"新品期",IF(L807&lt;=36,"老品期","衰退期"))</f>
        <v/>
      </c>
      <c r="N807" s="15" t="inlineStr">
        <is>
          <t>25年5月前胡娟娟负责</t>
        </is>
      </c>
    </row>
    <row r="808" ht="15" customFormat="1" customHeight="1" s="36">
      <c r="A808" s="4" t="inlineStr">
        <is>
          <t>soebiz-US</t>
        </is>
      </c>
      <c r="B808" s="4" t="inlineStr">
        <is>
          <t>Soebiz美国站</t>
        </is>
      </c>
      <c r="C808" s="4">
        <f>B808&amp;D808</f>
        <v/>
      </c>
      <c r="D808" s="4" t="inlineStr">
        <is>
          <t>SZ-B9909BKZZ</t>
        </is>
      </c>
      <c r="E808" s="4" t="inlineStr">
        <is>
          <t>223F0099BK1</t>
        </is>
      </c>
      <c r="F808" s="4" t="inlineStr">
        <is>
          <t>99系列五件套缸边浴缸龙头电泳黑</t>
        </is>
      </c>
      <c r="G808" s="4" t="inlineStr">
        <is>
          <t>陈巧娴</t>
        </is>
      </c>
      <c r="H808" s="4" t="inlineStr">
        <is>
          <t>缸边浴缸</t>
        </is>
      </c>
      <c r="I808" s="12" t="inlineStr">
        <is>
          <t>是</t>
        </is>
      </c>
      <c r="J808" s="34" t="n">
        <v>45223</v>
      </c>
      <c r="K808" s="34" t="n">
        <v>45223</v>
      </c>
      <c r="L808" s="0">
        <f>DATEDIF(J808,$L$1,"M")</f>
        <v/>
      </c>
      <c r="M808" s="0">
        <f>IF(L808&lt;18,"新品期",IF(L808&lt;=36,"老品期","衰退期"))</f>
        <v/>
      </c>
      <c r="N808" s="15" t="inlineStr">
        <is>
          <t>25年5月前胡娟娟负责</t>
        </is>
      </c>
    </row>
    <row r="809" ht="15" customFormat="1" customHeight="1" s="36">
      <c r="A809" s="4" t="inlineStr">
        <is>
          <t>soebiz-US</t>
        </is>
      </c>
      <c r="B809" s="4" t="inlineStr">
        <is>
          <t>Soebiz美国站</t>
        </is>
      </c>
      <c r="C809" s="4">
        <f>B809&amp;D809</f>
        <v/>
      </c>
      <c r="D809" s="4" t="inlineStr">
        <is>
          <t>SZ-B9909BN</t>
        </is>
      </c>
      <c r="E809" s="4" t="inlineStr">
        <is>
          <t>223F0099BN1</t>
        </is>
      </c>
      <c r="F809" s="4" t="inlineStr">
        <is>
          <t>99系列五件套缸边浴缸龙头拉丝封油</t>
        </is>
      </c>
      <c r="G809" s="4" t="inlineStr">
        <is>
          <t>陈巧娴</t>
        </is>
      </c>
      <c r="H809" s="4" t="inlineStr">
        <is>
          <t>缸边浴缸</t>
        </is>
      </c>
      <c r="I809" s="12" t="inlineStr">
        <is>
          <t>是</t>
        </is>
      </c>
      <c r="J809" s="34" t="n">
        <v>45223</v>
      </c>
      <c r="K809" s="34" t="n">
        <v>45223</v>
      </c>
      <c r="L809" s="0">
        <f>DATEDIF(J809,$L$1,"M")</f>
        <v/>
      </c>
      <c r="M809" s="0">
        <f>IF(L809&lt;18,"新品期",IF(L809&lt;=36,"老品期","衰退期"))</f>
        <v/>
      </c>
      <c r="N809" s="15" t="inlineStr">
        <is>
          <t>25年5月前胡娟娟负责</t>
        </is>
      </c>
    </row>
    <row r="810" ht="15" customFormat="1" customHeight="1" s="36">
      <c r="A810" s="4" t="inlineStr">
        <is>
          <t>soebiz-US</t>
        </is>
      </c>
      <c r="B810" s="4" t="inlineStr">
        <is>
          <t>Soebiz美国站</t>
        </is>
      </c>
      <c r="C810" s="4">
        <f>B810&amp;D810</f>
        <v/>
      </c>
      <c r="D810" s="4" t="inlineStr">
        <is>
          <t>SZ-B9909CP</t>
        </is>
      </c>
      <c r="E810" s="4" t="inlineStr">
        <is>
          <t>223F0099CP1</t>
        </is>
      </c>
      <c r="F810" s="4" t="inlineStr">
        <is>
          <t>99系列五件套缸边浴缸龙头铬</t>
        </is>
      </c>
      <c r="G810" s="4" t="inlineStr">
        <is>
          <t>陈巧娴</t>
        </is>
      </c>
      <c r="H810" s="4" t="inlineStr">
        <is>
          <t>缸边浴缸</t>
        </is>
      </c>
      <c r="I810" s="12" t="inlineStr">
        <is>
          <t>是</t>
        </is>
      </c>
      <c r="J810" s="34" t="n">
        <v>45223</v>
      </c>
      <c r="K810" s="34" t="n">
        <v>45223</v>
      </c>
      <c r="L810" s="0">
        <f>DATEDIF(J810,$L$1,"M")</f>
        <v/>
      </c>
      <c r="M810" s="0">
        <f>IF(L810&lt;18,"新品期",IF(L810&lt;=36,"老品期","衰退期"))</f>
        <v/>
      </c>
      <c r="N810" s="15" t="inlineStr">
        <is>
          <t>25年5月前胡娟娟负责</t>
        </is>
      </c>
    </row>
    <row r="811" ht="15" customFormat="1" customHeight="1" s="36">
      <c r="A811" s="4" t="inlineStr">
        <is>
          <t>soebiz-US</t>
        </is>
      </c>
      <c r="B811" s="4" t="inlineStr">
        <is>
          <t>Soebiz美国站</t>
        </is>
      </c>
      <c r="C811" s="4">
        <f>B811&amp;D811</f>
        <v/>
      </c>
      <c r="D811" s="4" t="inlineStr">
        <is>
          <t>SZ-B9909ORB</t>
        </is>
      </c>
      <c r="E811" s="4" t="inlineStr">
        <is>
          <t>223F0099OB1</t>
        </is>
      </c>
      <c r="F811" s="4" t="inlineStr">
        <is>
          <t>99系列五件套缸边浴缸龙头 拉丝古铜色</t>
        </is>
      </c>
      <c r="G811" s="4" t="inlineStr">
        <is>
          <t>陈巧娴</t>
        </is>
      </c>
      <c r="H811" s="4" t="inlineStr">
        <is>
          <t>缸边浴缸</t>
        </is>
      </c>
      <c r="I811" s="12" t="inlineStr">
        <is>
          <t>是</t>
        </is>
      </c>
      <c r="J811" s="34" t="n">
        <v>45223</v>
      </c>
      <c r="K811" s="34" t="n">
        <v>45223</v>
      </c>
      <c r="L811" s="0">
        <f>DATEDIF(J811,$L$1,"M")</f>
        <v/>
      </c>
      <c r="M811" s="0">
        <f>IF(L811&lt;18,"新品期",IF(L811&lt;=36,"老品期","衰退期"))</f>
        <v/>
      </c>
      <c r="N811" s="15" t="inlineStr">
        <is>
          <t>25年5月前胡娟娟负责</t>
        </is>
      </c>
    </row>
    <row r="812" ht="15" customFormat="1" customHeight="1" s="36">
      <c r="A812" s="4" t="inlineStr">
        <is>
          <t>soebiz-MX</t>
        </is>
      </c>
      <c r="B812" s="4" t="inlineStr">
        <is>
          <t>Soebiz墨西哥站</t>
        </is>
      </c>
      <c r="C812" s="4">
        <f>B812&amp;D812</f>
        <v/>
      </c>
      <c r="D812" s="4" t="inlineStr">
        <is>
          <t>SZ-B9909ORB</t>
        </is>
      </c>
      <c r="E812" s="4" t="inlineStr">
        <is>
          <t>223F0099OB1</t>
        </is>
      </c>
      <c r="F812" s="4" t="inlineStr">
        <is>
          <t>99系列五件套缸边浴缸龙头 拉丝古铜色</t>
        </is>
      </c>
      <c r="G812" s="4" t="inlineStr">
        <is>
          <t>陈巧娴</t>
        </is>
      </c>
      <c r="H812" s="4" t="inlineStr">
        <is>
          <t>缸边浴缸</t>
        </is>
      </c>
      <c r="I812" s="12" t="inlineStr">
        <is>
          <t>是</t>
        </is>
      </c>
      <c r="J812" s="34" t="n">
        <v>45223</v>
      </c>
      <c r="K812" s="34" t="n">
        <v>45223</v>
      </c>
      <c r="L812" s="0">
        <f>DATEDIF(J812,$L$1,"M")</f>
        <v/>
      </c>
      <c r="M812" s="0">
        <f>IF(L812&lt;18,"新品期",IF(L812&lt;=36,"老品期","衰退期"))</f>
        <v/>
      </c>
      <c r="N812" s="15" t="inlineStr">
        <is>
          <t>25年5月前胡娟娟负责</t>
        </is>
      </c>
    </row>
    <row r="813" ht="15" customFormat="1" customHeight="1" s="36">
      <c r="A813" s="4" t="inlineStr">
        <is>
          <t>soebiz-BR</t>
        </is>
      </c>
      <c r="B813" s="4" t="inlineStr">
        <is>
          <t>Soebiz巴西站</t>
        </is>
      </c>
      <c r="C813" s="4">
        <f>B813&amp;D813</f>
        <v/>
      </c>
      <c r="D813" s="4" t="inlineStr">
        <is>
          <t>SZ-B9909ORB</t>
        </is>
      </c>
      <c r="E813" s="4" t="inlineStr">
        <is>
          <t>223F0099OB1</t>
        </is>
      </c>
      <c r="F813" s="4" t="inlineStr">
        <is>
          <t>99系列五件套缸边浴缸龙头 拉丝古铜色</t>
        </is>
      </c>
      <c r="G813" s="4" t="inlineStr">
        <is>
          <t>陈巧娴</t>
        </is>
      </c>
      <c r="H813" s="4" t="inlineStr">
        <is>
          <t>缸边浴缸</t>
        </is>
      </c>
      <c r="I813" s="12" t="inlineStr">
        <is>
          <t>是</t>
        </is>
      </c>
      <c r="J813" s="34" t="n">
        <v>45223</v>
      </c>
      <c r="K813" s="34" t="n">
        <v>45223</v>
      </c>
      <c r="L813" s="0">
        <f>DATEDIF(J813,$L$1,"M")</f>
        <v/>
      </c>
      <c r="M813" s="0">
        <f>IF(L813&lt;18,"新品期",IF(L813&lt;=36,"老品期","衰退期"))</f>
        <v/>
      </c>
      <c r="N813" s="15" t="inlineStr">
        <is>
          <t>25年5月前胡娟娟负责</t>
        </is>
      </c>
    </row>
    <row r="814" ht="15" customFormat="1" customHeight="1" s="36">
      <c r="A814" s="4" t="inlineStr">
        <is>
          <t>soebiz-US</t>
        </is>
      </c>
      <c r="B814" s="4" t="inlineStr">
        <is>
          <t>Soebiz美国站</t>
        </is>
      </c>
      <c r="C814" s="4">
        <f>B814&amp;D814</f>
        <v/>
      </c>
      <c r="D814" s="4" t="inlineStr">
        <is>
          <t>SZ-B9911BG</t>
        </is>
      </c>
      <c r="E814" s="4" t="inlineStr">
        <is>
          <t>211F0099BG1</t>
        </is>
      </c>
      <c r="F814" s="4" t="inlineStr">
        <is>
          <t>99系列二功能落地浴缸龙头拉丝钛金封油</t>
        </is>
      </c>
      <c r="G814" s="4" t="inlineStr">
        <is>
          <t>刘皓</t>
        </is>
      </c>
      <c r="H814" s="4" t="inlineStr">
        <is>
          <t>落地浴缸</t>
        </is>
      </c>
      <c r="I814" s="12" t="inlineStr">
        <is>
          <t>是</t>
        </is>
      </c>
      <c r="J814" s="34" t="n">
        <v>45168</v>
      </c>
      <c r="K814" s="34" t="n">
        <v>45168</v>
      </c>
      <c r="L814" s="0">
        <f>DATEDIF(J814,$L$1,"M")</f>
        <v/>
      </c>
      <c r="M814" s="0">
        <f>IF(L814&lt;18,"新品期",IF(L814&lt;=36,"老品期","衰退期"))</f>
        <v/>
      </c>
    </row>
    <row r="815" ht="15" customFormat="1" customHeight="1" s="36">
      <c r="A815" s="4" t="inlineStr">
        <is>
          <t>soebiz-CA</t>
        </is>
      </c>
      <c r="B815" s="4" t="inlineStr">
        <is>
          <t>Soebiz加拿大站</t>
        </is>
      </c>
      <c r="C815" s="4">
        <f>B815&amp;D815</f>
        <v/>
      </c>
      <c r="D815" s="4" t="inlineStr">
        <is>
          <t>SZ-B9911BG</t>
        </is>
      </c>
      <c r="E815" s="4" t="inlineStr">
        <is>
          <t>211F0099BG1</t>
        </is>
      </c>
      <c r="F815" s="4" t="inlineStr">
        <is>
          <t>99系列二功能落地浴缸龙头拉丝钛金封油</t>
        </is>
      </c>
      <c r="G815" s="4" t="inlineStr">
        <is>
          <t>刘皓</t>
        </is>
      </c>
      <c r="H815" s="4" t="inlineStr">
        <is>
          <t>落地浴缸</t>
        </is>
      </c>
      <c r="I815" s="12" t="inlineStr">
        <is>
          <t>是</t>
        </is>
      </c>
      <c r="J815" s="34" t="n">
        <v>45168</v>
      </c>
      <c r="K815" s="34" t="n">
        <v>45168</v>
      </c>
      <c r="L815" s="0">
        <f>DATEDIF(J815,$L$1,"M")</f>
        <v/>
      </c>
      <c r="M815" s="0">
        <f>IF(L815&lt;18,"新品期",IF(L815&lt;=36,"老品期","衰退期"))</f>
        <v/>
      </c>
    </row>
    <row r="816" ht="15" customFormat="1" customHeight="1" s="36">
      <c r="A816" s="4" t="inlineStr">
        <is>
          <t>soebiz-MX</t>
        </is>
      </c>
      <c r="B816" s="4" t="inlineStr">
        <is>
          <t>Soebiz墨西哥站</t>
        </is>
      </c>
      <c r="C816" s="4">
        <f>B816&amp;D816</f>
        <v/>
      </c>
      <c r="D816" s="4" t="inlineStr">
        <is>
          <t>SZ-B9911BG</t>
        </is>
      </c>
      <c r="E816" s="4" t="inlineStr">
        <is>
          <t>211F0099BG1</t>
        </is>
      </c>
      <c r="F816" s="4" t="inlineStr">
        <is>
          <t>99系列二功能落地浴缸龙头拉丝钛金封油</t>
        </is>
      </c>
      <c r="G816" s="4" t="inlineStr">
        <is>
          <t>刘皓</t>
        </is>
      </c>
      <c r="H816" s="4" t="inlineStr">
        <is>
          <t>落地浴缸</t>
        </is>
      </c>
      <c r="I816" s="12" t="inlineStr">
        <is>
          <t>是</t>
        </is>
      </c>
      <c r="J816" s="34" t="n">
        <v>45168</v>
      </c>
      <c r="K816" s="34" t="n">
        <v>45168</v>
      </c>
      <c r="L816" s="0">
        <f>DATEDIF(J816,$L$1,"M")</f>
        <v/>
      </c>
      <c r="M816" s="0">
        <f>IF(L816&lt;18,"新品期",IF(L816&lt;=36,"老品期","衰退期"))</f>
        <v/>
      </c>
    </row>
    <row r="817" ht="15" customFormat="1" customHeight="1" s="36">
      <c r="A817" s="4" t="inlineStr">
        <is>
          <t>soebiz-US</t>
        </is>
      </c>
      <c r="B817" s="4" t="inlineStr">
        <is>
          <t>Soebiz美国站</t>
        </is>
      </c>
      <c r="C817" s="4">
        <f>B817&amp;D817</f>
        <v/>
      </c>
      <c r="D817" s="4" t="inlineStr">
        <is>
          <t>SZ-B9911BK</t>
        </is>
      </c>
      <c r="E817" s="4" t="inlineStr">
        <is>
          <t>211F0099BK2</t>
        </is>
      </c>
      <c r="F817" s="4" t="inlineStr">
        <is>
          <t>99系列二功能落地浴缸龙头酸铜发黑</t>
        </is>
      </c>
      <c r="G817" s="4" t="inlineStr">
        <is>
          <t>刘皓</t>
        </is>
      </c>
      <c r="H817" s="4" t="inlineStr">
        <is>
          <t>落地浴缸</t>
        </is>
      </c>
      <c r="I817" s="12" t="inlineStr">
        <is>
          <t>是</t>
        </is>
      </c>
      <c r="J817" s="34" t="n">
        <v>45168</v>
      </c>
      <c r="K817" s="34" t="n">
        <v>45168</v>
      </c>
      <c r="L817" s="0">
        <f>DATEDIF(J817,$L$1,"M")</f>
        <v/>
      </c>
      <c r="M817" s="0">
        <f>IF(L817&lt;18,"新品期",IF(L817&lt;=36,"老品期","衰退期"))</f>
        <v/>
      </c>
    </row>
    <row r="818" ht="15" customFormat="1" customHeight="1" s="36">
      <c r="A818" s="4" t="inlineStr">
        <is>
          <t>soebiz-CA</t>
        </is>
      </c>
      <c r="B818" s="4" t="inlineStr">
        <is>
          <t>Soebiz加拿大站</t>
        </is>
      </c>
      <c r="C818" s="4">
        <f>B818&amp;D818</f>
        <v/>
      </c>
      <c r="D818" s="4" t="inlineStr">
        <is>
          <t>SZ-B9911BK</t>
        </is>
      </c>
      <c r="E818" s="4" t="inlineStr">
        <is>
          <t>211F0099BK2</t>
        </is>
      </c>
      <c r="F818" s="4" t="inlineStr">
        <is>
          <t>99系列二功能落地浴缸龙头酸铜发黑</t>
        </is>
      </c>
      <c r="G818" s="4" t="inlineStr">
        <is>
          <t>刘皓</t>
        </is>
      </c>
      <c r="H818" s="4" t="inlineStr">
        <is>
          <t>落地浴缸</t>
        </is>
      </c>
      <c r="I818" s="12" t="inlineStr">
        <is>
          <t>是</t>
        </is>
      </c>
      <c r="J818" s="34" t="n">
        <v>45168</v>
      </c>
      <c r="K818" s="34" t="n">
        <v>45168</v>
      </c>
      <c r="L818" s="0">
        <f>DATEDIF(J818,$L$1,"M")</f>
        <v/>
      </c>
      <c r="M818" s="0">
        <f>IF(L818&lt;18,"新品期",IF(L818&lt;=36,"老品期","衰退期"))</f>
        <v/>
      </c>
    </row>
    <row r="819" ht="15" customFormat="1" customHeight="1" s="36">
      <c r="A819" s="4" t="inlineStr">
        <is>
          <t>soebiz-BR</t>
        </is>
      </c>
      <c r="B819" s="4" t="inlineStr">
        <is>
          <t>Soebiz巴西站</t>
        </is>
      </c>
      <c r="C819" s="4">
        <f>B819&amp;D819</f>
        <v/>
      </c>
      <c r="D819" s="4" t="inlineStr">
        <is>
          <t>SZ-B9911BK</t>
        </is>
      </c>
      <c r="E819" s="4" t="inlineStr">
        <is>
          <t>211F0099BK2</t>
        </is>
      </c>
      <c r="F819" s="4" t="inlineStr">
        <is>
          <t>99系列二功能落地浴缸龙头酸铜发黑</t>
        </is>
      </c>
      <c r="G819" s="4" t="inlineStr">
        <is>
          <t>刘皓</t>
        </is>
      </c>
      <c r="H819" s="4" t="inlineStr">
        <is>
          <t>落地浴缸</t>
        </is>
      </c>
      <c r="I819" s="12" t="inlineStr">
        <is>
          <t>是</t>
        </is>
      </c>
      <c r="J819" s="34" t="n">
        <v>45168</v>
      </c>
      <c r="K819" s="34" t="n">
        <v>45168</v>
      </c>
      <c r="L819" s="0">
        <f>DATEDIF(J819,$L$1,"M")</f>
        <v/>
      </c>
      <c r="M819" s="0">
        <f>IF(L819&lt;18,"新品期",IF(L819&lt;=36,"老品期","衰退期"))</f>
        <v/>
      </c>
    </row>
    <row r="820" ht="15" customFormat="1" customHeight="1" s="36">
      <c r="A820" s="4" t="inlineStr">
        <is>
          <t>soebiz-US</t>
        </is>
      </c>
      <c r="B820" s="4" t="inlineStr">
        <is>
          <t>Soebiz美国站</t>
        </is>
      </c>
      <c r="C820" s="4">
        <f>B820&amp;D820</f>
        <v/>
      </c>
      <c r="D820" s="4" t="inlineStr">
        <is>
          <t>SZ-B9911BN</t>
        </is>
      </c>
      <c r="E820" s="4" t="inlineStr">
        <is>
          <t>211F0099BN1</t>
        </is>
      </c>
      <c r="F820" s="4" t="inlineStr">
        <is>
          <t>99系列二功能落地浴缸龙头拉丝封油</t>
        </is>
      </c>
      <c r="G820" s="4" t="inlineStr">
        <is>
          <t>刘皓</t>
        </is>
      </c>
      <c r="H820" s="4" t="inlineStr">
        <is>
          <t>落地浴缸</t>
        </is>
      </c>
      <c r="I820" s="12" t="inlineStr">
        <is>
          <t>是</t>
        </is>
      </c>
      <c r="J820" s="34" t="n">
        <v>45168</v>
      </c>
      <c r="K820" s="34" t="n">
        <v>45168</v>
      </c>
      <c r="L820" s="0">
        <f>DATEDIF(J820,$L$1,"M")</f>
        <v/>
      </c>
      <c r="M820" s="0">
        <f>IF(L820&lt;18,"新品期",IF(L820&lt;=36,"老品期","衰退期"))</f>
        <v/>
      </c>
    </row>
    <row r="821" ht="15" customFormat="1" customHeight="1" s="36">
      <c r="A821" s="4" t="inlineStr">
        <is>
          <t>soebiz-CA</t>
        </is>
      </c>
      <c r="B821" s="4" t="inlineStr">
        <is>
          <t>Soebiz加拿大站</t>
        </is>
      </c>
      <c r="C821" s="4">
        <f>B821&amp;D821</f>
        <v/>
      </c>
      <c r="D821" s="4" t="inlineStr">
        <is>
          <t>SZ-B9911BN</t>
        </is>
      </c>
      <c r="E821" s="4" t="inlineStr">
        <is>
          <t>211F0099BN1</t>
        </is>
      </c>
      <c r="F821" s="4" t="inlineStr">
        <is>
          <t>99系列二功能落地浴缸龙头拉丝封油</t>
        </is>
      </c>
      <c r="G821" s="4" t="inlineStr">
        <is>
          <t>刘皓</t>
        </is>
      </c>
      <c r="H821" s="4" t="inlineStr">
        <is>
          <t>落地浴缸</t>
        </is>
      </c>
      <c r="I821" s="12" t="inlineStr">
        <is>
          <t>是</t>
        </is>
      </c>
      <c r="J821" s="34" t="n">
        <v>45168</v>
      </c>
      <c r="K821" s="34" t="n">
        <v>45168</v>
      </c>
      <c r="L821" s="0">
        <f>DATEDIF(J821,$L$1,"M")</f>
        <v/>
      </c>
      <c r="M821" s="0">
        <f>IF(L821&lt;18,"新品期",IF(L821&lt;=36,"老品期","衰退期"))</f>
        <v/>
      </c>
    </row>
    <row r="822" ht="15" customFormat="1" customHeight="1" s="36">
      <c r="A822" s="4" t="inlineStr">
        <is>
          <t>soebiz-BR</t>
        </is>
      </c>
      <c r="B822" s="4" t="inlineStr">
        <is>
          <t>Soebiz巴西站</t>
        </is>
      </c>
      <c r="C822" s="4">
        <f>B822&amp;D822</f>
        <v/>
      </c>
      <c r="D822" s="4" t="inlineStr">
        <is>
          <t>SZ-B9911BN</t>
        </is>
      </c>
      <c r="E822" s="4" t="inlineStr">
        <is>
          <t>211F0099BN1</t>
        </is>
      </c>
      <c r="F822" s="4" t="inlineStr">
        <is>
          <t>99系列二功能落地浴缸龙头拉丝封油</t>
        </is>
      </c>
      <c r="G822" s="4" t="inlineStr">
        <is>
          <t>刘皓</t>
        </is>
      </c>
      <c r="H822" s="4" t="inlineStr">
        <is>
          <t>落地浴缸</t>
        </is>
      </c>
      <c r="I822" s="12" t="inlineStr">
        <is>
          <t>是</t>
        </is>
      </c>
      <c r="J822" s="34" t="n">
        <v>45168</v>
      </c>
      <c r="K822" s="34" t="n">
        <v>45168</v>
      </c>
      <c r="L822" s="0">
        <f>DATEDIF(J822,$L$1,"M")</f>
        <v/>
      </c>
      <c r="M822" s="0">
        <f>IF(L822&lt;18,"新品期",IF(L822&lt;=36,"老品期","衰退期"))</f>
        <v/>
      </c>
    </row>
    <row r="823" ht="15" customFormat="1" customHeight="1" s="36">
      <c r="A823" s="4" t="inlineStr">
        <is>
          <t>soebiz-US</t>
        </is>
      </c>
      <c r="B823" s="4" t="inlineStr">
        <is>
          <t>Soebiz美国站</t>
        </is>
      </c>
      <c r="C823" s="4">
        <f>B823&amp;D823</f>
        <v/>
      </c>
      <c r="D823" s="4" t="inlineStr">
        <is>
          <t>SZ-B9911CP</t>
        </is>
      </c>
      <c r="E823" s="4" t="inlineStr">
        <is>
          <t>211F0099CP1</t>
        </is>
      </c>
      <c r="F823" s="4" t="inlineStr">
        <is>
          <t>99系列二功能落地浴缸龙头铬</t>
        </is>
      </c>
      <c r="G823" s="4" t="inlineStr">
        <is>
          <t>刘皓</t>
        </is>
      </c>
      <c r="H823" s="4" t="inlineStr">
        <is>
          <t>落地浴缸</t>
        </is>
      </c>
      <c r="I823" s="12" t="inlineStr">
        <is>
          <t>是</t>
        </is>
      </c>
      <c r="J823" s="34" t="n">
        <v>45168</v>
      </c>
      <c r="K823" s="34" t="n">
        <v>45168</v>
      </c>
      <c r="L823" s="0">
        <f>DATEDIF(J823,$L$1,"M")</f>
        <v/>
      </c>
      <c r="M823" s="0">
        <f>IF(L823&lt;18,"新品期",IF(L823&lt;=36,"老品期","衰退期"))</f>
        <v/>
      </c>
    </row>
    <row r="824" ht="15" customFormat="1" customHeight="1" s="36">
      <c r="A824" s="4" t="inlineStr">
        <is>
          <t>soebiz-CA</t>
        </is>
      </c>
      <c r="B824" s="4" t="inlineStr">
        <is>
          <t>Soebiz加拿大站</t>
        </is>
      </c>
      <c r="C824" s="4">
        <f>B824&amp;D824</f>
        <v/>
      </c>
      <c r="D824" s="4" t="inlineStr">
        <is>
          <t>SZ-B9911CP</t>
        </is>
      </c>
      <c r="E824" s="4" t="inlineStr">
        <is>
          <t>211F0099CP1</t>
        </is>
      </c>
      <c r="F824" s="4" t="inlineStr">
        <is>
          <t>99系列二功能落地浴缸龙头铬</t>
        </is>
      </c>
      <c r="G824" s="4" t="inlineStr">
        <is>
          <t>刘皓</t>
        </is>
      </c>
      <c r="H824" s="4" t="inlineStr">
        <is>
          <t>落地浴缸</t>
        </is>
      </c>
      <c r="I824" s="12" t="inlineStr">
        <is>
          <t>是</t>
        </is>
      </c>
      <c r="J824" s="34" t="n">
        <v>45168</v>
      </c>
      <c r="K824" s="34" t="n">
        <v>45168</v>
      </c>
      <c r="L824" s="0">
        <f>DATEDIF(J824,$L$1,"M")</f>
        <v/>
      </c>
      <c r="M824" s="0">
        <f>IF(L824&lt;18,"新品期",IF(L824&lt;=36,"老品期","衰退期"))</f>
        <v/>
      </c>
    </row>
    <row r="825" ht="15" customFormat="1" customHeight="1" s="36">
      <c r="A825" s="4" t="inlineStr">
        <is>
          <t>soebiz-BR</t>
        </is>
      </c>
      <c r="B825" s="4" t="inlineStr">
        <is>
          <t>Soebiz巴西站</t>
        </is>
      </c>
      <c r="C825" s="4">
        <f>B825&amp;D825</f>
        <v/>
      </c>
      <c r="D825" s="4" t="inlineStr">
        <is>
          <t>SZ-B9911CP</t>
        </is>
      </c>
      <c r="E825" s="4" t="inlineStr">
        <is>
          <t>211F0099CP1</t>
        </is>
      </c>
      <c r="F825" s="4" t="inlineStr">
        <is>
          <t>99系列二功能落地浴缸龙头铬</t>
        </is>
      </c>
      <c r="G825" s="4" t="inlineStr">
        <is>
          <t>刘皓</t>
        </is>
      </c>
      <c r="H825" s="4" t="inlineStr">
        <is>
          <t>落地浴缸</t>
        </is>
      </c>
      <c r="I825" s="12" t="inlineStr">
        <is>
          <t>是</t>
        </is>
      </c>
      <c r="J825" s="34" t="n">
        <v>45168</v>
      </c>
      <c r="K825" s="34" t="n">
        <v>45168</v>
      </c>
      <c r="L825" s="0">
        <f>DATEDIF(J825,$L$1,"M")</f>
        <v/>
      </c>
      <c r="M825" s="0">
        <f>IF(L825&lt;18,"新品期",IF(L825&lt;=36,"老品期","衰退期"))</f>
        <v/>
      </c>
    </row>
    <row r="826" ht="15" customFormat="1" customHeight="1" s="36">
      <c r="A826" s="4" t="inlineStr">
        <is>
          <t>soebiz-US</t>
        </is>
      </c>
      <c r="B826" s="4" t="inlineStr">
        <is>
          <t>Soebiz美国站</t>
        </is>
      </c>
      <c r="C826" s="4">
        <f>B826&amp;D826</f>
        <v/>
      </c>
      <c r="D826" s="4" t="inlineStr">
        <is>
          <t>SZ-B9911ORB</t>
        </is>
      </c>
      <c r="E826" s="4" t="inlineStr">
        <is>
          <t>211F0099OB1</t>
        </is>
      </c>
      <c r="F826" s="4" t="inlineStr">
        <is>
          <t>99系列二功能落地浴缸龙头 拉丝古铜色</t>
        </is>
      </c>
      <c r="G826" s="4" t="inlineStr">
        <is>
          <t>刘皓</t>
        </is>
      </c>
      <c r="H826" s="4" t="inlineStr">
        <is>
          <t>落地浴缸</t>
        </is>
      </c>
      <c r="I826" s="12" t="inlineStr">
        <is>
          <t>是</t>
        </is>
      </c>
      <c r="J826" s="34" t="n">
        <v>45168</v>
      </c>
      <c r="K826" s="34" t="n">
        <v>45168</v>
      </c>
      <c r="L826" s="0">
        <f>DATEDIF(J826,$L$1,"M")</f>
        <v/>
      </c>
      <c r="M826" s="0">
        <f>IF(L826&lt;18,"新品期",IF(L826&lt;=36,"老品期","衰退期"))</f>
        <v/>
      </c>
    </row>
    <row r="827" ht="15" customFormat="1" customHeight="1" s="36">
      <c r="A827" s="4" t="inlineStr">
        <is>
          <t>soebiz-CA</t>
        </is>
      </c>
      <c r="B827" s="4" t="inlineStr">
        <is>
          <t>Soebiz加拿大站</t>
        </is>
      </c>
      <c r="C827" s="4">
        <f>B827&amp;D827</f>
        <v/>
      </c>
      <c r="D827" s="4" t="inlineStr">
        <is>
          <t>SZ-B9911ORB</t>
        </is>
      </c>
      <c r="E827" s="4" t="inlineStr">
        <is>
          <t>211F0099OB1</t>
        </is>
      </c>
      <c r="F827" s="4" t="inlineStr">
        <is>
          <t>99系列二功能落地浴缸龙头 拉丝古铜色</t>
        </is>
      </c>
      <c r="G827" s="4" t="inlineStr">
        <is>
          <t>刘皓</t>
        </is>
      </c>
      <c r="H827" s="4" t="inlineStr">
        <is>
          <t>落地浴缸</t>
        </is>
      </c>
      <c r="I827" s="12" t="inlineStr">
        <is>
          <t>是</t>
        </is>
      </c>
      <c r="J827" s="34" t="n">
        <v>45168</v>
      </c>
      <c r="K827" s="34" t="n">
        <v>45168</v>
      </c>
      <c r="L827" s="0">
        <f>DATEDIF(J827,$L$1,"M")</f>
        <v/>
      </c>
      <c r="M827" s="0">
        <f>IF(L827&lt;18,"新品期",IF(L827&lt;=36,"老品期","衰退期"))</f>
        <v/>
      </c>
    </row>
    <row r="828" ht="15" customFormat="1" customHeight="1" s="36">
      <c r="A828" s="4" t="inlineStr">
        <is>
          <t>soebiz-US</t>
        </is>
      </c>
      <c r="B828" s="4" t="inlineStr">
        <is>
          <t>Soebiz美国站</t>
        </is>
      </c>
      <c r="C828" s="4">
        <f>B828&amp;D828</f>
        <v/>
      </c>
      <c r="D828" s="4" t="inlineStr">
        <is>
          <t>SZ-B9912BG</t>
        </is>
      </c>
      <c r="E828" s="4" t="inlineStr">
        <is>
          <t>320F0099BG1</t>
        </is>
      </c>
      <c r="F828" s="4" t="inlineStr">
        <is>
          <t>99系列二功能入墙暗装淋浴龙头（顶喷+手持）拉丝钛金封油</t>
        </is>
      </c>
      <c r="G828" s="4" t="inlineStr">
        <is>
          <t>宋江</t>
        </is>
      </c>
      <c r="H828" s="4" t="inlineStr">
        <is>
          <t>暗装淋浴</t>
        </is>
      </c>
      <c r="I828" s="12" t="inlineStr">
        <is>
          <t>是</t>
        </is>
      </c>
      <c r="J828" s="34" t="n">
        <v>45169</v>
      </c>
      <c r="K828" s="34" t="n">
        <v>45230</v>
      </c>
      <c r="L828" s="0">
        <f>DATEDIF(J828,$L$1,"M")</f>
        <v/>
      </c>
      <c r="M828" s="0">
        <f>IF(L828&lt;18,"新品期",IF(L828&lt;=36,"老品期","衰退期"))</f>
        <v/>
      </c>
      <c r="N828" s="36" t="inlineStr">
        <is>
          <t>2025年9月8以前何嘉威负责</t>
        </is>
      </c>
    </row>
    <row r="829" ht="15" customFormat="1" customHeight="1" s="36">
      <c r="A829" s="4" t="inlineStr">
        <is>
          <t>soebiz-CA</t>
        </is>
      </c>
      <c r="B829" s="4" t="inlineStr">
        <is>
          <t>Soebiz加拿大站</t>
        </is>
      </c>
      <c r="C829" s="4">
        <f>B829&amp;D829</f>
        <v/>
      </c>
      <c r="D829" s="4" t="inlineStr">
        <is>
          <t>SZ-B9912BG</t>
        </is>
      </c>
      <c r="E829" s="4" t="inlineStr">
        <is>
          <t>320F0099BG1</t>
        </is>
      </c>
      <c r="F829" s="4" t="inlineStr">
        <is>
          <t>99系列二功能入墙暗装淋浴龙头（顶喷+手持）拉丝钛金封油</t>
        </is>
      </c>
      <c r="G829" s="4" t="inlineStr">
        <is>
          <t>宋江</t>
        </is>
      </c>
      <c r="H829" s="4" t="inlineStr">
        <is>
          <t>暗装淋浴</t>
        </is>
      </c>
      <c r="I829" s="12" t="inlineStr">
        <is>
          <t>是</t>
        </is>
      </c>
      <c r="J829" s="34" t="n">
        <v>45169</v>
      </c>
      <c r="K829" s="34" t="n">
        <v>45230</v>
      </c>
      <c r="L829" s="0">
        <f>DATEDIF(J829,$L$1,"M")</f>
        <v/>
      </c>
      <c r="M829" s="0">
        <f>IF(L829&lt;18,"新品期",IF(L829&lt;=36,"老品期","衰退期"))</f>
        <v/>
      </c>
      <c r="N829" s="36" t="inlineStr">
        <is>
          <t>2025年9月8以前何嘉威负责</t>
        </is>
      </c>
    </row>
    <row r="830" ht="15" customFormat="1" customHeight="1" s="36">
      <c r="A830" s="4" t="inlineStr">
        <is>
          <t>soebiz-BR</t>
        </is>
      </c>
      <c r="B830" s="4" t="inlineStr">
        <is>
          <t>Soebiz巴西站</t>
        </is>
      </c>
      <c r="C830" s="4">
        <f>B830&amp;D830</f>
        <v/>
      </c>
      <c r="D830" s="4" t="inlineStr">
        <is>
          <t>SZ-B9912BG</t>
        </is>
      </c>
      <c r="E830" s="4" t="inlineStr">
        <is>
          <t>320F0099BG1</t>
        </is>
      </c>
      <c r="F830" s="4" t="inlineStr">
        <is>
          <t>99系列二功能入墙暗装淋浴龙头（顶喷+手持）拉丝钛金封油</t>
        </is>
      </c>
      <c r="G830" s="4" t="inlineStr">
        <is>
          <t>宋江</t>
        </is>
      </c>
      <c r="H830" s="4" t="inlineStr">
        <is>
          <t>暗装淋浴</t>
        </is>
      </c>
      <c r="I830" s="12" t="inlineStr">
        <is>
          <t>是</t>
        </is>
      </c>
      <c r="J830" s="34" t="n">
        <v>45169</v>
      </c>
      <c r="K830" s="34" t="n">
        <v>45230</v>
      </c>
      <c r="L830" s="0">
        <f>DATEDIF(J830,$L$1,"M")</f>
        <v/>
      </c>
      <c r="M830" s="0">
        <f>IF(L830&lt;18,"新品期",IF(L830&lt;=36,"老品期","衰退期"))</f>
        <v/>
      </c>
      <c r="N830" s="36" t="inlineStr">
        <is>
          <t>2025年9月8以前何嘉威负责</t>
        </is>
      </c>
    </row>
    <row r="831" ht="15" customFormat="1" customHeight="1" s="36">
      <c r="A831" s="4" t="inlineStr">
        <is>
          <t>soebiz-US</t>
        </is>
      </c>
      <c r="B831" s="4" t="inlineStr">
        <is>
          <t>Soebiz美国站</t>
        </is>
      </c>
      <c r="C831" s="4">
        <f>B831&amp;D831</f>
        <v/>
      </c>
      <c r="D831" s="4" t="inlineStr">
        <is>
          <t>SZ-B9912BK</t>
        </is>
      </c>
      <c r="E831" s="4" t="inlineStr">
        <is>
          <t>320F0099BK1</t>
        </is>
      </c>
      <c r="F831" s="4" t="inlineStr">
        <is>
          <t>99系列二功能入墙暗装淋浴龙头（顶喷+手持）电泳黑</t>
        </is>
      </c>
      <c r="G831" s="4" t="inlineStr">
        <is>
          <t>宋江</t>
        </is>
      </c>
      <c r="H831" s="4" t="inlineStr">
        <is>
          <t>暗装淋浴</t>
        </is>
      </c>
      <c r="I831" s="12" t="inlineStr">
        <is>
          <t>是</t>
        </is>
      </c>
      <c r="J831" s="34" t="n">
        <v>45169</v>
      </c>
      <c r="K831" s="34" t="n">
        <v>45230</v>
      </c>
      <c r="L831" s="0">
        <f>DATEDIF(J831,$L$1,"M")</f>
        <v/>
      </c>
      <c r="M831" s="0">
        <f>IF(L831&lt;18,"新品期",IF(L831&lt;=36,"老品期","衰退期"))</f>
        <v/>
      </c>
      <c r="N831" s="36" t="inlineStr">
        <is>
          <t>2025年9月8以前何嘉威负责</t>
        </is>
      </c>
    </row>
    <row r="832" ht="15" customFormat="1" customHeight="1" s="36">
      <c r="A832" s="4" t="inlineStr">
        <is>
          <t>soebiz-US</t>
        </is>
      </c>
      <c r="B832" s="4" t="inlineStr">
        <is>
          <t>Soebiz美国站</t>
        </is>
      </c>
      <c r="C832" s="4">
        <f>B832&amp;D832</f>
        <v/>
      </c>
      <c r="D832" s="4" t="inlineStr">
        <is>
          <t>SZ-B9912BN</t>
        </is>
      </c>
      <c r="E832" s="4" t="inlineStr">
        <is>
          <t>320F0099BN1</t>
        </is>
      </c>
      <c r="F832" s="4" t="inlineStr">
        <is>
          <t>99系列二功能入墙暗装淋浴龙头（顶喷+手持）拉丝封油</t>
        </is>
      </c>
      <c r="G832" s="4" t="inlineStr">
        <is>
          <t>宋江</t>
        </is>
      </c>
      <c r="H832" s="4" t="inlineStr">
        <is>
          <t>暗装淋浴</t>
        </is>
      </c>
      <c r="I832" s="12" t="inlineStr">
        <is>
          <t>是</t>
        </is>
      </c>
      <c r="J832" s="34" t="n">
        <v>45169</v>
      </c>
      <c r="K832" s="34" t="n">
        <v>45230</v>
      </c>
      <c r="L832" s="0">
        <f>DATEDIF(J832,$L$1,"M")</f>
        <v/>
      </c>
      <c r="M832" s="0">
        <f>IF(L832&lt;18,"新品期",IF(L832&lt;=36,"老品期","衰退期"))</f>
        <v/>
      </c>
      <c r="N832" s="36" t="inlineStr">
        <is>
          <t>2025年9月8以前何嘉威负责</t>
        </is>
      </c>
    </row>
    <row r="833" ht="15" customFormat="1" customHeight="1" s="36">
      <c r="A833" s="4" t="inlineStr">
        <is>
          <t>soebiz-US</t>
        </is>
      </c>
      <c r="B833" s="4" t="inlineStr">
        <is>
          <t>Soebiz美国站</t>
        </is>
      </c>
      <c r="C833" s="4">
        <f>B833&amp;D833</f>
        <v/>
      </c>
      <c r="D833" s="4" t="inlineStr">
        <is>
          <t>SZ-B9912CP</t>
        </is>
      </c>
      <c r="E833" s="4" t="inlineStr">
        <is>
          <t>320F0099CP1</t>
        </is>
      </c>
      <c r="F833" s="4" t="inlineStr">
        <is>
          <t>99系列二功能入墙暗装淋浴龙头（顶喷+手持）铬</t>
        </is>
      </c>
      <c r="G833" s="4" t="inlineStr">
        <is>
          <t>宋江</t>
        </is>
      </c>
      <c r="H833" s="4" t="inlineStr">
        <is>
          <t>暗装淋浴</t>
        </is>
      </c>
      <c r="I833" s="12" t="inlineStr">
        <is>
          <t>是</t>
        </is>
      </c>
      <c r="J833" s="34" t="n">
        <v>45169</v>
      </c>
      <c r="K833" s="34" t="n">
        <v>45230</v>
      </c>
      <c r="L833" s="0">
        <f>DATEDIF(J833,$L$1,"M")</f>
        <v/>
      </c>
      <c r="M833" s="0">
        <f>IF(L833&lt;18,"新品期",IF(L833&lt;=36,"老品期","衰退期"))</f>
        <v/>
      </c>
      <c r="N833" s="36" t="inlineStr">
        <is>
          <t>2025年9月8以前何嘉威负责</t>
        </is>
      </c>
    </row>
    <row r="834" ht="15" customFormat="1" customHeight="1" s="36">
      <c r="A834" s="4" t="inlineStr">
        <is>
          <t>soebiz-US</t>
        </is>
      </c>
      <c r="B834" s="4" t="inlineStr">
        <is>
          <t>Soebiz美国站</t>
        </is>
      </c>
      <c r="C834" s="4">
        <f>B834&amp;D834</f>
        <v/>
      </c>
      <c r="D834" s="4" t="inlineStr">
        <is>
          <t>SZ-B9912ORB</t>
        </is>
      </c>
      <c r="E834" s="4" t="inlineStr">
        <is>
          <t>320F0099OB1</t>
        </is>
      </c>
      <c r="F834" s="4" t="inlineStr">
        <is>
          <t>99系列二功能入墙暗装淋浴龙头（顶喷+手持） 拉丝古铜色</t>
        </is>
      </c>
      <c r="G834" s="4" t="inlineStr">
        <is>
          <t>宋江</t>
        </is>
      </c>
      <c r="H834" s="4" t="inlineStr">
        <is>
          <t>暗装淋浴</t>
        </is>
      </c>
      <c r="I834" s="12" t="inlineStr">
        <is>
          <t>是</t>
        </is>
      </c>
      <c r="J834" s="34" t="n">
        <v>45169</v>
      </c>
      <c r="K834" s="34" t="n">
        <v>45230</v>
      </c>
      <c r="L834" s="0">
        <f>DATEDIF(J834,$L$1,"M")</f>
        <v/>
      </c>
      <c r="M834" s="0">
        <f>IF(L834&lt;18,"新品期",IF(L834&lt;=36,"老品期","衰退期"))</f>
        <v/>
      </c>
      <c r="N834" s="36" t="inlineStr">
        <is>
          <t>2025年9月8以前何嘉威负责</t>
        </is>
      </c>
    </row>
    <row r="835" ht="15" customFormat="1" customHeight="1" s="36">
      <c r="A835" s="4" t="inlineStr">
        <is>
          <t>WINKEAR-US</t>
        </is>
      </c>
      <c r="B835" s="4" t="inlineStr">
        <is>
          <t>Winkear美国站</t>
        </is>
      </c>
      <c r="C835" s="4">
        <f>B835&amp;D835</f>
        <v/>
      </c>
      <c r="D835" s="4" t="inlineStr">
        <is>
          <t>L2201-BK</t>
        </is>
      </c>
      <c r="E835" s="4" t="inlineStr">
        <is>
          <t>110F0022BK1</t>
        </is>
      </c>
      <c r="F835" s="4" t="inlineStr">
        <is>
          <t>22系列矮身单孔正开面盆龙头电泳黑</t>
        </is>
      </c>
      <c r="G835" s="4" t="inlineStr">
        <is>
          <t>童劲威</t>
        </is>
      </c>
      <c r="H835" s="4" t="inlineStr">
        <is>
          <t>面盆</t>
        </is>
      </c>
      <c r="I835" s="12" t="inlineStr">
        <is>
          <t>否</t>
        </is>
      </c>
      <c r="J835" s="34" t="n">
        <v>44712</v>
      </c>
      <c r="K835" s="34" t="n">
        <v>44712</v>
      </c>
      <c r="L835" s="0">
        <f>DATEDIF(J835,$L$1,"M")</f>
        <v/>
      </c>
      <c r="M835" s="0">
        <f>IF(L835&lt;18,"新品期",IF(L835&lt;=36,"老品期","衰退期"))</f>
        <v/>
      </c>
    </row>
    <row r="836" ht="15" customFormat="1" customHeight="1" s="36">
      <c r="A836" s="4" t="inlineStr">
        <is>
          <t>WINKEAR-US</t>
        </is>
      </c>
      <c r="B836" s="4" t="inlineStr">
        <is>
          <t>Winkear美国站</t>
        </is>
      </c>
      <c r="C836" s="4">
        <f>B836&amp;D836</f>
        <v/>
      </c>
      <c r="D836" s="4" t="inlineStr">
        <is>
          <t>L2201-BN</t>
        </is>
      </c>
      <c r="E836" s="4" t="inlineStr">
        <is>
          <t>110F0022BN1</t>
        </is>
      </c>
      <c r="F836" s="4" t="inlineStr">
        <is>
          <t>22系列矮身单孔正开面盆龙头拉丝封油</t>
        </is>
      </c>
      <c r="G836" s="4" t="inlineStr">
        <is>
          <t>童劲威</t>
        </is>
      </c>
      <c r="H836" s="4" t="inlineStr">
        <is>
          <t>面盆</t>
        </is>
      </c>
      <c r="I836" s="12" t="inlineStr">
        <is>
          <t>否</t>
        </is>
      </c>
      <c r="J836" s="34" t="n">
        <v>44712</v>
      </c>
      <c r="K836" s="34" t="n">
        <v>44712</v>
      </c>
      <c r="L836" s="0">
        <f>DATEDIF(J836,$L$1,"M")</f>
        <v/>
      </c>
      <c r="M836" s="0">
        <f>IF(L836&lt;18,"新品期",IF(L836&lt;=36,"老品期","衰退期"))</f>
        <v/>
      </c>
    </row>
    <row r="837" ht="15" customFormat="1" customHeight="1" s="36">
      <c r="A837" s="4" t="inlineStr">
        <is>
          <t>WINKEAR-US</t>
        </is>
      </c>
      <c r="B837" s="4" t="inlineStr">
        <is>
          <t>Winkear美国站</t>
        </is>
      </c>
      <c r="C837" s="4">
        <f>B837&amp;D837</f>
        <v/>
      </c>
      <c r="D837" s="4" t="inlineStr">
        <is>
          <t>L2201-CP</t>
        </is>
      </c>
      <c r="E837" s="4" t="inlineStr">
        <is>
          <t>110F0022CP1</t>
        </is>
      </c>
      <c r="F837" s="4" t="inlineStr">
        <is>
          <t>22系列矮身单孔正开面盆龙头铬</t>
        </is>
      </c>
      <c r="G837" s="4" t="inlineStr">
        <is>
          <t>童劲威</t>
        </is>
      </c>
      <c r="H837" s="4" t="inlineStr">
        <is>
          <t>面盆</t>
        </is>
      </c>
      <c r="I837" s="12" t="inlineStr">
        <is>
          <t>否</t>
        </is>
      </c>
      <c r="J837" s="34" t="n">
        <v>44712</v>
      </c>
      <c r="K837" s="34" t="n">
        <v>44712</v>
      </c>
      <c r="L837" s="0">
        <f>DATEDIF(J837,$L$1,"M")</f>
        <v/>
      </c>
      <c r="M837" s="0">
        <f>IF(L837&lt;18,"新品期",IF(L837&lt;=36,"老品期","衰退期"))</f>
        <v/>
      </c>
    </row>
    <row r="838" ht="15" customFormat="1" customHeight="1" s="36">
      <c r="A838" s="4" t="inlineStr">
        <is>
          <t>WINKEAR-US</t>
        </is>
      </c>
      <c r="B838" s="4" t="inlineStr">
        <is>
          <t>Winkear美国站</t>
        </is>
      </c>
      <c r="C838" s="4">
        <f>B838&amp;D838</f>
        <v/>
      </c>
      <c r="D838" s="4" t="inlineStr">
        <is>
          <t>L2201-HBG</t>
        </is>
      </c>
      <c r="E838" s="4" t="inlineStr">
        <is>
          <t>110F0022BG3</t>
        </is>
      </c>
      <c r="F838" s="4" t="inlineStr">
        <is>
          <t>L2201面盆龙头拉丝锆金封油</t>
        </is>
      </c>
      <c r="G838" s="4" t="inlineStr">
        <is>
          <t>童劲威</t>
        </is>
      </c>
      <c r="H838" s="4" t="inlineStr">
        <is>
          <t>面盆</t>
        </is>
      </c>
      <c r="I838" s="12" t="inlineStr">
        <is>
          <t>否</t>
        </is>
      </c>
      <c r="J838" s="34" t="n">
        <v>44712</v>
      </c>
      <c r="K838" s="34" t="n">
        <v>44712</v>
      </c>
      <c r="L838" s="0">
        <f>DATEDIF(J838,$L$1,"M")</f>
        <v/>
      </c>
      <c r="M838" s="0">
        <f>IF(L838&lt;18,"新品期",IF(L838&lt;=36,"老品期","衰退期"))</f>
        <v/>
      </c>
    </row>
    <row r="839" ht="15" customFormat="1" customHeight="1" s="36">
      <c r="A839" s="4" t="inlineStr">
        <is>
          <t>WINKEAR-US</t>
        </is>
      </c>
      <c r="B839" s="4" t="inlineStr">
        <is>
          <t>Winkear美国站</t>
        </is>
      </c>
      <c r="C839" s="4">
        <f>B839&amp;D839</f>
        <v/>
      </c>
      <c r="D839" s="4" t="inlineStr">
        <is>
          <t>L2201-ORB</t>
        </is>
      </c>
      <c r="E839" s="4" t="inlineStr">
        <is>
          <t>110F0022OB1</t>
        </is>
      </c>
      <c r="F839" s="4" t="inlineStr">
        <is>
          <t>22系列矮身单孔正开面盆龙头拉丝古铜色</t>
        </is>
      </c>
      <c r="G839" s="4" t="inlineStr">
        <is>
          <t>童劲威</t>
        </is>
      </c>
      <c r="H839" s="4" t="inlineStr">
        <is>
          <t>面盆</t>
        </is>
      </c>
      <c r="I839" s="12" t="inlineStr">
        <is>
          <t>否</t>
        </is>
      </c>
      <c r="J839" s="34" t="n">
        <v>44712</v>
      </c>
      <c r="K839" s="34" t="n">
        <v>44712</v>
      </c>
      <c r="L839" s="0">
        <f>DATEDIF(J839,$L$1,"M")</f>
        <v/>
      </c>
      <c r="M839" s="0">
        <f>IF(L839&lt;18,"新品期",IF(L839&lt;=36,"老品期","衰退期"))</f>
        <v/>
      </c>
    </row>
    <row r="840" ht="15" customFormat="1" customHeight="1" s="36">
      <c r="A840" s="4" t="inlineStr">
        <is>
          <t>WINKEAR-US</t>
        </is>
      </c>
      <c r="B840" s="4" t="inlineStr">
        <is>
          <t>Winkear美国站</t>
        </is>
      </c>
      <c r="C840" s="4">
        <f>B840&amp;D840</f>
        <v/>
      </c>
      <c r="D840" s="4" t="inlineStr">
        <is>
          <t>L2202-BG</t>
        </is>
      </c>
      <c r="E840" s="4" t="inlineStr">
        <is>
          <t>120F0022BG1</t>
        </is>
      </c>
      <c r="F840" s="4" t="inlineStr">
        <is>
          <t>22系列高身单孔正开面盆龙头拉丝钛金封油</t>
        </is>
      </c>
      <c r="G840" s="4" t="inlineStr">
        <is>
          <t>童劲威</t>
        </is>
      </c>
      <c r="H840" s="4" t="inlineStr">
        <is>
          <t>面盆</t>
        </is>
      </c>
      <c r="I840" s="12" t="inlineStr">
        <is>
          <t>否</t>
        </is>
      </c>
      <c r="J840" s="34" t="n">
        <v>44712</v>
      </c>
      <c r="K840" s="34" t="n">
        <v>44712</v>
      </c>
      <c r="L840" s="0">
        <f>DATEDIF(J840,$L$1,"M")</f>
        <v/>
      </c>
      <c r="M840" s="0">
        <f>IF(L840&lt;18,"新品期",IF(L840&lt;=36,"老品期","衰退期"))</f>
        <v/>
      </c>
    </row>
    <row r="841" ht="15" customFormat="1" customHeight="1" s="36">
      <c r="A841" s="4" t="inlineStr">
        <is>
          <t>WINKEAR-US</t>
        </is>
      </c>
      <c r="B841" s="4" t="inlineStr">
        <is>
          <t>Winkear美国站</t>
        </is>
      </c>
      <c r="C841" s="4">
        <f>B841&amp;D841</f>
        <v/>
      </c>
      <c r="D841" s="4" t="inlineStr">
        <is>
          <t>L2202-BK</t>
        </is>
      </c>
      <c r="E841" s="4" t="inlineStr">
        <is>
          <t>120F0022BK1</t>
        </is>
      </c>
      <c r="F841" s="4" t="inlineStr">
        <is>
          <t>22系列高身单孔正开面盆龙头电泳黑</t>
        </is>
      </c>
      <c r="G841" s="4" t="inlineStr">
        <is>
          <t>童劲威</t>
        </is>
      </c>
      <c r="H841" s="4" t="inlineStr">
        <is>
          <t>面盆</t>
        </is>
      </c>
      <c r="I841" s="12" t="inlineStr">
        <is>
          <t>否</t>
        </is>
      </c>
      <c r="J841" s="34" t="n">
        <v>44712</v>
      </c>
      <c r="K841" s="34" t="n">
        <v>44712</v>
      </c>
      <c r="L841" s="0">
        <f>DATEDIF(J841,$L$1,"M")</f>
        <v/>
      </c>
      <c r="M841" s="0">
        <f>IF(L841&lt;18,"新品期",IF(L841&lt;=36,"老品期","衰退期"))</f>
        <v/>
      </c>
    </row>
    <row r="842" ht="15" customFormat="1" customHeight="1" s="36">
      <c r="A842" s="4" t="inlineStr">
        <is>
          <t>WINKEAR-US</t>
        </is>
      </c>
      <c r="B842" s="4" t="inlineStr">
        <is>
          <t>Winkear美国站</t>
        </is>
      </c>
      <c r="C842" s="4">
        <f>B842&amp;D842</f>
        <v/>
      </c>
      <c r="D842" s="4" t="inlineStr">
        <is>
          <t>L2202-BN</t>
        </is>
      </c>
      <c r="E842" s="4" t="inlineStr">
        <is>
          <t>120F0022BN1</t>
        </is>
      </c>
      <c r="F842" s="4" t="inlineStr">
        <is>
          <t>22系列高身单孔正开面盆龙头拉丝封油</t>
        </is>
      </c>
      <c r="G842" s="4" t="inlineStr">
        <is>
          <t>童劲威</t>
        </is>
      </c>
      <c r="H842" s="4" t="inlineStr">
        <is>
          <t>面盆</t>
        </is>
      </c>
      <c r="I842" s="12" t="inlineStr">
        <is>
          <t>否</t>
        </is>
      </c>
      <c r="J842" s="34" t="n">
        <v>44712</v>
      </c>
      <c r="K842" s="34" t="n">
        <v>44712</v>
      </c>
      <c r="L842" s="0">
        <f>DATEDIF(J842,$L$1,"M")</f>
        <v/>
      </c>
      <c r="M842" s="0">
        <f>IF(L842&lt;18,"新品期",IF(L842&lt;=36,"老品期","衰退期"))</f>
        <v/>
      </c>
    </row>
    <row r="843" ht="15" customFormat="1" customHeight="1" s="36">
      <c r="A843" s="4" t="inlineStr">
        <is>
          <t>WINKEAR-US</t>
        </is>
      </c>
      <c r="B843" s="4" t="inlineStr">
        <is>
          <t>Winkear美国站</t>
        </is>
      </c>
      <c r="C843" s="4">
        <f>B843&amp;D843</f>
        <v/>
      </c>
      <c r="D843" s="4" t="inlineStr">
        <is>
          <t>L2202-CP</t>
        </is>
      </c>
      <c r="E843" s="4" t="inlineStr">
        <is>
          <t>120F0022CP1</t>
        </is>
      </c>
      <c r="F843" s="4" t="inlineStr">
        <is>
          <t>22系列高身单孔正开面盆龙头铬</t>
        </is>
      </c>
      <c r="G843" s="4" t="inlineStr">
        <is>
          <t>童劲威</t>
        </is>
      </c>
      <c r="H843" s="4" t="inlineStr">
        <is>
          <t>面盆</t>
        </is>
      </c>
      <c r="I843" s="12" t="inlineStr">
        <is>
          <t>否</t>
        </is>
      </c>
      <c r="J843" s="34" t="n">
        <v>44712</v>
      </c>
      <c r="K843" s="34" t="n">
        <v>44712</v>
      </c>
      <c r="L843" s="0">
        <f>DATEDIF(J843,$L$1,"M")</f>
        <v/>
      </c>
      <c r="M843" s="0">
        <f>IF(L843&lt;18,"新品期",IF(L843&lt;=36,"老品期","衰退期"))</f>
        <v/>
      </c>
    </row>
    <row r="844" ht="15" customFormat="1" customHeight="1" s="36">
      <c r="A844" s="4" t="inlineStr">
        <is>
          <t>WINKEAR-US</t>
        </is>
      </c>
      <c r="B844" s="4" t="inlineStr">
        <is>
          <t>Winkear美国站</t>
        </is>
      </c>
      <c r="C844" s="4">
        <f>B844&amp;D844</f>
        <v/>
      </c>
      <c r="D844" s="4" t="inlineStr">
        <is>
          <t>L2202-ORB</t>
        </is>
      </c>
      <c r="E844" s="4" t="inlineStr">
        <is>
          <t>120F0022OB1</t>
        </is>
      </c>
      <c r="F844" s="4" t="inlineStr">
        <is>
          <t>22系列高身单孔正开面盆龙头拉丝古铜色</t>
        </is>
      </c>
      <c r="G844" s="4" t="inlineStr">
        <is>
          <t>童劲威</t>
        </is>
      </c>
      <c r="H844" s="4" t="inlineStr">
        <is>
          <t>面盆</t>
        </is>
      </c>
      <c r="I844" s="12" t="inlineStr">
        <is>
          <t>否</t>
        </is>
      </c>
      <c r="J844" s="34" t="n">
        <v>44712</v>
      </c>
      <c r="K844" s="34" t="n">
        <v>44712</v>
      </c>
      <c r="L844" s="0">
        <f>DATEDIF(J844,$L$1,"M")</f>
        <v/>
      </c>
      <c r="M844" s="0">
        <f>IF(L844&lt;18,"新品期",IF(L844&lt;=36,"老品期","衰退期"))</f>
        <v/>
      </c>
    </row>
    <row r="845" ht="15" customFormat="1" customHeight="1" s="36">
      <c r="A845" s="4" t="inlineStr">
        <is>
          <t>WINKEAR-US</t>
        </is>
      </c>
      <c r="B845" s="4" t="inlineStr">
        <is>
          <t>Winkear美国站</t>
        </is>
      </c>
      <c r="C845" s="4">
        <f>B845&amp;D845</f>
        <v/>
      </c>
      <c r="D845" s="4" t="inlineStr">
        <is>
          <t>L2203-BG</t>
        </is>
      </c>
      <c r="E845" s="4" t="inlineStr">
        <is>
          <t>130F0022BG1</t>
        </is>
      </c>
      <c r="F845" s="4" t="inlineStr">
        <is>
          <t>22系列四寸连体面盆龙头拉丝钛金封油</t>
        </is>
      </c>
      <c r="G845" s="4" t="inlineStr">
        <is>
          <t>童劲威</t>
        </is>
      </c>
      <c r="H845" s="4" t="inlineStr">
        <is>
          <t>面盆</t>
        </is>
      </c>
      <c r="I845" s="12" t="inlineStr">
        <is>
          <t>否</t>
        </is>
      </c>
      <c r="J845" s="34" t="n">
        <v>44706</v>
      </c>
      <c r="K845" s="34" t="n">
        <v>44706</v>
      </c>
      <c r="L845" s="0">
        <f>DATEDIF(J845,$L$1,"M")</f>
        <v/>
      </c>
      <c r="M845" s="0">
        <f>IF(L845&lt;18,"新品期",IF(L845&lt;=36,"老品期","衰退期"))</f>
        <v/>
      </c>
    </row>
    <row r="846" ht="15" customFormat="1" customHeight="1" s="36">
      <c r="A846" s="4" t="inlineStr">
        <is>
          <t>WINKEAR-US</t>
        </is>
      </c>
      <c r="B846" s="4" t="inlineStr">
        <is>
          <t>Winkear美国站</t>
        </is>
      </c>
      <c r="C846" s="4">
        <f>B846&amp;D846</f>
        <v/>
      </c>
      <c r="D846" s="4" t="inlineStr">
        <is>
          <t>L2203-BK</t>
        </is>
      </c>
      <c r="E846" s="4" t="inlineStr">
        <is>
          <t>130F0022BK1</t>
        </is>
      </c>
      <c r="F846" s="4" t="inlineStr">
        <is>
          <t>22系列四寸连体面盆龙头电泳黑</t>
        </is>
      </c>
      <c r="G846" s="4" t="inlineStr">
        <is>
          <t>童劲威</t>
        </is>
      </c>
      <c r="H846" s="4" t="inlineStr">
        <is>
          <t>面盆</t>
        </is>
      </c>
      <c r="I846" s="12" t="inlineStr">
        <is>
          <t>否</t>
        </is>
      </c>
      <c r="J846" s="34" t="n">
        <v>44706</v>
      </c>
      <c r="K846" s="34" t="n">
        <v>44706</v>
      </c>
      <c r="L846" s="0">
        <f>DATEDIF(J846,$L$1,"M")</f>
        <v/>
      </c>
      <c r="M846" s="0">
        <f>IF(L846&lt;18,"新品期",IF(L846&lt;=36,"老品期","衰退期"))</f>
        <v/>
      </c>
    </row>
    <row r="847" ht="15" customFormat="1" customHeight="1" s="36">
      <c r="A847" s="4" t="inlineStr">
        <is>
          <t>WINKEAR-US</t>
        </is>
      </c>
      <c r="B847" s="4" t="inlineStr">
        <is>
          <t>Winkear美国站</t>
        </is>
      </c>
      <c r="C847" s="4">
        <f>B847&amp;D847</f>
        <v/>
      </c>
      <c r="D847" s="4" t="inlineStr">
        <is>
          <t>L2203-BN</t>
        </is>
      </c>
      <c r="E847" s="4" t="inlineStr">
        <is>
          <t>130F0022BN1</t>
        </is>
      </c>
      <c r="F847" s="4" t="inlineStr">
        <is>
          <t>22系列四寸连体面盆龙头拉丝封油</t>
        </is>
      </c>
      <c r="G847" s="4" t="inlineStr">
        <is>
          <t>童劲威</t>
        </is>
      </c>
      <c r="H847" s="4" t="inlineStr">
        <is>
          <t>面盆</t>
        </is>
      </c>
      <c r="I847" s="12" t="inlineStr">
        <is>
          <t>否</t>
        </is>
      </c>
      <c r="J847" s="34" t="n">
        <v>44706</v>
      </c>
      <c r="K847" s="34" t="n">
        <v>44706</v>
      </c>
      <c r="L847" s="0">
        <f>DATEDIF(J847,$L$1,"M")</f>
        <v/>
      </c>
      <c r="M847" s="0">
        <f>IF(L847&lt;18,"新品期",IF(L847&lt;=36,"老品期","衰退期"))</f>
        <v/>
      </c>
    </row>
    <row r="848" ht="15" customFormat="1" customHeight="1" s="36">
      <c r="A848" s="4" t="inlineStr">
        <is>
          <t>WINKEAR-US</t>
        </is>
      </c>
      <c r="B848" s="4" t="inlineStr">
        <is>
          <t>Winkear美国站</t>
        </is>
      </c>
      <c r="C848" s="4">
        <f>B848&amp;D848</f>
        <v/>
      </c>
      <c r="D848" s="4" t="inlineStr">
        <is>
          <t>L2203-CP</t>
        </is>
      </c>
      <c r="E848" s="4" t="inlineStr">
        <is>
          <t>130F0022CP1</t>
        </is>
      </c>
      <c r="F848" s="4" t="inlineStr">
        <is>
          <t>22系列四寸连体面盆龙头铬</t>
        </is>
      </c>
      <c r="G848" s="4" t="inlineStr">
        <is>
          <t>童劲威</t>
        </is>
      </c>
      <c r="H848" s="4" t="inlineStr">
        <is>
          <t>面盆</t>
        </is>
      </c>
      <c r="I848" s="12" t="inlineStr">
        <is>
          <t>否</t>
        </is>
      </c>
      <c r="J848" s="34" t="n">
        <v>44706</v>
      </c>
      <c r="K848" s="34" t="n">
        <v>44706</v>
      </c>
      <c r="L848" s="0">
        <f>DATEDIF(J848,$L$1,"M")</f>
        <v/>
      </c>
      <c r="M848" s="0">
        <f>IF(L848&lt;18,"新品期",IF(L848&lt;=36,"老品期","衰退期"))</f>
        <v/>
      </c>
    </row>
    <row r="849" ht="15" customFormat="1" customHeight="1" s="36">
      <c r="A849" s="4" t="inlineStr">
        <is>
          <t>WINKEAR-US</t>
        </is>
      </c>
      <c r="B849" s="4" t="inlineStr">
        <is>
          <t>Winkear美国站</t>
        </is>
      </c>
      <c r="C849" s="4">
        <f>B849&amp;D849</f>
        <v/>
      </c>
      <c r="D849" s="4" t="inlineStr">
        <is>
          <t>L2203-ORB</t>
        </is>
      </c>
      <c r="E849" s="4" t="inlineStr">
        <is>
          <t>130F0022OB1</t>
        </is>
      </c>
      <c r="F849" s="4" t="inlineStr">
        <is>
          <t>22系列四寸连体面盆龙头拉丝古铜色</t>
        </is>
      </c>
      <c r="G849" s="4" t="inlineStr">
        <is>
          <t>童劲威</t>
        </is>
      </c>
      <c r="H849" s="4" t="inlineStr">
        <is>
          <t>面盆</t>
        </is>
      </c>
      <c r="I849" s="12" t="inlineStr">
        <is>
          <t>否</t>
        </is>
      </c>
      <c r="J849" s="34" t="n">
        <v>44706</v>
      </c>
      <c r="K849" s="34" t="n">
        <v>44706</v>
      </c>
      <c r="L849" s="0">
        <f>DATEDIF(J849,$L$1,"M")</f>
        <v/>
      </c>
      <c r="M849" s="0">
        <f>IF(L849&lt;18,"新品期",IF(L849&lt;=36,"老品期","衰退期"))</f>
        <v/>
      </c>
    </row>
    <row r="850" ht="15" customFormat="1" customHeight="1" s="36">
      <c r="A850" s="4" t="inlineStr">
        <is>
          <t>WINKEAR-US</t>
        </is>
      </c>
      <c r="B850" s="4" t="inlineStr">
        <is>
          <t>Winkear美国站</t>
        </is>
      </c>
      <c r="C850" s="4">
        <f>B850&amp;D850</f>
        <v/>
      </c>
      <c r="D850" s="4" t="inlineStr">
        <is>
          <t>L2204-BG</t>
        </is>
      </c>
      <c r="E850" s="4" t="inlineStr">
        <is>
          <t>140F0022BG1</t>
        </is>
      </c>
      <c r="F850" s="4" t="inlineStr">
        <is>
          <t>22系列四寸分体面盆龙头拉丝钛金封油</t>
        </is>
      </c>
      <c r="G850" s="4" t="inlineStr">
        <is>
          <t>童劲威</t>
        </is>
      </c>
      <c r="H850" s="4" t="inlineStr">
        <is>
          <t>面盆</t>
        </is>
      </c>
      <c r="I850" s="12" t="inlineStr">
        <is>
          <t>否</t>
        </is>
      </c>
      <c r="J850" s="34" t="n">
        <v>44757</v>
      </c>
      <c r="K850" s="34" t="n">
        <v>44757</v>
      </c>
      <c r="L850" s="0">
        <f>DATEDIF(J850,$L$1,"M")</f>
        <v/>
      </c>
      <c r="M850" s="0">
        <f>IF(L850&lt;18,"新品期",IF(L850&lt;=36,"老品期","衰退期"))</f>
        <v/>
      </c>
    </row>
    <row r="851" ht="15" customFormat="1" customHeight="1" s="36">
      <c r="A851" s="4" t="inlineStr">
        <is>
          <t>WINKEAR-US</t>
        </is>
      </c>
      <c r="B851" s="4" t="inlineStr">
        <is>
          <t>Winkear美国站</t>
        </is>
      </c>
      <c r="C851" s="4">
        <f>B851&amp;D851</f>
        <v/>
      </c>
      <c r="D851" s="4" t="inlineStr">
        <is>
          <t>L2204-BK</t>
        </is>
      </c>
      <c r="E851" s="4" t="inlineStr">
        <is>
          <t>140F0022BK1</t>
        </is>
      </c>
      <c r="F851" s="4" t="inlineStr">
        <is>
          <t>22系列四寸分体面盆龙头电泳黑</t>
        </is>
      </c>
      <c r="G851" s="4" t="inlineStr">
        <is>
          <t>童劲威</t>
        </is>
      </c>
      <c r="H851" s="4" t="inlineStr">
        <is>
          <t>面盆</t>
        </is>
      </c>
      <c r="I851" s="12" t="inlineStr">
        <is>
          <t>否</t>
        </is>
      </c>
      <c r="J851" s="34" t="n">
        <v>44757</v>
      </c>
      <c r="K851" s="34" t="n">
        <v>44757</v>
      </c>
      <c r="L851" s="0">
        <f>DATEDIF(J851,$L$1,"M")</f>
        <v/>
      </c>
      <c r="M851" s="0">
        <f>IF(L851&lt;18,"新品期",IF(L851&lt;=36,"老品期","衰退期"))</f>
        <v/>
      </c>
    </row>
    <row r="852" ht="15" customFormat="1" customHeight="1" s="36">
      <c r="A852" s="4" t="inlineStr">
        <is>
          <t>WINKEAR-US</t>
        </is>
      </c>
      <c r="B852" s="4" t="inlineStr">
        <is>
          <t>Winkear美国站</t>
        </is>
      </c>
      <c r="C852" s="4">
        <f>B852&amp;D852</f>
        <v/>
      </c>
      <c r="D852" s="4" t="inlineStr">
        <is>
          <t>L2204-BN</t>
        </is>
      </c>
      <c r="E852" s="4" t="inlineStr">
        <is>
          <t>140F0022BN1</t>
        </is>
      </c>
      <c r="F852" s="4" t="inlineStr">
        <is>
          <t>22系列四寸分体面盆龙头拉丝封油</t>
        </is>
      </c>
      <c r="G852" s="4" t="inlineStr">
        <is>
          <t>童劲威</t>
        </is>
      </c>
      <c r="H852" s="4" t="inlineStr">
        <is>
          <t>面盆</t>
        </is>
      </c>
      <c r="I852" s="12" t="inlineStr">
        <is>
          <t>否</t>
        </is>
      </c>
      <c r="J852" s="34" t="n">
        <v>44757</v>
      </c>
      <c r="K852" s="34" t="n">
        <v>44757</v>
      </c>
      <c r="L852" s="0">
        <f>DATEDIF(J852,$L$1,"M")</f>
        <v/>
      </c>
      <c r="M852" s="0">
        <f>IF(L852&lt;18,"新品期",IF(L852&lt;=36,"老品期","衰退期"))</f>
        <v/>
      </c>
    </row>
    <row r="853" ht="15" customFormat="1" customHeight="1" s="36">
      <c r="A853" s="4" t="inlineStr">
        <is>
          <t>WINKEAR-US</t>
        </is>
      </c>
      <c r="B853" s="4" t="inlineStr">
        <is>
          <t>Winkear美国站</t>
        </is>
      </c>
      <c r="C853" s="4">
        <f>B853&amp;D853</f>
        <v/>
      </c>
      <c r="D853" s="4" t="inlineStr">
        <is>
          <t>L2204-CP</t>
        </is>
      </c>
      <c r="E853" s="4" t="inlineStr">
        <is>
          <t>140F0022CP1</t>
        </is>
      </c>
      <c r="F853" s="4" t="inlineStr">
        <is>
          <t>22系列四寸分体面盆龙头铬</t>
        </is>
      </c>
      <c r="G853" s="4" t="inlineStr">
        <is>
          <t>童劲威</t>
        </is>
      </c>
      <c r="H853" s="4" t="inlineStr">
        <is>
          <t>面盆</t>
        </is>
      </c>
      <c r="I853" s="12" t="inlineStr">
        <is>
          <t>否</t>
        </is>
      </c>
      <c r="J853" s="34" t="n">
        <v>44757</v>
      </c>
      <c r="K853" s="34" t="n">
        <v>44757</v>
      </c>
      <c r="L853" s="0">
        <f>DATEDIF(J853,$L$1,"M")</f>
        <v/>
      </c>
      <c r="M853" s="0">
        <f>IF(L853&lt;18,"新品期",IF(L853&lt;=36,"老品期","衰退期"))</f>
        <v/>
      </c>
    </row>
    <row r="854" ht="15" customFormat="1" customHeight="1" s="36">
      <c r="A854" s="4" t="inlineStr">
        <is>
          <t>WINKEAR-US</t>
        </is>
      </c>
      <c r="B854" s="4" t="inlineStr">
        <is>
          <t>Winkear美国站</t>
        </is>
      </c>
      <c r="C854" s="4">
        <f>B854&amp;D854</f>
        <v/>
      </c>
      <c r="D854" s="4" t="inlineStr">
        <is>
          <t>L2204-ORB</t>
        </is>
      </c>
      <c r="E854" s="4" t="inlineStr">
        <is>
          <t>140F0022OB1</t>
        </is>
      </c>
      <c r="F854" s="4" t="inlineStr">
        <is>
          <t>22系列四寸分体面盆龙头拉丝古铜色</t>
        </is>
      </c>
      <c r="G854" s="4" t="inlineStr">
        <is>
          <t>童劲威</t>
        </is>
      </c>
      <c r="H854" s="4" t="inlineStr">
        <is>
          <t>面盆</t>
        </is>
      </c>
      <c r="I854" s="12" t="inlineStr">
        <is>
          <t>否</t>
        </is>
      </c>
      <c r="J854" s="34" t="n">
        <v>44757</v>
      </c>
      <c r="K854" s="34" t="n">
        <v>44757</v>
      </c>
      <c r="L854" s="0">
        <f>DATEDIF(J854,$L$1,"M")</f>
        <v/>
      </c>
      <c r="M854" s="0">
        <f>IF(L854&lt;18,"新品期",IF(L854&lt;=36,"老品期","衰退期"))</f>
        <v/>
      </c>
    </row>
    <row r="855" ht="15" customFormat="1" customHeight="1" s="36">
      <c r="A855" s="4" t="inlineStr">
        <is>
          <t>WINKEAR-US</t>
        </is>
      </c>
      <c r="B855" s="4" t="inlineStr">
        <is>
          <t>Winkear美国站</t>
        </is>
      </c>
      <c r="C855" s="4">
        <f>B855&amp;D855</f>
        <v/>
      </c>
      <c r="D855" s="4" t="inlineStr">
        <is>
          <t>L2205-BG</t>
        </is>
      </c>
      <c r="E855" s="4" t="inlineStr">
        <is>
          <t>150F0022BG1</t>
        </is>
      </c>
      <c r="F855" s="4" t="inlineStr">
        <is>
          <t>22系列入墙面盆龙头拉丝钛金封油</t>
        </is>
      </c>
      <c r="G855" s="4" t="inlineStr">
        <is>
          <t>童劲威</t>
        </is>
      </c>
      <c r="H855" s="4" t="inlineStr">
        <is>
          <t>面盆</t>
        </is>
      </c>
      <c r="I855" s="12" t="inlineStr">
        <is>
          <t>是</t>
        </is>
      </c>
      <c r="J855" s="34" t="n">
        <v>44786</v>
      </c>
      <c r="K855" s="34" t="n">
        <v>44786</v>
      </c>
      <c r="L855" s="0">
        <f>DATEDIF(J855,$L$1,"M")</f>
        <v/>
      </c>
      <c r="M855" s="0">
        <f>IF(L855&lt;18,"新品期",IF(L855&lt;=36,"老品期","衰退期"))</f>
        <v/>
      </c>
    </row>
    <row r="856" ht="15" customFormat="1" customHeight="1" s="36">
      <c r="A856" s="4" t="inlineStr">
        <is>
          <t>WINKEAR-US</t>
        </is>
      </c>
      <c r="B856" s="4" t="inlineStr">
        <is>
          <t>Winkear美国站</t>
        </is>
      </c>
      <c r="C856" s="4">
        <f>B856&amp;D856</f>
        <v/>
      </c>
      <c r="D856" s="4" t="inlineStr">
        <is>
          <t>L2205-BK</t>
        </is>
      </c>
      <c r="E856" s="4" t="inlineStr">
        <is>
          <t>150F0022BK1</t>
        </is>
      </c>
      <c r="F856" s="4" t="inlineStr">
        <is>
          <t>22系列入墙面盆龙头电泳黑</t>
        </is>
      </c>
      <c r="G856" s="4" t="inlineStr">
        <is>
          <t>童劲威</t>
        </is>
      </c>
      <c r="H856" s="4" t="inlineStr">
        <is>
          <t>面盆</t>
        </is>
      </c>
      <c r="I856" s="12" t="inlineStr">
        <is>
          <t>是</t>
        </is>
      </c>
      <c r="J856" s="34" t="n">
        <v>44786</v>
      </c>
      <c r="K856" s="34" t="n">
        <v>44786</v>
      </c>
      <c r="L856" s="0">
        <f>DATEDIF(J856,$L$1,"M")</f>
        <v/>
      </c>
      <c r="M856" s="0">
        <f>IF(L856&lt;18,"新品期",IF(L856&lt;=36,"老品期","衰退期"))</f>
        <v/>
      </c>
    </row>
    <row r="857" ht="15" customFormat="1" customHeight="1" s="36">
      <c r="A857" s="4" t="inlineStr">
        <is>
          <t>tacuet-US</t>
        </is>
      </c>
      <c r="B857" s="4" t="inlineStr">
        <is>
          <t>Taucet美国站</t>
        </is>
      </c>
      <c r="C857" s="4">
        <f>B857&amp;D857</f>
        <v/>
      </c>
      <c r="D857" s="4" t="inlineStr">
        <is>
          <t>TT-9707BG</t>
        </is>
      </c>
      <c r="E857" s="4" t="inlineStr">
        <is>
          <t>221F0097BG1</t>
        </is>
      </c>
      <c r="F857" s="4" t="inlineStr">
        <is>
          <t>97系列三件套缸边浴缸龙头拉丝钛金封油</t>
        </is>
      </c>
      <c r="G857" s="4" t="inlineStr">
        <is>
          <t>胡娟娟</t>
        </is>
      </c>
      <c r="H857" s="4" t="inlineStr">
        <is>
          <t>缸边浴缸</t>
        </is>
      </c>
      <c r="I857" s="12" t="inlineStr">
        <is>
          <t>是</t>
        </is>
      </c>
      <c r="J857" s="34" t="n">
        <v>45530</v>
      </c>
      <c r="K857" s="34" t="n">
        <v>45530</v>
      </c>
      <c r="L857" s="0">
        <f>DATEDIF(J857,$L$1,"M")</f>
        <v/>
      </c>
      <c r="M857" s="0">
        <f>IF(L857&lt;18,"新品期",IF(L857&lt;=36,"老品期","衰退期"))</f>
        <v/>
      </c>
    </row>
    <row r="858" ht="15" customFormat="1" customHeight="1" s="36">
      <c r="A858" s="4" t="inlineStr">
        <is>
          <t>tacuet-US</t>
        </is>
      </c>
      <c r="B858" s="4" t="inlineStr">
        <is>
          <t>Taucet美国站</t>
        </is>
      </c>
      <c r="C858" s="4">
        <f>B858&amp;D858</f>
        <v/>
      </c>
      <c r="D858" s="4" t="inlineStr">
        <is>
          <t>TT-9707BK</t>
        </is>
      </c>
      <c r="E858" s="4" t="inlineStr">
        <is>
          <t>221F0097BK1</t>
        </is>
      </c>
      <c r="F858" s="4" t="inlineStr">
        <is>
          <t>97系列三件套缸边浴缸龙头电泳黑</t>
        </is>
      </c>
      <c r="G858" s="4" t="inlineStr">
        <is>
          <t>胡娟娟</t>
        </is>
      </c>
      <c r="H858" s="4" t="inlineStr">
        <is>
          <t>缸边浴缸</t>
        </is>
      </c>
      <c r="I858" s="12" t="inlineStr">
        <is>
          <t>是</t>
        </is>
      </c>
      <c r="J858" s="34" t="n">
        <v>45530</v>
      </c>
      <c r="K858" s="34" t="n">
        <v>45530</v>
      </c>
      <c r="L858" s="0">
        <f>DATEDIF(J858,$L$1,"M")</f>
        <v/>
      </c>
      <c r="M858" s="0">
        <f>IF(L858&lt;18,"新品期",IF(L858&lt;=36,"老品期","衰退期"))</f>
        <v/>
      </c>
    </row>
    <row r="859" ht="15" customFormat="1" customHeight="1" s="36">
      <c r="A859" s="4" t="inlineStr">
        <is>
          <t>tacuet-CA</t>
        </is>
      </c>
      <c r="B859" s="4" t="inlineStr">
        <is>
          <t>Taucet加拿大站</t>
        </is>
      </c>
      <c r="C859" s="4">
        <f>B859&amp;D859</f>
        <v/>
      </c>
      <c r="D859" s="4" t="inlineStr">
        <is>
          <t>TT-9707BK</t>
        </is>
      </c>
      <c r="E859" s="4" t="inlineStr">
        <is>
          <t>221F0097BK1</t>
        </is>
      </c>
      <c r="F859" s="4" t="inlineStr">
        <is>
          <t>97系列三件套缸边浴缸龙头电泳黑</t>
        </is>
      </c>
      <c r="G859" s="4" t="inlineStr">
        <is>
          <t>胡娟娟</t>
        </is>
      </c>
      <c r="H859" s="4" t="inlineStr">
        <is>
          <t>缸边浴缸</t>
        </is>
      </c>
      <c r="I859" s="12" t="inlineStr">
        <is>
          <t>是</t>
        </is>
      </c>
      <c r="J859" s="34" t="n">
        <v>45530</v>
      </c>
      <c r="K859" s="34" t="n">
        <v>45530</v>
      </c>
      <c r="L859" s="0">
        <f>DATEDIF(J859,$L$1,"M")</f>
        <v/>
      </c>
      <c r="M859" s="0">
        <f>IF(L859&lt;18,"新品期",IF(L859&lt;=36,"老品期","衰退期"))</f>
        <v/>
      </c>
    </row>
    <row r="860" ht="15" customFormat="1" customHeight="1" s="36">
      <c r="A860" s="4" t="inlineStr">
        <is>
          <t>tacuet-US</t>
        </is>
      </c>
      <c r="B860" s="4" t="inlineStr">
        <is>
          <t>Taucet美国站</t>
        </is>
      </c>
      <c r="C860" s="4">
        <f>B860&amp;D860</f>
        <v/>
      </c>
      <c r="D860" s="4" t="inlineStr">
        <is>
          <t>TT-9707BK-ZZ</t>
        </is>
      </c>
      <c r="E860" s="4" t="inlineStr">
        <is>
          <t>221F0097BK1</t>
        </is>
      </c>
      <c r="F860" s="4" t="inlineStr">
        <is>
          <t>97系列三件套缸边浴缸龙头电泳黑</t>
        </is>
      </c>
      <c r="G860" s="4" t="inlineStr">
        <is>
          <t>胡娟娟</t>
        </is>
      </c>
      <c r="H860" s="4" t="inlineStr">
        <is>
          <t>缸边浴缸</t>
        </is>
      </c>
      <c r="I860" s="12" t="inlineStr">
        <is>
          <t>是</t>
        </is>
      </c>
      <c r="J860" s="34" t="n">
        <v>45530</v>
      </c>
      <c r="K860" s="34" t="n">
        <v>45530</v>
      </c>
      <c r="L860" s="0">
        <f>DATEDIF(J860,$L$1,"M")</f>
        <v/>
      </c>
      <c r="M860" s="0">
        <f>IF(L860&lt;18,"新品期",IF(L860&lt;=36,"老品期","衰退期"))</f>
        <v/>
      </c>
    </row>
    <row r="861" ht="15" customFormat="1" customHeight="1" s="36">
      <c r="A861" s="4" t="inlineStr">
        <is>
          <t>tacuet-US</t>
        </is>
      </c>
      <c r="B861" s="4" t="inlineStr">
        <is>
          <t>Taucet美国站</t>
        </is>
      </c>
      <c r="C861" s="4">
        <f>B861&amp;D861</f>
        <v/>
      </c>
      <c r="D861" s="4" t="inlineStr">
        <is>
          <t>TT-9707BN</t>
        </is>
      </c>
      <c r="E861" s="4" t="inlineStr">
        <is>
          <t>221F0097BN1</t>
        </is>
      </c>
      <c r="F861" s="4" t="inlineStr">
        <is>
          <t>97系列三件套缸边浴缸龙头拉丝封油</t>
        </is>
      </c>
      <c r="G861" s="4" t="inlineStr">
        <is>
          <t>胡娟娟</t>
        </is>
      </c>
      <c r="H861" s="4" t="inlineStr">
        <is>
          <t>缸边浴缸</t>
        </is>
      </c>
      <c r="I861" s="12" t="inlineStr">
        <is>
          <t>是</t>
        </is>
      </c>
      <c r="J861" s="34" t="n">
        <v>45530</v>
      </c>
      <c r="K861" s="34" t="n">
        <v>45530</v>
      </c>
      <c r="L861" s="0">
        <f>DATEDIF(J861,$L$1,"M")</f>
        <v/>
      </c>
      <c r="M861" s="0">
        <f>IF(L861&lt;18,"新品期",IF(L861&lt;=36,"老品期","衰退期"))</f>
        <v/>
      </c>
    </row>
    <row r="862" ht="15" customFormat="1" customHeight="1" s="36">
      <c r="A862" s="4" t="inlineStr">
        <is>
          <t>tacuet-US</t>
        </is>
      </c>
      <c r="B862" s="4" t="inlineStr">
        <is>
          <t>Taucet美国站</t>
        </is>
      </c>
      <c r="C862" s="4">
        <f>B862&amp;D862</f>
        <v/>
      </c>
      <c r="D862" s="4" t="inlineStr">
        <is>
          <t>TT-9707CP</t>
        </is>
      </c>
      <c r="E862" s="4" t="inlineStr">
        <is>
          <t>221F0097CP1</t>
        </is>
      </c>
      <c r="F862" s="4" t="inlineStr">
        <is>
          <t>97系列三件套缸边浴缸龙头铬</t>
        </is>
      </c>
      <c r="G862" s="4" t="inlineStr">
        <is>
          <t>胡娟娟</t>
        </is>
      </c>
      <c r="H862" s="4" t="inlineStr">
        <is>
          <t>缸边浴缸</t>
        </is>
      </c>
      <c r="I862" s="12" t="inlineStr">
        <is>
          <t>是</t>
        </is>
      </c>
      <c r="J862" s="34" t="n">
        <v>45530</v>
      </c>
      <c r="K862" s="34" t="n">
        <v>45530</v>
      </c>
      <c r="L862" s="0">
        <f>DATEDIF(J862,$L$1,"M")</f>
        <v/>
      </c>
      <c r="M862" s="0">
        <f>IF(L862&lt;18,"新品期",IF(L862&lt;=36,"老品期","衰退期"))</f>
        <v/>
      </c>
    </row>
    <row r="863" ht="15" customFormat="1" customHeight="1" s="36">
      <c r="A863" s="4" t="inlineStr">
        <is>
          <t>tacuet-CA</t>
        </is>
      </c>
      <c r="B863" s="4" t="inlineStr">
        <is>
          <t>Taucet加拿大站</t>
        </is>
      </c>
      <c r="C863" s="4">
        <f>B863&amp;D863</f>
        <v/>
      </c>
      <c r="D863" s="4" t="inlineStr">
        <is>
          <t>TT-9707CP</t>
        </is>
      </c>
      <c r="E863" s="4" t="inlineStr">
        <is>
          <t>221F0097CP1</t>
        </is>
      </c>
      <c r="F863" s="4" t="inlineStr">
        <is>
          <t>97系列三件套缸边浴缸龙头铬</t>
        </is>
      </c>
      <c r="G863" s="4" t="inlineStr">
        <is>
          <t>胡娟娟</t>
        </is>
      </c>
      <c r="H863" s="4" t="inlineStr">
        <is>
          <t>缸边浴缸</t>
        </is>
      </c>
      <c r="I863" s="12" t="inlineStr">
        <is>
          <t>是</t>
        </is>
      </c>
      <c r="J863" s="34" t="n">
        <v>45530</v>
      </c>
      <c r="K863" s="34" t="n">
        <v>45530</v>
      </c>
      <c r="L863" s="0">
        <f>DATEDIF(J863,$L$1,"M")</f>
        <v/>
      </c>
      <c r="M863" s="0">
        <f>IF(L863&lt;18,"新品期",IF(L863&lt;=36,"老品期","衰退期"))</f>
        <v/>
      </c>
    </row>
    <row r="864" ht="15" customFormat="1" customHeight="1" s="36">
      <c r="A864" s="4" t="inlineStr">
        <is>
          <t>tacuet-US</t>
        </is>
      </c>
      <c r="B864" s="4" t="inlineStr">
        <is>
          <t>Taucet美国站</t>
        </is>
      </c>
      <c r="C864" s="4">
        <f>B864&amp;D864</f>
        <v/>
      </c>
      <c r="D864" s="4" t="inlineStr">
        <is>
          <t>TT-9707ORB</t>
        </is>
      </c>
      <c r="E864" s="4" t="inlineStr">
        <is>
          <t>221F0097OB1</t>
        </is>
      </c>
      <c r="F864" s="4" t="inlineStr">
        <is>
          <t>97系列三件套缸边浴缸龙头 拉丝古铜色</t>
        </is>
      </c>
      <c r="G864" s="4" t="inlineStr">
        <is>
          <t>胡娟娟</t>
        </is>
      </c>
      <c r="H864" s="4" t="inlineStr">
        <is>
          <t>缸边浴缸</t>
        </is>
      </c>
      <c r="I864" s="12" t="inlineStr">
        <is>
          <t>是</t>
        </is>
      </c>
      <c r="J864" s="34" t="n">
        <v>45530</v>
      </c>
      <c r="K864" s="34" t="n">
        <v>45530</v>
      </c>
      <c r="L864" s="0">
        <f>DATEDIF(J864,$L$1,"M")</f>
        <v/>
      </c>
      <c r="M864" s="0">
        <f>IF(L864&lt;18,"新品期",IF(L864&lt;=36,"老品期","衰退期"))</f>
        <v/>
      </c>
    </row>
    <row r="865" ht="15" customFormat="1" customHeight="1" s="36">
      <c r="A865" s="4" t="inlineStr">
        <is>
          <t>tacuet-MX</t>
        </is>
      </c>
      <c r="B865" s="4" t="inlineStr">
        <is>
          <t>Taucet墨西哥站</t>
        </is>
      </c>
      <c r="C865" s="4">
        <f>B865&amp;D865</f>
        <v/>
      </c>
      <c r="D865" s="4" t="inlineStr">
        <is>
          <t>TT-9707ORB</t>
        </is>
      </c>
      <c r="E865" s="4" t="inlineStr">
        <is>
          <t>221F0097OB1</t>
        </is>
      </c>
      <c r="F865" s="4" t="inlineStr">
        <is>
          <t>97系列三件套缸边浴缸龙头 拉丝古铜色</t>
        </is>
      </c>
      <c r="G865" s="4" t="inlineStr">
        <is>
          <t>胡娟娟</t>
        </is>
      </c>
      <c r="H865" s="4" t="inlineStr">
        <is>
          <t>缸边浴缸</t>
        </is>
      </c>
      <c r="I865" s="12" t="inlineStr">
        <is>
          <t>是</t>
        </is>
      </c>
      <c r="J865" s="34" t="n">
        <v>45530</v>
      </c>
      <c r="K865" s="34" t="n">
        <v>45530</v>
      </c>
      <c r="L865" s="0">
        <f>DATEDIF(J865,$L$1,"M")</f>
        <v/>
      </c>
      <c r="M865" s="0">
        <f>IF(L865&lt;18,"新品期",IF(L865&lt;=36,"老品期","衰退期"))</f>
        <v/>
      </c>
    </row>
    <row r="866" ht="15" customFormat="1" customHeight="1" s="36">
      <c r="A866" s="4" t="inlineStr">
        <is>
          <t>tacuet-US</t>
        </is>
      </c>
      <c r="B866" s="4" t="inlineStr">
        <is>
          <t>Taucet美国站</t>
        </is>
      </c>
      <c r="C866" s="4">
        <f>B866&amp;D866</f>
        <v/>
      </c>
      <c r="D866" s="4" t="inlineStr">
        <is>
          <t>TT-9707RGBK</t>
        </is>
      </c>
      <c r="E866" s="4" t="inlineStr">
        <is>
          <t>221F0097RB1</t>
        </is>
      </c>
      <c r="F866" s="4" t="inlineStr">
        <is>
          <t>97系列三件套缸边浴缸龙头拉丝玫瑰金+黑色</t>
        </is>
      </c>
      <c r="G866" s="4" t="inlineStr">
        <is>
          <t>胡娟娟</t>
        </is>
      </c>
      <c r="H866" s="4" t="inlineStr">
        <is>
          <t>缸边浴缸</t>
        </is>
      </c>
      <c r="I866" s="12" t="inlineStr">
        <is>
          <t>是</t>
        </is>
      </c>
      <c r="J866" s="34" t="n">
        <v>45530</v>
      </c>
      <c r="K866" s="34" t="n">
        <v>45530</v>
      </c>
      <c r="L866" s="0">
        <f>DATEDIF(J866,$L$1,"M")</f>
        <v/>
      </c>
      <c r="M866" s="0">
        <f>IF(L866&lt;18,"新品期",IF(L866&lt;=36,"老品期","衰退期"))</f>
        <v/>
      </c>
    </row>
    <row r="867" ht="15" customFormat="1" customHeight="1" s="36">
      <c r="A867" s="4" t="inlineStr">
        <is>
          <t>tacuet-US</t>
        </is>
      </c>
      <c r="B867" s="4" t="inlineStr">
        <is>
          <t>Taucet美国站</t>
        </is>
      </c>
      <c r="C867" s="4">
        <f>B867&amp;D867</f>
        <v/>
      </c>
      <c r="D867" s="4" t="inlineStr">
        <is>
          <t>TT-9708BG</t>
        </is>
      </c>
      <c r="E867" s="4" t="inlineStr">
        <is>
          <t>222F0097BG1</t>
        </is>
      </c>
      <c r="F867" s="4" t="inlineStr">
        <is>
          <t>97系列四件套缸边浴缸龙头拉丝钛金封油</t>
        </is>
      </c>
      <c r="G867" s="4" t="inlineStr">
        <is>
          <t>胡娟娟</t>
        </is>
      </c>
      <c r="H867" s="4" t="inlineStr">
        <is>
          <t>缸边浴缸</t>
        </is>
      </c>
      <c r="I867" s="12" t="inlineStr">
        <is>
          <t>是</t>
        </is>
      </c>
      <c r="J867" s="34" t="n">
        <v>45530</v>
      </c>
      <c r="K867" s="34" t="n">
        <v>45530</v>
      </c>
      <c r="L867" s="0">
        <f>DATEDIF(J867,$L$1,"M")</f>
        <v/>
      </c>
      <c r="M867" s="0">
        <f>IF(L867&lt;18,"新品期",IF(L867&lt;=36,"老品期","衰退期"))</f>
        <v/>
      </c>
    </row>
    <row r="868" ht="15" customFormat="1" customHeight="1" s="36">
      <c r="A868" s="4" t="inlineStr">
        <is>
          <t>tacuet-CA</t>
        </is>
      </c>
      <c r="B868" s="4" t="inlineStr">
        <is>
          <t>Taucet加拿大站</t>
        </is>
      </c>
      <c r="C868" s="4">
        <f>B868&amp;D868</f>
        <v/>
      </c>
      <c r="D868" s="4" t="inlineStr">
        <is>
          <t>TT-9708BG-ZZ</t>
        </is>
      </c>
      <c r="E868" s="4" t="inlineStr">
        <is>
          <t>222F0097BG1</t>
        </is>
      </c>
      <c r="F868" s="4" t="inlineStr">
        <is>
          <t>97系列四件套缸边浴缸龙头拉丝钛金封油</t>
        </is>
      </c>
      <c r="G868" s="4" t="inlineStr">
        <is>
          <t>胡娟娟</t>
        </is>
      </c>
      <c r="H868" s="4" t="inlineStr">
        <is>
          <t>缸边浴缸</t>
        </is>
      </c>
      <c r="I868" s="12" t="inlineStr">
        <is>
          <t>是</t>
        </is>
      </c>
      <c r="J868" s="34" t="n">
        <v>45530</v>
      </c>
      <c r="K868" s="34" t="n">
        <v>45530</v>
      </c>
      <c r="L868" s="0">
        <f>DATEDIF(J868,$L$1,"M")</f>
        <v/>
      </c>
      <c r="M868" s="0">
        <f>IF(L868&lt;18,"新品期",IF(L868&lt;=36,"老品期","衰退期"))</f>
        <v/>
      </c>
    </row>
    <row r="869" ht="15" customFormat="1" customHeight="1" s="36">
      <c r="A869" s="4" t="inlineStr">
        <is>
          <t>tacuet-US</t>
        </is>
      </c>
      <c r="B869" s="4" t="inlineStr">
        <is>
          <t>Taucet美国站</t>
        </is>
      </c>
      <c r="C869" s="4">
        <f>B869&amp;D869</f>
        <v/>
      </c>
      <c r="D869" s="4" t="inlineStr">
        <is>
          <t>TT-9708BK</t>
        </is>
      </c>
      <c r="E869" s="4" t="inlineStr">
        <is>
          <t>222F0097BK1</t>
        </is>
      </c>
      <c r="F869" s="4" t="inlineStr">
        <is>
          <t>97系列四件套缸边浴缸龙头电泳黑</t>
        </is>
      </c>
      <c r="G869" s="4" t="inlineStr">
        <is>
          <t>胡娟娟</t>
        </is>
      </c>
      <c r="H869" s="4" t="inlineStr">
        <is>
          <t>缸边浴缸</t>
        </is>
      </c>
      <c r="I869" s="12" t="inlineStr">
        <is>
          <t>是</t>
        </is>
      </c>
      <c r="J869" s="34" t="n">
        <v>45530</v>
      </c>
      <c r="K869" s="34" t="n">
        <v>45530</v>
      </c>
      <c r="L869" s="0">
        <f>DATEDIF(J869,$L$1,"M")</f>
        <v/>
      </c>
      <c r="M869" s="0">
        <f>IF(L869&lt;18,"新品期",IF(L869&lt;=36,"老品期","衰退期"))</f>
        <v/>
      </c>
    </row>
    <row r="870" ht="15" customFormat="1" customHeight="1" s="36">
      <c r="A870" s="4" t="inlineStr">
        <is>
          <t>tacuet-MX</t>
        </is>
      </c>
      <c r="B870" s="4" t="inlineStr">
        <is>
          <t>Taucet墨西哥站</t>
        </is>
      </c>
      <c r="C870" s="4">
        <f>B870&amp;D870</f>
        <v/>
      </c>
      <c r="D870" s="4" t="inlineStr">
        <is>
          <t>TT-9708BK</t>
        </is>
      </c>
      <c r="E870" s="4" t="inlineStr">
        <is>
          <t>222F0097BK1</t>
        </is>
      </c>
      <c r="F870" s="4" t="inlineStr">
        <is>
          <t>97系列四件套缸边浴缸龙头电泳黑</t>
        </is>
      </c>
      <c r="G870" s="4" t="inlineStr">
        <is>
          <t>胡娟娟</t>
        </is>
      </c>
      <c r="H870" s="4" t="inlineStr">
        <is>
          <t>缸边浴缸</t>
        </is>
      </c>
      <c r="I870" s="12" t="inlineStr">
        <is>
          <t>是</t>
        </is>
      </c>
      <c r="J870" s="34" t="n">
        <v>45530</v>
      </c>
      <c r="K870" s="34" t="n">
        <v>45530</v>
      </c>
      <c r="L870" s="0">
        <f>DATEDIF(J870,$L$1,"M")</f>
        <v/>
      </c>
      <c r="M870" s="0">
        <f>IF(L870&lt;18,"新品期",IF(L870&lt;=36,"老品期","衰退期"))</f>
        <v/>
      </c>
    </row>
    <row r="871" ht="15" customFormat="1" customHeight="1" s="36">
      <c r="A871" s="4" t="inlineStr">
        <is>
          <t>tacuet-US</t>
        </is>
      </c>
      <c r="B871" s="4" t="inlineStr">
        <is>
          <t>Taucet美国站</t>
        </is>
      </c>
      <c r="C871" s="4">
        <f>B871&amp;D871</f>
        <v/>
      </c>
      <c r="D871" s="4" t="inlineStr">
        <is>
          <t>TT-9708BK-ZZ</t>
        </is>
      </c>
      <c r="E871" s="4" t="inlineStr">
        <is>
          <t>222F0097BK1</t>
        </is>
      </c>
      <c r="F871" s="4" t="inlineStr">
        <is>
          <t>97系列四件套缸边浴缸龙头电泳黑</t>
        </is>
      </c>
      <c r="G871" s="4" t="inlineStr">
        <is>
          <t>胡娟娟</t>
        </is>
      </c>
      <c r="H871" s="4" t="inlineStr">
        <is>
          <t>缸边浴缸</t>
        </is>
      </c>
      <c r="I871" s="12" t="inlineStr">
        <is>
          <t>是</t>
        </is>
      </c>
      <c r="J871" s="34" t="n">
        <v>45530</v>
      </c>
      <c r="K871" s="34" t="n">
        <v>45530</v>
      </c>
      <c r="L871" s="0">
        <f>DATEDIF(J871,$L$1,"M")</f>
        <v/>
      </c>
      <c r="M871" s="0">
        <f>IF(L871&lt;18,"新品期",IF(L871&lt;=36,"老品期","衰退期"))</f>
        <v/>
      </c>
    </row>
    <row r="872" ht="15" customFormat="1" customHeight="1" s="36">
      <c r="A872" s="4" t="inlineStr">
        <is>
          <t>tacuet-US</t>
        </is>
      </c>
      <c r="B872" s="4" t="inlineStr">
        <is>
          <t>Taucet美国站</t>
        </is>
      </c>
      <c r="C872" s="4">
        <f>B872&amp;D872</f>
        <v/>
      </c>
      <c r="D872" s="4" t="inlineStr">
        <is>
          <t>TT-9708BN</t>
        </is>
      </c>
      <c r="E872" s="4" t="inlineStr">
        <is>
          <t>222F0097BN1</t>
        </is>
      </c>
      <c r="F872" s="4" t="inlineStr">
        <is>
          <t>97系列四件套缸边浴缸龙头拉丝封油</t>
        </is>
      </c>
      <c r="G872" s="4" t="inlineStr">
        <is>
          <t>胡娟娟</t>
        </is>
      </c>
      <c r="H872" s="4" t="inlineStr">
        <is>
          <t>缸边浴缸</t>
        </is>
      </c>
      <c r="I872" s="12" t="inlineStr">
        <is>
          <t>是</t>
        </is>
      </c>
      <c r="J872" s="34" t="n">
        <v>45530</v>
      </c>
      <c r="K872" s="34" t="n">
        <v>45530</v>
      </c>
      <c r="L872" s="0">
        <f>DATEDIF(J872,$L$1,"M")</f>
        <v/>
      </c>
      <c r="M872" s="0">
        <f>IF(L872&lt;18,"新品期",IF(L872&lt;=36,"老品期","衰退期"))</f>
        <v/>
      </c>
    </row>
    <row r="873" ht="15" customFormat="1" customHeight="1" s="36">
      <c r="A873" s="4" t="inlineStr">
        <is>
          <t>tacuet-US</t>
        </is>
      </c>
      <c r="B873" s="4" t="inlineStr">
        <is>
          <t>Taucet美国站</t>
        </is>
      </c>
      <c r="C873" s="4">
        <f>B873&amp;D873</f>
        <v/>
      </c>
      <c r="D873" s="4" t="inlineStr">
        <is>
          <t>TT-9708CP</t>
        </is>
      </c>
      <c r="E873" s="4" t="inlineStr">
        <is>
          <t>222F0097CP1</t>
        </is>
      </c>
      <c r="F873" s="4" t="inlineStr">
        <is>
          <t>97系列四件套缸边浴缸龙头铬</t>
        </is>
      </c>
      <c r="G873" s="4" t="inlineStr">
        <is>
          <t>胡娟娟</t>
        </is>
      </c>
      <c r="H873" s="4" t="inlineStr">
        <is>
          <t>缸边浴缸</t>
        </is>
      </c>
      <c r="I873" s="12" t="inlineStr">
        <is>
          <t>是</t>
        </is>
      </c>
      <c r="J873" s="34" t="n">
        <v>45530</v>
      </c>
      <c r="K873" s="34" t="n">
        <v>45530</v>
      </c>
      <c r="L873" s="0">
        <f>DATEDIF(J873,$L$1,"M")</f>
        <v/>
      </c>
      <c r="M873" s="0">
        <f>IF(L873&lt;18,"新品期",IF(L873&lt;=36,"老品期","衰退期"))</f>
        <v/>
      </c>
    </row>
    <row r="874" ht="15" customFormat="1" customHeight="1" s="36">
      <c r="A874" s="4" t="inlineStr">
        <is>
          <t>tacuet-US</t>
        </is>
      </c>
      <c r="B874" s="4" t="inlineStr">
        <is>
          <t>Taucet美国站</t>
        </is>
      </c>
      <c r="C874" s="4">
        <f>B874&amp;D874</f>
        <v/>
      </c>
      <c r="D874" s="4" t="inlineStr">
        <is>
          <t>TT-9708ORB</t>
        </is>
      </c>
      <c r="E874" s="4" t="inlineStr">
        <is>
          <t>222F0097OB1</t>
        </is>
      </c>
      <c r="F874" s="4" t="inlineStr">
        <is>
          <t>97系列四件套缸边浴缸龙头 拉丝古铜色</t>
        </is>
      </c>
      <c r="G874" s="4" t="inlineStr">
        <is>
          <t>胡娟娟</t>
        </is>
      </c>
      <c r="H874" s="4" t="inlineStr">
        <is>
          <t>缸边浴缸</t>
        </is>
      </c>
      <c r="I874" s="12" t="inlineStr">
        <is>
          <t>是</t>
        </is>
      </c>
      <c r="J874" s="34" t="n">
        <v>45530</v>
      </c>
      <c r="K874" s="34" t="n">
        <v>45530</v>
      </c>
      <c r="L874" s="0">
        <f>DATEDIF(J874,$L$1,"M")</f>
        <v/>
      </c>
      <c r="M874" s="0">
        <f>IF(L874&lt;18,"新品期",IF(L874&lt;=36,"老品期","衰退期"))</f>
        <v/>
      </c>
    </row>
    <row r="875" ht="15" customFormat="1" customHeight="1" s="36">
      <c r="A875" s="4" t="inlineStr">
        <is>
          <t>tacuet-US</t>
        </is>
      </c>
      <c r="B875" s="4" t="inlineStr">
        <is>
          <t>Taucet美国站</t>
        </is>
      </c>
      <c r="C875" s="4">
        <f>B875&amp;D875</f>
        <v/>
      </c>
      <c r="D875" s="4" t="inlineStr">
        <is>
          <t>TT-9708RGBK</t>
        </is>
      </c>
      <c r="E875" s="4" t="inlineStr">
        <is>
          <t>222F0097RB1</t>
        </is>
      </c>
      <c r="F875" s="4" t="inlineStr">
        <is>
          <t>97系列四件套缸边浴缸龙头拉丝玫瑰金+黑色</t>
        </is>
      </c>
      <c r="G875" s="4" t="inlineStr">
        <is>
          <t>胡娟娟</t>
        </is>
      </c>
      <c r="H875" s="4" t="inlineStr">
        <is>
          <t>缸边浴缸</t>
        </is>
      </c>
      <c r="I875" s="12" t="inlineStr">
        <is>
          <t>是</t>
        </is>
      </c>
      <c r="J875" s="34" t="n">
        <v>45530</v>
      </c>
      <c r="K875" s="34" t="n">
        <v>45530</v>
      </c>
      <c r="L875" s="0">
        <f>DATEDIF(J875,$L$1,"M")</f>
        <v/>
      </c>
      <c r="M875" s="0">
        <f>IF(L875&lt;18,"新品期",IF(L875&lt;=36,"老品期","衰退期"))</f>
        <v/>
      </c>
    </row>
    <row r="876" ht="15" customFormat="1" customHeight="1" s="36">
      <c r="A876" s="4" t="inlineStr">
        <is>
          <t>tacuet-US</t>
        </is>
      </c>
      <c r="B876" s="4" t="inlineStr">
        <is>
          <t>Taucet美国站</t>
        </is>
      </c>
      <c r="C876" s="4">
        <f>B876&amp;D876</f>
        <v/>
      </c>
      <c r="D876" s="4" t="inlineStr">
        <is>
          <t>TT-9708RGBK-ZZ</t>
        </is>
      </c>
      <c r="E876" s="4" t="inlineStr">
        <is>
          <t>222F0097RB1</t>
        </is>
      </c>
      <c r="F876" s="4" t="inlineStr">
        <is>
          <t>97系列四件套缸边浴缸龙头拉丝玫瑰金+黑色</t>
        </is>
      </c>
      <c r="G876" s="4" t="inlineStr">
        <is>
          <t>胡娟娟</t>
        </is>
      </c>
      <c r="H876" s="4" t="inlineStr">
        <is>
          <t>缸边浴缸</t>
        </is>
      </c>
      <c r="I876" s="12" t="inlineStr">
        <is>
          <t>是</t>
        </is>
      </c>
      <c r="J876" s="34" t="n">
        <v>45530</v>
      </c>
      <c r="K876" s="34" t="n">
        <v>45530</v>
      </c>
      <c r="L876" s="0">
        <f>DATEDIF(J876,$L$1,"M")</f>
        <v/>
      </c>
      <c r="M876" s="0">
        <f>IF(L876&lt;18,"新品期",IF(L876&lt;=36,"老品期","衰退期"))</f>
        <v/>
      </c>
    </row>
    <row r="877" ht="15" customFormat="1" customHeight="1" s="36">
      <c r="A877" s="4" t="inlineStr">
        <is>
          <t>tacuet-US</t>
        </is>
      </c>
      <c r="B877" s="4" t="inlineStr">
        <is>
          <t>Taucet美国站</t>
        </is>
      </c>
      <c r="C877" s="4">
        <f>B877&amp;D877</f>
        <v/>
      </c>
      <c r="D877" s="4" t="inlineStr">
        <is>
          <t>TT-9709BG</t>
        </is>
      </c>
      <c r="E877" s="4" t="inlineStr">
        <is>
          <t>223F0097BG1</t>
        </is>
      </c>
      <c r="F877" s="4" t="inlineStr">
        <is>
          <t>97系列五件套缸边浴缸龙头拉丝钛金封油</t>
        </is>
      </c>
      <c r="G877" s="4" t="inlineStr">
        <is>
          <t>胡娟娟</t>
        </is>
      </c>
      <c r="H877" s="4" t="inlineStr">
        <is>
          <t>缸边浴缸</t>
        </is>
      </c>
      <c r="I877" s="12" t="inlineStr">
        <is>
          <t>是</t>
        </is>
      </c>
      <c r="J877" s="34" t="n">
        <v>45530</v>
      </c>
      <c r="K877" s="34" t="n">
        <v>45530</v>
      </c>
      <c r="L877" s="0">
        <f>DATEDIF(J877,$L$1,"M")</f>
        <v/>
      </c>
      <c r="M877" s="0">
        <f>IF(L877&lt;18,"新品期",IF(L877&lt;=36,"老品期","衰退期"))</f>
        <v/>
      </c>
    </row>
    <row r="878" ht="15" customFormat="1" customHeight="1" s="36">
      <c r="A878" s="4" t="inlineStr">
        <is>
          <t>tacuet-MX</t>
        </is>
      </c>
      <c r="B878" s="4" t="inlineStr">
        <is>
          <t>Taucet墨西哥站</t>
        </is>
      </c>
      <c r="C878" s="4">
        <f>B878&amp;D878</f>
        <v/>
      </c>
      <c r="D878" s="4" t="inlineStr">
        <is>
          <t>TT-9709BG</t>
        </is>
      </c>
      <c r="E878" s="4" t="inlineStr">
        <is>
          <t>223F0097BG1</t>
        </is>
      </c>
      <c r="F878" s="4" t="inlineStr">
        <is>
          <t>97系列五件套缸边浴缸龙头拉丝钛金封油</t>
        </is>
      </c>
      <c r="G878" s="4" t="inlineStr">
        <is>
          <t>胡娟娟</t>
        </is>
      </c>
      <c r="H878" s="4" t="inlineStr">
        <is>
          <t>缸边浴缸</t>
        </is>
      </c>
      <c r="I878" s="12" t="inlineStr">
        <is>
          <t>是</t>
        </is>
      </c>
      <c r="J878" s="34" t="n">
        <v>45530</v>
      </c>
      <c r="K878" s="34" t="n">
        <v>45530</v>
      </c>
      <c r="L878" s="0">
        <f>DATEDIF(J878,$L$1,"M")</f>
        <v/>
      </c>
      <c r="M878" s="0">
        <f>IF(L878&lt;18,"新品期",IF(L878&lt;=36,"老品期","衰退期"))</f>
        <v/>
      </c>
    </row>
    <row r="879" ht="15" customFormat="1" customHeight="1" s="36">
      <c r="A879" s="4" t="inlineStr">
        <is>
          <t>tacuet-US</t>
        </is>
      </c>
      <c r="B879" s="4" t="inlineStr">
        <is>
          <t>Taucet美国站</t>
        </is>
      </c>
      <c r="C879" s="4">
        <f>B879&amp;D879</f>
        <v/>
      </c>
      <c r="D879" s="4" t="inlineStr">
        <is>
          <t>TT-9709BG-ZZ</t>
        </is>
      </c>
      <c r="E879" s="4" t="inlineStr">
        <is>
          <t>223F0097BG1</t>
        </is>
      </c>
      <c r="F879" s="4" t="inlineStr">
        <is>
          <t>97系列五件套缸边浴缸龙头拉丝钛金封油</t>
        </is>
      </c>
      <c r="G879" s="4" t="inlineStr">
        <is>
          <t>胡娟娟</t>
        </is>
      </c>
      <c r="H879" s="4" t="inlineStr">
        <is>
          <t>缸边浴缸</t>
        </is>
      </c>
      <c r="I879" s="12" t="inlineStr">
        <is>
          <t>是</t>
        </is>
      </c>
      <c r="J879" s="34" t="n">
        <v>45530</v>
      </c>
      <c r="K879" s="34" t="n">
        <v>45530</v>
      </c>
      <c r="L879" s="0">
        <f>DATEDIF(J879,$L$1,"M")</f>
        <v/>
      </c>
      <c r="M879" s="0">
        <f>IF(L879&lt;18,"新品期",IF(L879&lt;=36,"老品期","衰退期"))</f>
        <v/>
      </c>
    </row>
    <row r="880" ht="15" customFormat="1" customHeight="1" s="36">
      <c r="A880" s="4" t="inlineStr">
        <is>
          <t>tacuet-US</t>
        </is>
      </c>
      <c r="B880" s="4" t="inlineStr">
        <is>
          <t>Taucet美国站</t>
        </is>
      </c>
      <c r="C880" s="4">
        <f>B880&amp;D880</f>
        <v/>
      </c>
      <c r="D880" s="4" t="inlineStr">
        <is>
          <t>TT-9709BK</t>
        </is>
      </c>
      <c r="E880" s="4" t="inlineStr">
        <is>
          <t>223F0097BK1</t>
        </is>
      </c>
      <c r="F880" s="4" t="inlineStr">
        <is>
          <t>97系列五件套缸边浴缸龙头电泳黑</t>
        </is>
      </c>
      <c r="G880" s="4" t="inlineStr">
        <is>
          <t>胡娟娟</t>
        </is>
      </c>
      <c r="H880" s="4" t="inlineStr">
        <is>
          <t>缸边浴缸</t>
        </is>
      </c>
      <c r="I880" s="12" t="inlineStr">
        <is>
          <t>是</t>
        </is>
      </c>
      <c r="J880" s="34" t="n">
        <v>45530</v>
      </c>
      <c r="K880" s="34" t="n">
        <v>45530</v>
      </c>
      <c r="L880" s="0">
        <f>DATEDIF(J880,$L$1,"M")</f>
        <v/>
      </c>
      <c r="M880" s="0">
        <f>IF(L880&lt;18,"新品期",IF(L880&lt;=36,"老品期","衰退期"))</f>
        <v/>
      </c>
    </row>
    <row r="881" ht="15" customFormat="1" customHeight="1" s="36">
      <c r="A881" s="4" t="inlineStr">
        <is>
          <t>tacuet-US</t>
        </is>
      </c>
      <c r="B881" s="4" t="inlineStr">
        <is>
          <t>Taucet美国站</t>
        </is>
      </c>
      <c r="C881" s="4">
        <f>B881&amp;D881</f>
        <v/>
      </c>
      <c r="D881" s="4" t="inlineStr">
        <is>
          <t>TT-9709BK-ZZ</t>
        </is>
      </c>
      <c r="E881" s="4" t="inlineStr">
        <is>
          <t>223F0097BK1</t>
        </is>
      </c>
      <c r="F881" s="4" t="inlineStr">
        <is>
          <t>97系列五件套缸边浴缸龙头电泳黑</t>
        </is>
      </c>
      <c r="G881" s="4" t="inlineStr">
        <is>
          <t>胡娟娟</t>
        </is>
      </c>
      <c r="H881" s="4" t="inlineStr">
        <is>
          <t>缸边浴缸</t>
        </is>
      </c>
      <c r="I881" s="12" t="inlineStr">
        <is>
          <t>是</t>
        </is>
      </c>
      <c r="J881" s="34" t="n">
        <v>45530</v>
      </c>
      <c r="K881" s="34" t="n">
        <v>45530</v>
      </c>
      <c r="L881" s="0">
        <f>DATEDIF(J881,$L$1,"M")</f>
        <v/>
      </c>
      <c r="M881" s="0">
        <f>IF(L881&lt;18,"新品期",IF(L881&lt;=36,"老品期","衰退期"))</f>
        <v/>
      </c>
    </row>
    <row r="882" ht="15" customFormat="1" customHeight="1" s="36">
      <c r="A882" s="4" t="inlineStr">
        <is>
          <t>tacuet-US</t>
        </is>
      </c>
      <c r="B882" s="4" t="inlineStr">
        <is>
          <t>Taucet美国站</t>
        </is>
      </c>
      <c r="C882" s="4">
        <f>B882&amp;D882</f>
        <v/>
      </c>
      <c r="D882" s="4" t="inlineStr">
        <is>
          <t>TT-9709BN</t>
        </is>
      </c>
      <c r="E882" s="4" t="inlineStr">
        <is>
          <t>223F0097BN1</t>
        </is>
      </c>
      <c r="F882" s="4" t="inlineStr">
        <is>
          <t>97系列五件套缸边浴缸龙头拉丝封油</t>
        </is>
      </c>
      <c r="G882" s="4" t="inlineStr">
        <is>
          <t>胡娟娟</t>
        </is>
      </c>
      <c r="H882" s="4" t="inlineStr">
        <is>
          <t>缸边浴缸</t>
        </is>
      </c>
      <c r="I882" s="12" t="inlineStr">
        <is>
          <t>是</t>
        </is>
      </c>
      <c r="J882" s="34" t="n">
        <v>45530</v>
      </c>
      <c r="K882" s="34" t="n">
        <v>45530</v>
      </c>
      <c r="L882" s="0">
        <f>DATEDIF(J882,$L$1,"M")</f>
        <v/>
      </c>
      <c r="M882" s="0">
        <f>IF(L882&lt;18,"新品期",IF(L882&lt;=36,"老品期","衰退期"))</f>
        <v/>
      </c>
    </row>
    <row r="883" ht="15" customFormat="1" customHeight="1" s="36">
      <c r="A883" s="4" t="inlineStr">
        <is>
          <t>tacuet-US</t>
        </is>
      </c>
      <c r="B883" s="4" t="inlineStr">
        <is>
          <t>Taucet美国站</t>
        </is>
      </c>
      <c r="C883" s="4">
        <f>B883&amp;D883</f>
        <v/>
      </c>
      <c r="D883" s="4" t="inlineStr">
        <is>
          <t>TT-9709BN-ZZ</t>
        </is>
      </c>
      <c r="E883" s="4" t="inlineStr">
        <is>
          <t>223F0097BN1</t>
        </is>
      </c>
      <c r="F883" s="4" t="inlineStr">
        <is>
          <t>97系列五件套缸边浴缸龙头拉丝封油</t>
        </is>
      </c>
      <c r="G883" s="4" t="inlineStr">
        <is>
          <t>胡娟娟</t>
        </is>
      </c>
      <c r="H883" s="4" t="inlineStr">
        <is>
          <t>缸边浴缸</t>
        </is>
      </c>
      <c r="I883" s="12" t="inlineStr">
        <is>
          <t>是</t>
        </is>
      </c>
      <c r="J883" s="34" t="n">
        <v>45530</v>
      </c>
      <c r="K883" s="34" t="n">
        <v>45530</v>
      </c>
      <c r="L883" s="0">
        <f>DATEDIF(J883,$L$1,"M")</f>
        <v/>
      </c>
      <c r="M883" s="0">
        <f>IF(L883&lt;18,"新品期",IF(L883&lt;=36,"老品期","衰退期"))</f>
        <v/>
      </c>
    </row>
    <row r="884" ht="15" customFormat="1" customHeight="1" s="36">
      <c r="A884" s="4" t="inlineStr">
        <is>
          <t>tacuet-US</t>
        </is>
      </c>
      <c r="B884" s="4" t="inlineStr">
        <is>
          <t>Taucet美国站</t>
        </is>
      </c>
      <c r="C884" s="4">
        <f>B884&amp;D884</f>
        <v/>
      </c>
      <c r="D884" s="4" t="inlineStr">
        <is>
          <t>TT-9709CP</t>
        </is>
      </c>
      <c r="E884" s="4" t="inlineStr">
        <is>
          <t>223F0097CP1</t>
        </is>
      </c>
      <c r="F884" s="4" t="inlineStr">
        <is>
          <t>97系列五件套缸边浴缸龙头铬</t>
        </is>
      </c>
      <c r="G884" s="4" t="inlineStr">
        <is>
          <t>胡娟娟</t>
        </is>
      </c>
      <c r="H884" s="4" t="inlineStr">
        <is>
          <t>缸边浴缸</t>
        </is>
      </c>
      <c r="I884" s="12" t="inlineStr">
        <is>
          <t>是</t>
        </is>
      </c>
      <c r="J884" s="34" t="n">
        <v>45530</v>
      </c>
      <c r="K884" s="34" t="n">
        <v>45530</v>
      </c>
      <c r="L884" s="0">
        <f>DATEDIF(J884,$L$1,"M")</f>
        <v/>
      </c>
      <c r="M884" s="0">
        <f>IF(L884&lt;18,"新品期",IF(L884&lt;=36,"老品期","衰退期"))</f>
        <v/>
      </c>
    </row>
    <row r="885" ht="15" customFormat="1" customHeight="1" s="36">
      <c r="A885" s="4" t="inlineStr">
        <is>
          <t>tacuet-US</t>
        </is>
      </c>
      <c r="B885" s="4" t="inlineStr">
        <is>
          <t>Taucet美国站</t>
        </is>
      </c>
      <c r="C885" s="4">
        <f>B885&amp;D885</f>
        <v/>
      </c>
      <c r="D885" s="4" t="inlineStr">
        <is>
          <t>TT-9709ORB</t>
        </is>
      </c>
      <c r="E885" s="4" t="inlineStr">
        <is>
          <t>223F0097OB1</t>
        </is>
      </c>
      <c r="F885" s="4" t="inlineStr">
        <is>
          <t>97系列五件套缸边浴缸龙头 拉丝古铜色</t>
        </is>
      </c>
      <c r="G885" s="4" t="inlineStr">
        <is>
          <t>胡娟娟</t>
        </is>
      </c>
      <c r="H885" s="4" t="inlineStr">
        <is>
          <t>缸边浴缸</t>
        </is>
      </c>
      <c r="I885" s="12" t="inlineStr">
        <is>
          <t>是</t>
        </is>
      </c>
      <c r="J885" s="34" t="n">
        <v>45530</v>
      </c>
      <c r="K885" s="34" t="n">
        <v>45530</v>
      </c>
      <c r="L885" s="0">
        <f>DATEDIF(J885,$L$1,"M")</f>
        <v/>
      </c>
      <c r="M885" s="0">
        <f>IF(L885&lt;18,"新品期",IF(L885&lt;=36,"老品期","衰退期"))</f>
        <v/>
      </c>
    </row>
    <row r="886" ht="15" customFormat="1" customHeight="1" s="36">
      <c r="A886" s="4" t="inlineStr">
        <is>
          <t>tacuet-US</t>
        </is>
      </c>
      <c r="B886" s="4" t="inlineStr">
        <is>
          <t>Taucet美国站</t>
        </is>
      </c>
      <c r="C886" s="4">
        <f>B886&amp;D886</f>
        <v/>
      </c>
      <c r="D886" s="4" t="inlineStr">
        <is>
          <t>TT-9709RGBK</t>
        </is>
      </c>
      <c r="E886" s="4" t="inlineStr">
        <is>
          <t>223F0097RB1</t>
        </is>
      </c>
      <c r="F886" s="4" t="inlineStr">
        <is>
          <t>97系列五件套缸边浴缸龙头拉丝玫瑰金+黑色</t>
        </is>
      </c>
      <c r="G886" s="4" t="inlineStr">
        <is>
          <t>胡娟娟</t>
        </is>
      </c>
      <c r="H886" s="4" t="inlineStr">
        <is>
          <t>缸边浴缸</t>
        </is>
      </c>
      <c r="I886" s="12" t="inlineStr">
        <is>
          <t>是</t>
        </is>
      </c>
      <c r="J886" s="34" t="n">
        <v>45530</v>
      </c>
      <c r="K886" s="34" t="n">
        <v>45530</v>
      </c>
      <c r="L886" s="0">
        <f>DATEDIF(J886,$L$1,"M")</f>
        <v/>
      </c>
      <c r="M886" s="0">
        <f>IF(L886&lt;18,"新品期",IF(L886&lt;=36,"老品期","衰退期"))</f>
        <v/>
      </c>
    </row>
    <row r="887" ht="15" customFormat="1" customHeight="1" s="36">
      <c r="A887" s="4" t="inlineStr">
        <is>
          <t>tacuet-US</t>
        </is>
      </c>
      <c r="B887" s="4" t="inlineStr">
        <is>
          <t>Taucet美国站</t>
        </is>
      </c>
      <c r="C887" s="4">
        <f>B887&amp;D887</f>
        <v/>
      </c>
      <c r="D887" s="4" t="inlineStr">
        <is>
          <t>TT-9711BG</t>
        </is>
      </c>
      <c r="E887" s="4" t="inlineStr">
        <is>
          <t>211F0097BG1</t>
        </is>
      </c>
      <c r="F887" s="4" t="inlineStr">
        <is>
          <t>97系列二功能落地浴缸龙头拉丝钛金封油</t>
        </is>
      </c>
      <c r="G887" s="4" t="inlineStr">
        <is>
          <t>刘皓</t>
        </is>
      </c>
      <c r="H887" s="4" t="inlineStr">
        <is>
          <t>落地浴缸</t>
        </is>
      </c>
      <c r="I887" s="12" t="inlineStr">
        <is>
          <t>是</t>
        </is>
      </c>
      <c r="J887" s="34" t="n">
        <v>45476</v>
      </c>
      <c r="K887" s="34" t="n">
        <v>45476</v>
      </c>
      <c r="L887" s="0">
        <f>DATEDIF(J887,$L$1,"M")</f>
        <v/>
      </c>
      <c r="M887" s="0">
        <f>IF(L887&lt;18,"新品期",IF(L887&lt;=36,"老品期","衰退期"))</f>
        <v/>
      </c>
    </row>
    <row r="888" ht="15" customFormat="1" customHeight="1" s="36">
      <c r="A888" s="4" t="inlineStr">
        <is>
          <t>tacuet-US</t>
        </is>
      </c>
      <c r="B888" s="4" t="inlineStr">
        <is>
          <t>Taucet美国站</t>
        </is>
      </c>
      <c r="C888" s="4">
        <f>B888&amp;D888</f>
        <v/>
      </c>
      <c r="D888" s="4" t="inlineStr">
        <is>
          <t>TT-9711BG-ZZ</t>
        </is>
      </c>
      <c r="E888" s="4" t="inlineStr">
        <is>
          <t>211F0097BG1</t>
        </is>
      </c>
      <c r="F888" s="4" t="inlineStr">
        <is>
          <t>97系列二功能落地浴缸龙头拉丝钛金封油</t>
        </is>
      </c>
      <c r="G888" s="4" t="inlineStr">
        <is>
          <t>刘皓</t>
        </is>
      </c>
      <c r="H888" s="4" t="inlineStr">
        <is>
          <t>落地浴缸</t>
        </is>
      </c>
      <c r="I888" s="12" t="inlineStr">
        <is>
          <t>是</t>
        </is>
      </c>
      <c r="J888" s="34" t="n">
        <v>45476</v>
      </c>
      <c r="K888" s="34" t="n">
        <v>45476</v>
      </c>
      <c r="L888" s="0">
        <f>DATEDIF(J888,$L$1,"M")</f>
        <v/>
      </c>
      <c r="M888" s="0">
        <f>IF(L888&lt;18,"新品期",IF(L888&lt;=36,"老品期","衰退期"))</f>
        <v/>
      </c>
    </row>
    <row r="889" ht="15" customFormat="1" customHeight="1" s="36">
      <c r="A889" s="4" t="inlineStr">
        <is>
          <t>tacuet-US</t>
        </is>
      </c>
      <c r="B889" s="4" t="inlineStr">
        <is>
          <t>Taucet美国站</t>
        </is>
      </c>
      <c r="C889" s="4">
        <f>B889&amp;D889</f>
        <v/>
      </c>
      <c r="D889" s="4" t="inlineStr">
        <is>
          <t>TT-9711BK</t>
        </is>
      </c>
      <c r="E889" s="4" t="inlineStr">
        <is>
          <t>211F0097BK2</t>
        </is>
      </c>
      <c r="F889" s="4" t="inlineStr">
        <is>
          <t>97系列二功能落地浴缸龙头酸铜发黑</t>
        </is>
      </c>
      <c r="G889" s="4" t="inlineStr">
        <is>
          <t>刘皓</t>
        </is>
      </c>
      <c r="H889" s="4" t="inlineStr">
        <is>
          <t>落地浴缸</t>
        </is>
      </c>
      <c r="I889" s="12" t="inlineStr">
        <is>
          <t>是</t>
        </is>
      </c>
      <c r="J889" s="34" t="n">
        <v>45476</v>
      </c>
      <c r="K889" s="34" t="n">
        <v>45476</v>
      </c>
      <c r="L889" s="0">
        <f>DATEDIF(J889,$L$1,"M")</f>
        <v/>
      </c>
      <c r="M889" s="0">
        <f>IF(L889&lt;18,"新品期",IF(L889&lt;=36,"老品期","衰退期"))</f>
        <v/>
      </c>
    </row>
    <row r="890" ht="15" customFormat="1" customHeight="1" s="36">
      <c r="A890" s="4" t="inlineStr">
        <is>
          <t>tacuet-US</t>
        </is>
      </c>
      <c r="B890" s="4" t="inlineStr">
        <is>
          <t>Taucet美国站</t>
        </is>
      </c>
      <c r="C890" s="4">
        <f>B890&amp;D890</f>
        <v/>
      </c>
      <c r="D890" s="4" t="inlineStr">
        <is>
          <t>TT-9711BK-ZZ</t>
        </is>
      </c>
      <c r="E890" s="4" t="inlineStr">
        <is>
          <t>211F0097BK2</t>
        </is>
      </c>
      <c r="F890" s="4" t="inlineStr">
        <is>
          <t>97系列二功能落地浴缸龙头酸铜发黑</t>
        </is>
      </c>
      <c r="G890" s="4" t="inlineStr">
        <is>
          <t>刘皓</t>
        </is>
      </c>
      <c r="H890" s="4" t="inlineStr">
        <is>
          <t>落地浴缸</t>
        </is>
      </c>
      <c r="I890" s="12" t="inlineStr">
        <is>
          <t>是</t>
        </is>
      </c>
      <c r="J890" s="34" t="n">
        <v>45476</v>
      </c>
      <c r="K890" s="34" t="n">
        <v>45476</v>
      </c>
      <c r="L890" s="0">
        <f>DATEDIF(J890,$L$1,"M")</f>
        <v/>
      </c>
      <c r="M890" s="0">
        <f>IF(L890&lt;18,"新品期",IF(L890&lt;=36,"老品期","衰退期"))</f>
        <v/>
      </c>
    </row>
    <row r="891" ht="15" customFormat="1" customHeight="1" s="36">
      <c r="A891" s="4" t="inlineStr">
        <is>
          <t>tacuet-US</t>
        </is>
      </c>
      <c r="B891" s="4" t="inlineStr">
        <is>
          <t>Taucet美国站</t>
        </is>
      </c>
      <c r="C891" s="4">
        <f>B891&amp;D891</f>
        <v/>
      </c>
      <c r="D891" s="4" t="inlineStr">
        <is>
          <t>TT-9711BN</t>
        </is>
      </c>
      <c r="E891" s="4" t="inlineStr">
        <is>
          <t>211F0097BN1</t>
        </is>
      </c>
      <c r="F891" s="4" t="inlineStr">
        <is>
          <t>97系列二功能落地浴缸龙头拉丝封油</t>
        </is>
      </c>
      <c r="G891" s="4" t="inlineStr">
        <is>
          <t>刘皓</t>
        </is>
      </c>
      <c r="H891" s="4" t="inlineStr">
        <is>
          <t>落地浴缸</t>
        </is>
      </c>
      <c r="I891" s="12" t="inlineStr">
        <is>
          <t>是</t>
        </is>
      </c>
      <c r="J891" s="34" t="n">
        <v>45476</v>
      </c>
      <c r="K891" s="34" t="n">
        <v>45476</v>
      </c>
      <c r="L891" s="0">
        <f>DATEDIF(J891,$L$1,"M")</f>
        <v/>
      </c>
      <c r="M891" s="0">
        <f>IF(L891&lt;18,"新品期",IF(L891&lt;=36,"老品期","衰退期"))</f>
        <v/>
      </c>
    </row>
    <row r="892" ht="15" customFormat="1" customHeight="1" s="36">
      <c r="A892" s="4" t="inlineStr">
        <is>
          <t>tacuet-US</t>
        </is>
      </c>
      <c r="B892" s="4" t="inlineStr">
        <is>
          <t>Taucet美国站</t>
        </is>
      </c>
      <c r="C892" s="4">
        <f>B892&amp;D892</f>
        <v/>
      </c>
      <c r="D892" s="4" t="inlineStr">
        <is>
          <t>TT-9711BN-ZZ</t>
        </is>
      </c>
      <c r="E892" s="4" t="inlineStr">
        <is>
          <t>211F0097BN1</t>
        </is>
      </c>
      <c r="F892" s="4" t="inlineStr">
        <is>
          <t>97系列二功能落地浴缸龙头拉丝封油</t>
        </is>
      </c>
      <c r="G892" s="4" t="inlineStr">
        <is>
          <t>刘皓</t>
        </is>
      </c>
      <c r="H892" s="4" t="inlineStr">
        <is>
          <t>落地浴缸</t>
        </is>
      </c>
      <c r="I892" s="12" t="inlineStr">
        <is>
          <t>是</t>
        </is>
      </c>
      <c r="J892" s="34" t="n">
        <v>45476</v>
      </c>
      <c r="K892" s="34" t="n">
        <v>45476</v>
      </c>
      <c r="L892" s="0">
        <f>DATEDIF(J892,$L$1,"M")</f>
        <v/>
      </c>
      <c r="M892" s="0">
        <f>IF(L892&lt;18,"新品期",IF(L892&lt;=36,"老品期","衰退期"))</f>
        <v/>
      </c>
    </row>
    <row r="893" ht="15" customFormat="1" customHeight="1" s="36">
      <c r="A893" s="4" t="inlineStr">
        <is>
          <t>tacuet-US</t>
        </is>
      </c>
      <c r="B893" s="4" t="inlineStr">
        <is>
          <t>Taucet美国站</t>
        </is>
      </c>
      <c r="C893" s="4">
        <f>B893&amp;D893</f>
        <v/>
      </c>
      <c r="D893" s="4" t="inlineStr">
        <is>
          <t>TT-9711CP</t>
        </is>
      </c>
      <c r="E893" s="4" t="inlineStr">
        <is>
          <t>211F0097CP1</t>
        </is>
      </c>
      <c r="F893" s="4" t="inlineStr">
        <is>
          <t>97系列二功能落地浴缸龙头铬</t>
        </is>
      </c>
      <c r="G893" s="4" t="inlineStr">
        <is>
          <t>刘皓</t>
        </is>
      </c>
      <c r="H893" s="4" t="inlineStr">
        <is>
          <t>落地浴缸</t>
        </is>
      </c>
      <c r="I893" s="12" t="inlineStr">
        <is>
          <t>是</t>
        </is>
      </c>
      <c r="J893" s="34" t="n">
        <v>45476</v>
      </c>
      <c r="K893" s="34" t="n">
        <v>45476</v>
      </c>
      <c r="L893" s="0">
        <f>DATEDIF(J893,$L$1,"M")</f>
        <v/>
      </c>
      <c r="M893" s="0">
        <f>IF(L893&lt;18,"新品期",IF(L893&lt;=36,"老品期","衰退期"))</f>
        <v/>
      </c>
    </row>
    <row r="894" ht="15" customFormat="1" customHeight="1" s="36">
      <c r="A894" s="4" t="inlineStr">
        <is>
          <t>tacuet-US</t>
        </is>
      </c>
      <c r="B894" s="4" t="inlineStr">
        <is>
          <t>Taucet美国站</t>
        </is>
      </c>
      <c r="C894" s="4">
        <f>B894&amp;D894</f>
        <v/>
      </c>
      <c r="D894" s="4" t="inlineStr">
        <is>
          <t>TT-9711ORB</t>
        </is>
      </c>
      <c r="E894" s="4" t="inlineStr">
        <is>
          <t>211F0097OB1</t>
        </is>
      </c>
      <c r="F894" s="4" t="inlineStr">
        <is>
          <t>97系列二功能落地浴缸龙头 拉丝古铜色</t>
        </is>
      </c>
      <c r="G894" s="4" t="inlineStr">
        <is>
          <t>刘皓</t>
        </is>
      </c>
      <c r="H894" s="4" t="inlineStr">
        <is>
          <t>落地浴缸</t>
        </is>
      </c>
      <c r="I894" s="12" t="inlineStr">
        <is>
          <t>是</t>
        </is>
      </c>
      <c r="J894" s="34" t="n">
        <v>45476</v>
      </c>
      <c r="K894" s="34" t="n">
        <v>45476</v>
      </c>
      <c r="L894" s="0">
        <f>DATEDIF(J894,$L$1,"M")</f>
        <v/>
      </c>
      <c r="M894" s="0">
        <f>IF(L894&lt;18,"新品期",IF(L894&lt;=36,"老品期","衰退期"))</f>
        <v/>
      </c>
    </row>
    <row r="895" ht="15" customFormat="1" customHeight="1" s="36">
      <c r="A895" s="4" t="inlineStr">
        <is>
          <t>tacuet-US</t>
        </is>
      </c>
      <c r="B895" s="4" t="inlineStr">
        <is>
          <t>Taucet美国站</t>
        </is>
      </c>
      <c r="C895" s="4">
        <f>B895&amp;D895</f>
        <v/>
      </c>
      <c r="D895" s="4" t="inlineStr">
        <is>
          <t>TT-9711RGBK</t>
        </is>
      </c>
      <c r="E895" s="4" t="inlineStr">
        <is>
          <t>211F0097RB1</t>
        </is>
      </c>
      <c r="F895" s="4" t="inlineStr">
        <is>
          <t>97系列二功能落地浴缸龙头拉丝玫瑰金+黑色</t>
        </is>
      </c>
      <c r="G895" s="4" t="inlineStr">
        <is>
          <t>刘皓</t>
        </is>
      </c>
      <c r="H895" s="4" t="inlineStr">
        <is>
          <t>落地浴缸</t>
        </is>
      </c>
      <c r="I895" s="12" t="inlineStr">
        <is>
          <t>是</t>
        </is>
      </c>
      <c r="J895" s="34" t="n">
        <v>45476</v>
      </c>
      <c r="K895" s="34" t="n">
        <v>45476</v>
      </c>
      <c r="L895" s="0">
        <f>DATEDIF(J895,$L$1,"M")</f>
        <v/>
      </c>
      <c r="M895" s="0">
        <f>IF(L895&lt;18,"新品期",IF(L895&lt;=36,"老品期","衰退期"))</f>
        <v/>
      </c>
    </row>
    <row r="896" ht="15" customFormat="1" customHeight="1" s="36">
      <c r="A896" s="4" t="inlineStr">
        <is>
          <t>WINKEAR-US</t>
        </is>
      </c>
      <c r="B896" s="4" t="inlineStr">
        <is>
          <t>Winkear美国站</t>
        </is>
      </c>
      <c r="C896" s="4">
        <f>B896&amp;D896</f>
        <v/>
      </c>
      <c r="D896" s="4" t="inlineStr">
        <is>
          <t>L2205-BN</t>
        </is>
      </c>
      <c r="E896" s="4" t="inlineStr">
        <is>
          <t>150F0022BN1</t>
        </is>
      </c>
      <c r="F896" s="4" t="inlineStr">
        <is>
          <t>22系列入墙面盆龙头拉丝封油</t>
        </is>
      </c>
      <c r="G896" s="4" t="inlineStr">
        <is>
          <t>童劲威</t>
        </is>
      </c>
      <c r="H896" s="4" t="inlineStr">
        <is>
          <t>面盆</t>
        </is>
      </c>
      <c r="I896" s="12" t="inlineStr">
        <is>
          <t>是</t>
        </is>
      </c>
      <c r="J896" s="34" t="n">
        <v>44786</v>
      </c>
      <c r="K896" s="34" t="n">
        <v>44786</v>
      </c>
      <c r="L896" s="0">
        <f>DATEDIF(J896,$L$1,"M")</f>
        <v/>
      </c>
      <c r="M896" s="0">
        <f>IF(L896&lt;18,"新品期",IF(L896&lt;=36,"老品期","衰退期"))</f>
        <v/>
      </c>
    </row>
    <row r="897" ht="15" customFormat="1" customHeight="1" s="36">
      <c r="A897" s="4" t="inlineStr">
        <is>
          <t>WINKEAR-US</t>
        </is>
      </c>
      <c r="B897" s="4" t="inlineStr">
        <is>
          <t>Winkear美国站</t>
        </is>
      </c>
      <c r="C897" s="4">
        <f>B897&amp;D897</f>
        <v/>
      </c>
      <c r="D897" s="4" t="inlineStr">
        <is>
          <t>L2205-CP</t>
        </is>
      </c>
      <c r="E897" s="4" t="inlineStr">
        <is>
          <t>150F0022CP1</t>
        </is>
      </c>
      <c r="F897" s="4" t="inlineStr">
        <is>
          <t>22系列入墙面盆龙头铬</t>
        </is>
      </c>
      <c r="G897" s="4" t="inlineStr">
        <is>
          <t>童劲威</t>
        </is>
      </c>
      <c r="H897" s="4" t="inlineStr">
        <is>
          <t>面盆</t>
        </is>
      </c>
      <c r="I897" s="12" t="inlineStr">
        <is>
          <t>否</t>
        </is>
      </c>
      <c r="J897" s="34" t="n">
        <v>44786</v>
      </c>
      <c r="K897" s="34" t="n">
        <v>44786</v>
      </c>
      <c r="L897" s="0">
        <f>DATEDIF(J897,$L$1,"M")</f>
        <v/>
      </c>
      <c r="M897" s="0">
        <f>IF(L897&lt;18,"新品期",IF(L897&lt;=36,"老品期","衰退期"))</f>
        <v/>
      </c>
    </row>
    <row r="898" ht="15" customFormat="1" customHeight="1" s="36">
      <c r="A898" s="4" t="inlineStr">
        <is>
          <t>WINKEAR-US</t>
        </is>
      </c>
      <c r="B898" s="4" t="inlineStr">
        <is>
          <t>Winkear美国站</t>
        </is>
      </c>
      <c r="C898" s="4">
        <f>B898&amp;D898</f>
        <v/>
      </c>
      <c r="D898" s="4" t="inlineStr">
        <is>
          <t>L2205-ORB</t>
        </is>
      </c>
      <c r="E898" s="4" t="inlineStr">
        <is>
          <t>150F0022OB1</t>
        </is>
      </c>
      <c r="F898" s="4" t="inlineStr">
        <is>
          <t>22系列入墙面盆龙头拉丝古铜色</t>
        </is>
      </c>
      <c r="G898" s="4" t="inlineStr">
        <is>
          <t>童劲威</t>
        </is>
      </c>
      <c r="H898" s="4" t="inlineStr">
        <is>
          <t>面盆</t>
        </is>
      </c>
      <c r="I898" s="12" t="inlineStr">
        <is>
          <t>否</t>
        </is>
      </c>
      <c r="J898" s="34" t="n">
        <v>44786</v>
      </c>
      <c r="K898" s="34" t="n">
        <v>44786</v>
      </c>
      <c r="L898" s="0">
        <f>DATEDIF(J898,$L$1,"M")</f>
        <v/>
      </c>
      <c r="M898" s="0">
        <f>IF(L898&lt;18,"新品期",IF(L898&lt;=36,"老品期","衰退期"))</f>
        <v/>
      </c>
    </row>
    <row r="899" ht="15" customFormat="1" customHeight="1" s="36">
      <c r="A899" s="4" t="inlineStr">
        <is>
          <t>Wintap-US</t>
        </is>
      </c>
      <c r="B899" s="4" t="inlineStr">
        <is>
          <t>Wintap美国站</t>
        </is>
      </c>
      <c r="C899" s="4">
        <f>B899&amp;D899</f>
        <v/>
      </c>
      <c r="D899" s="4" t="inlineStr">
        <is>
          <t>WT-0001ZZ</t>
        </is>
      </c>
      <c r="E899" s="4" t="inlineStr">
        <is>
          <t>130F0104CP1</t>
        </is>
      </c>
      <c r="F899" s="4" t="inlineStr">
        <is>
          <t>0104四寸连体面盆龙头铬</t>
        </is>
      </c>
      <c r="G899" s="4" t="inlineStr">
        <is>
          <t>童劲威</t>
        </is>
      </c>
      <c r="H899" s="4" t="inlineStr">
        <is>
          <t>面盆</t>
        </is>
      </c>
      <c r="I899" s="12" t="inlineStr">
        <is>
          <t>是</t>
        </is>
      </c>
      <c r="J899" s="34" t="n">
        <v>44786</v>
      </c>
      <c r="K899" s="34" t="n">
        <v>44786</v>
      </c>
      <c r="L899" s="0">
        <f>DATEDIF(J899,$L$1,"M")</f>
        <v/>
      </c>
      <c r="M899" s="0">
        <f>IF(L899&lt;18,"新品期",IF(L899&lt;=36,"老品期","衰退期"))</f>
        <v/>
      </c>
    </row>
    <row r="900" ht="15" customFormat="1" customHeight="1" s="36">
      <c r="A900" s="4" t="inlineStr">
        <is>
          <t>Wintap-US</t>
        </is>
      </c>
      <c r="B900" s="4" t="inlineStr">
        <is>
          <t>Wintap美国站</t>
        </is>
      </c>
      <c r="C900" s="4">
        <f>B900&amp;D900</f>
        <v/>
      </c>
      <c r="D900" s="4" t="inlineStr">
        <is>
          <t>WT-0008ZZ</t>
        </is>
      </c>
      <c r="E900" s="4" t="inlineStr">
        <is>
          <t>230F3007BN3</t>
        </is>
      </c>
      <c r="F900" s="4" t="inlineStr">
        <is>
          <t>3007单功能入墙浴缸龙头拉丝PVD</t>
        </is>
      </c>
      <c r="G900" s="4" t="inlineStr">
        <is>
          <t>刘皓</t>
        </is>
      </c>
      <c r="H900" s="4" t="inlineStr">
        <is>
          <t>缸边浴缸</t>
        </is>
      </c>
      <c r="I900" s="12" t="inlineStr">
        <is>
          <t>否</t>
        </is>
      </c>
      <c r="J900" s="34" t="n">
        <v>45448</v>
      </c>
      <c r="K900" s="34" t="n">
        <v>45448</v>
      </c>
      <c r="L900" s="0">
        <f>DATEDIF(J900,$L$1,"M")</f>
        <v/>
      </c>
      <c r="M900" s="0">
        <f>IF(L900&lt;18,"新品期",IF(L900&lt;=36,"老品期","衰退期"))</f>
        <v/>
      </c>
    </row>
    <row r="901" ht="15" customFormat="1" customHeight="1" s="36">
      <c r="A901" s="4" t="inlineStr">
        <is>
          <t>Wintap-US</t>
        </is>
      </c>
      <c r="B901" s="4" t="inlineStr">
        <is>
          <t>Wintap美国站</t>
        </is>
      </c>
      <c r="C901" s="4">
        <f>B901&amp;D901</f>
        <v/>
      </c>
      <c r="D901" s="4" t="inlineStr">
        <is>
          <t>WT-0009ZZ</t>
        </is>
      </c>
      <c r="E901" s="4" t="inlineStr">
        <is>
          <t>230F3007CP1</t>
        </is>
      </c>
      <c r="F901" s="4" t="inlineStr">
        <is>
          <t>3007单功能入墙浴缸龙头铬</t>
        </is>
      </c>
      <c r="G901" s="4" t="inlineStr">
        <is>
          <t>刘皓</t>
        </is>
      </c>
      <c r="H901" s="4" t="inlineStr">
        <is>
          <t>缸边浴缸</t>
        </is>
      </c>
      <c r="I901" s="12" t="inlineStr">
        <is>
          <t>是</t>
        </is>
      </c>
      <c r="J901" s="34" t="n">
        <v>45448</v>
      </c>
      <c r="K901" s="34" t="n">
        <v>45448</v>
      </c>
      <c r="L901" s="0">
        <f>DATEDIF(J901,$L$1,"M")</f>
        <v/>
      </c>
      <c r="M901" s="0">
        <f>IF(L901&lt;18,"新品期",IF(L901&lt;=36,"老品期","衰退期"))</f>
        <v/>
      </c>
    </row>
    <row r="902" ht="15" customFormat="1" customHeight="1" s="36">
      <c r="A902" s="4" t="inlineStr">
        <is>
          <t>Wintap-US</t>
        </is>
      </c>
      <c r="B902" s="4" t="inlineStr">
        <is>
          <t>Wintap美国站</t>
        </is>
      </c>
      <c r="C902" s="4">
        <f>B902&amp;D902</f>
        <v/>
      </c>
      <c r="D902" s="4" t="inlineStr">
        <is>
          <t>WT-0010ZZ</t>
        </is>
      </c>
      <c r="E902" s="4" t="inlineStr">
        <is>
          <t>230F3007BG4</t>
        </is>
      </c>
      <c r="F902" s="4" t="inlineStr">
        <is>
          <t>3007单功能入墙浴缸龙头拉丝钛金</t>
        </is>
      </c>
      <c r="G902" s="4" t="inlineStr">
        <is>
          <t>刘皓</t>
        </is>
      </c>
      <c r="H902" s="4" t="inlineStr">
        <is>
          <t>缸边浴缸</t>
        </is>
      </c>
      <c r="I902" s="12" t="inlineStr">
        <is>
          <t>否</t>
        </is>
      </c>
      <c r="J902" s="34" t="n">
        <v>45448</v>
      </c>
      <c r="K902" s="34" t="n">
        <v>45448</v>
      </c>
      <c r="L902" s="0">
        <f>DATEDIF(J902,$L$1,"M")</f>
        <v/>
      </c>
      <c r="M902" s="0">
        <f>IF(L902&lt;18,"新品期",IF(L902&lt;=36,"老品期","衰退期"))</f>
        <v/>
      </c>
    </row>
    <row r="903" ht="15" customFormat="1" customHeight="1" s="36">
      <c r="A903" s="4" t="inlineStr">
        <is>
          <t>Wintap-US</t>
        </is>
      </c>
      <c r="B903" s="4" t="inlineStr">
        <is>
          <t>Wintap美国站</t>
        </is>
      </c>
      <c r="C903" s="4">
        <f>B903&amp;D903</f>
        <v/>
      </c>
      <c r="D903" s="4" t="inlineStr">
        <is>
          <t>WT-9002BG</t>
        </is>
      </c>
      <c r="E903" s="4" t="inlineStr">
        <is>
          <t>211F9002BG1</t>
        </is>
      </c>
      <c r="F903" s="4" t="inlineStr">
        <is>
          <t>B9002落地浴缸龙头拉丝钛金封油</t>
        </is>
      </c>
      <c r="G903" s="4" t="inlineStr">
        <is>
          <t>刘皓</t>
        </is>
      </c>
      <c r="H903" s="4" t="inlineStr">
        <is>
          <t>落地浴缸</t>
        </is>
      </c>
      <c r="I903" s="12" t="inlineStr">
        <is>
          <t>否</t>
        </is>
      </c>
      <c r="J903" s="34" t="n">
        <v>45538</v>
      </c>
      <c r="K903" s="34" t="n">
        <v>45538</v>
      </c>
      <c r="L903" s="0">
        <f>DATEDIF(J903,$L$1,"M")</f>
        <v/>
      </c>
      <c r="M903" s="0">
        <f>IF(L903&lt;18,"新品期",IF(L903&lt;=36,"老品期","衰退期"))</f>
        <v/>
      </c>
    </row>
    <row r="904" ht="15" customFormat="1" customHeight="1" s="36">
      <c r="A904" s="4" t="inlineStr">
        <is>
          <t>Wintap-US</t>
        </is>
      </c>
      <c r="B904" s="4" t="inlineStr">
        <is>
          <t>Wintap美国站</t>
        </is>
      </c>
      <c r="C904" s="4">
        <f>B904&amp;D904</f>
        <v/>
      </c>
      <c r="D904" s="4" t="inlineStr">
        <is>
          <t>WT-9002BG02</t>
        </is>
      </c>
      <c r="E904" s="4" t="inlineStr">
        <is>
          <t>211F9002BG1</t>
        </is>
      </c>
      <c r="F904" s="4" t="inlineStr">
        <is>
          <t>B9002落地浴缸龙头拉丝钛金封油</t>
        </is>
      </c>
      <c r="G904" s="4" t="inlineStr">
        <is>
          <t>刘皓</t>
        </is>
      </c>
      <c r="H904" s="4" t="inlineStr">
        <is>
          <t>落地浴缸</t>
        </is>
      </c>
      <c r="I904" s="12" t="inlineStr">
        <is>
          <t>否</t>
        </is>
      </c>
      <c r="J904" s="4" t="inlineStr">
        <is>
          <t>/</t>
        </is>
      </c>
      <c r="K904" s="4" t="inlineStr">
        <is>
          <t>/</t>
        </is>
      </c>
      <c r="L904" s="0">
        <f>DATEDIF(J904,$L$1,"M")</f>
        <v/>
      </c>
      <c r="M904" s="0">
        <f>IF(L904&lt;18,"新品期",IF(L904&lt;=36,"老品期","衰退期"))</f>
        <v/>
      </c>
      <c r="N904" s="15" t="inlineStr">
        <is>
          <t>备用链接，没发货</t>
        </is>
      </c>
    </row>
    <row r="905" ht="15" customFormat="1" customHeight="1" s="36">
      <c r="A905" s="4" t="inlineStr">
        <is>
          <t>Wintap-US</t>
        </is>
      </c>
      <c r="B905" s="4" t="inlineStr">
        <is>
          <t>Wintap美国站</t>
        </is>
      </c>
      <c r="C905" s="4">
        <f>B905&amp;D905</f>
        <v/>
      </c>
      <c r="D905" s="4" t="inlineStr">
        <is>
          <t>WT-9002BG03</t>
        </is>
      </c>
      <c r="E905" s="4" t="inlineStr">
        <is>
          <t>211F9002BG3</t>
        </is>
      </c>
      <c r="F905" s="4" t="inlineStr">
        <is>
          <t>9002二功能落地浴缸龙头拉丝锆金封油</t>
        </is>
      </c>
      <c r="G905" s="4" t="inlineStr">
        <is>
          <t>刘皓</t>
        </is>
      </c>
      <c r="H905" s="4" t="inlineStr">
        <is>
          <t>落地浴缸</t>
        </is>
      </c>
      <c r="I905" s="12" t="inlineStr">
        <is>
          <t>否</t>
        </is>
      </c>
      <c r="J905" s="4" t="inlineStr">
        <is>
          <t>/</t>
        </is>
      </c>
      <c r="K905" s="4" t="inlineStr">
        <is>
          <t>/</t>
        </is>
      </c>
      <c r="L905" s="0">
        <f>DATEDIF(J905,$L$1,"M")</f>
        <v/>
      </c>
      <c r="M905" s="0">
        <f>IF(L905&lt;18,"新品期",IF(L905&lt;=36,"老品期","衰退期"))</f>
        <v/>
      </c>
      <c r="N905" s="15" t="inlineStr">
        <is>
          <t>备用链接，没发货</t>
        </is>
      </c>
    </row>
    <row r="906" ht="15" customFormat="1" customHeight="1" s="36">
      <c r="A906" s="4" t="inlineStr">
        <is>
          <t>Wintap-US</t>
        </is>
      </c>
      <c r="B906" s="4" t="inlineStr">
        <is>
          <t>Wintap美国站</t>
        </is>
      </c>
      <c r="C906" s="4">
        <f>B906&amp;D906</f>
        <v/>
      </c>
      <c r="D906" s="4" t="inlineStr">
        <is>
          <t>WT-9002BGZZ</t>
        </is>
      </c>
      <c r="E906" s="4" t="inlineStr">
        <is>
          <t>211F9002BG3</t>
        </is>
      </c>
      <c r="F906" s="4" t="inlineStr">
        <is>
          <t>9002二功能落地浴缸龙头拉丝锆金封油</t>
        </is>
      </c>
      <c r="G906" s="4" t="inlineStr">
        <is>
          <t>刘皓</t>
        </is>
      </c>
      <c r="H906" s="4" t="inlineStr">
        <is>
          <t>落地浴缸</t>
        </is>
      </c>
      <c r="I906" s="12" t="inlineStr">
        <is>
          <t>否</t>
        </is>
      </c>
      <c r="J906" s="34" t="n">
        <v>45884</v>
      </c>
      <c r="K906" s="34" t="n">
        <v>45884</v>
      </c>
      <c r="L906" s="0">
        <f>DATEDIF(J906,$L$1,"M")</f>
        <v/>
      </c>
      <c r="M906" s="0">
        <f>IF(L906&lt;18,"新品期",IF(L906&lt;=36,"老品期","衰退期"))</f>
        <v/>
      </c>
      <c r="N906" s="15" t="inlineStr">
        <is>
          <t>45库存在途，未开售，预计开售日期2025-8-15</t>
        </is>
      </c>
    </row>
    <row r="907" ht="15" customFormat="1" customHeight="1" s="36">
      <c r="A907" s="4" t="inlineStr">
        <is>
          <t>Wintap-US</t>
        </is>
      </c>
      <c r="B907" s="4" t="inlineStr">
        <is>
          <t>Wintap美国站</t>
        </is>
      </c>
      <c r="C907" s="4">
        <f>B907&amp;D907</f>
        <v/>
      </c>
      <c r="D907" s="4" t="inlineStr">
        <is>
          <t>WT-9002BGZZ02</t>
        </is>
      </c>
      <c r="E907" s="4" t="inlineStr">
        <is>
          <t>211F9002BG1</t>
        </is>
      </c>
      <c r="F907" s="4" t="inlineStr">
        <is>
          <t>B9002落地浴缸龙头拉丝钛金封油</t>
        </is>
      </c>
      <c r="G907" s="4" t="inlineStr">
        <is>
          <t>刘皓</t>
        </is>
      </c>
      <c r="H907" s="4" t="inlineStr">
        <is>
          <t>落地浴缸</t>
        </is>
      </c>
      <c r="I907" s="12" t="inlineStr">
        <is>
          <t>否</t>
        </is>
      </c>
      <c r="J907" s="34" t="n">
        <v>45616</v>
      </c>
      <c r="K907" s="34" t="n">
        <v>45616</v>
      </c>
      <c r="L907" s="0">
        <f>DATEDIF(J907,$L$1,"M")</f>
        <v/>
      </c>
      <c r="M907" s="0">
        <f>IF(L907&lt;18,"新品期",IF(L907&lt;=36,"老品期","衰退期"))</f>
        <v/>
      </c>
      <c r="N907" s="15" t="n"/>
    </row>
    <row r="908" ht="15" customFormat="1" customHeight="1" s="36">
      <c r="A908" s="4" t="inlineStr">
        <is>
          <t>Wintap-CA</t>
        </is>
      </c>
      <c r="B908" s="4" t="inlineStr">
        <is>
          <t>Wintap加拿大站</t>
        </is>
      </c>
      <c r="C908" s="4">
        <f>B908&amp;D908</f>
        <v/>
      </c>
      <c r="D908" s="4" t="inlineStr">
        <is>
          <t>WT-9002BGZZ02</t>
        </is>
      </c>
      <c r="E908" s="4" t="inlineStr">
        <is>
          <t>211F9002BG1</t>
        </is>
      </c>
      <c r="F908" s="4" t="inlineStr">
        <is>
          <t>B9002落地浴缸龙头拉丝钛金封油</t>
        </is>
      </c>
      <c r="G908" s="4" t="inlineStr">
        <is>
          <t>刘皓</t>
        </is>
      </c>
      <c r="H908" s="4" t="inlineStr">
        <is>
          <t>落地浴缸</t>
        </is>
      </c>
      <c r="I908" s="12" t="inlineStr">
        <is>
          <t>否</t>
        </is>
      </c>
      <c r="J908" s="34" t="n">
        <v>45616</v>
      </c>
      <c r="K908" s="34" t="n">
        <v>45616</v>
      </c>
      <c r="L908" s="0">
        <f>DATEDIF(J908,$L$1,"M")</f>
        <v/>
      </c>
      <c r="M908" s="0">
        <f>IF(L908&lt;18,"新品期",IF(L908&lt;=36,"老品期","衰退期"))</f>
        <v/>
      </c>
      <c r="N908" s="15" t="n"/>
    </row>
    <row r="909" ht="15" customFormat="1" customHeight="1" s="36">
      <c r="A909" s="4" t="inlineStr">
        <is>
          <t>Wintap-US</t>
        </is>
      </c>
      <c r="B909" s="4" t="inlineStr">
        <is>
          <t>Wintap美国站</t>
        </is>
      </c>
      <c r="C909" s="4">
        <f>B909&amp;D909</f>
        <v/>
      </c>
      <c r="D909" s="4" t="inlineStr">
        <is>
          <t>WT-9002BK</t>
        </is>
      </c>
      <c r="E909" s="4" t="inlineStr">
        <is>
          <t>211F9002BK1</t>
        </is>
      </c>
      <c r="F909" s="4" t="inlineStr">
        <is>
          <t>B9002落地浴缸龙头哑黑</t>
        </is>
      </c>
      <c r="G909" s="4" t="inlineStr">
        <is>
          <t>刘皓</t>
        </is>
      </c>
      <c r="H909" s="4" t="inlineStr">
        <is>
          <t>落地浴缸</t>
        </is>
      </c>
      <c r="I909" s="12" t="inlineStr">
        <is>
          <t>否</t>
        </is>
      </c>
      <c r="J909" s="34" t="n">
        <v>45538</v>
      </c>
      <c r="K909" s="34" t="n">
        <v>45538</v>
      </c>
      <c r="L909" s="0">
        <f>DATEDIF(J909,$L$1,"M")</f>
        <v/>
      </c>
      <c r="M909" s="0">
        <f>IF(L909&lt;18,"新品期",IF(L909&lt;=36,"老品期","衰退期"))</f>
        <v/>
      </c>
    </row>
    <row r="910" ht="15" customFormat="1" customHeight="1" s="36">
      <c r="A910" s="4" t="inlineStr">
        <is>
          <t>Wintap-US</t>
        </is>
      </c>
      <c r="B910" s="4" t="inlineStr">
        <is>
          <t>Wintap美国站</t>
        </is>
      </c>
      <c r="C910" s="4">
        <f>B910&amp;D910</f>
        <v/>
      </c>
      <c r="D910" s="4" t="inlineStr">
        <is>
          <t>WT-9002BK02</t>
        </is>
      </c>
      <c r="E910" s="4" t="inlineStr">
        <is>
          <t>211F9002BK1</t>
        </is>
      </c>
      <c r="F910" s="4" t="inlineStr">
        <is>
          <t>B9002落地浴缸龙头哑黑</t>
        </is>
      </c>
      <c r="G910" s="4" t="inlineStr">
        <is>
          <t>刘皓</t>
        </is>
      </c>
      <c r="H910" s="4" t="inlineStr">
        <is>
          <t>落地浴缸</t>
        </is>
      </c>
      <c r="I910" s="12" t="inlineStr">
        <is>
          <t>否</t>
        </is>
      </c>
      <c r="J910" s="4" t="inlineStr">
        <is>
          <t>/</t>
        </is>
      </c>
      <c r="K910" s="4" t="inlineStr">
        <is>
          <t>/</t>
        </is>
      </c>
      <c r="L910" s="0">
        <f>DATEDIF(J910,$L$1,"M")</f>
        <v/>
      </c>
      <c r="M910" s="0">
        <f>IF(L910&lt;18,"新品期",IF(L910&lt;=36,"老品期","衰退期"))</f>
        <v/>
      </c>
      <c r="N910" s="15" t="inlineStr">
        <is>
          <t>备用链接，没发货</t>
        </is>
      </c>
    </row>
    <row r="911" ht="15" customFormat="1" customHeight="1" s="36">
      <c r="A911" s="4" t="inlineStr">
        <is>
          <t>Wintap-US</t>
        </is>
      </c>
      <c r="B911" s="4" t="inlineStr">
        <is>
          <t>Wintap美国站</t>
        </is>
      </c>
      <c r="C911" s="4">
        <f>B911&amp;D911</f>
        <v/>
      </c>
      <c r="D911" s="4" t="inlineStr">
        <is>
          <t>WT-9002BK03</t>
        </is>
      </c>
      <c r="E911" s="4" t="inlineStr">
        <is>
          <t>211F9002BK1</t>
        </is>
      </c>
      <c r="F911" s="4" t="inlineStr">
        <is>
          <t>B9002落地浴缸龙头哑黑</t>
        </is>
      </c>
      <c r="G911" s="4" t="inlineStr">
        <is>
          <t>刘皓</t>
        </is>
      </c>
      <c r="H911" s="4" t="inlineStr">
        <is>
          <t>落地浴缸</t>
        </is>
      </c>
      <c r="I911" s="12" t="inlineStr">
        <is>
          <t>否</t>
        </is>
      </c>
      <c r="J911" s="4" t="inlineStr">
        <is>
          <t>/</t>
        </is>
      </c>
      <c r="K911" s="4" t="inlineStr">
        <is>
          <t>/</t>
        </is>
      </c>
      <c r="L911" s="0">
        <f>DATEDIF(J911,$L$1,"M")</f>
        <v/>
      </c>
      <c r="M911" s="0">
        <f>IF(L911&lt;18,"新品期",IF(L911&lt;=36,"老品期","衰退期"))</f>
        <v/>
      </c>
      <c r="N911" s="15" t="inlineStr">
        <is>
          <t>备用链接，没发货</t>
        </is>
      </c>
    </row>
    <row r="912" ht="15" customFormat="1" customHeight="1" s="36">
      <c r="A912" s="4" t="inlineStr">
        <is>
          <t>Wintap-US</t>
        </is>
      </c>
      <c r="B912" s="4" t="inlineStr">
        <is>
          <t>Wintap美国站</t>
        </is>
      </c>
      <c r="C912" s="4">
        <f>B912&amp;D912</f>
        <v/>
      </c>
      <c r="D912" s="4" t="inlineStr">
        <is>
          <t>WT-9002BKZZ</t>
        </is>
      </c>
      <c r="E912" s="4" t="inlineStr">
        <is>
          <t>211F9002BK1</t>
        </is>
      </c>
      <c r="F912" s="4" t="inlineStr">
        <is>
          <t>B9002落地浴缸龙头哑黑</t>
        </is>
      </c>
      <c r="G912" s="4" t="inlineStr">
        <is>
          <t>刘皓</t>
        </is>
      </c>
      <c r="H912" s="4" t="inlineStr">
        <is>
          <t>落地浴缸</t>
        </is>
      </c>
      <c r="I912" s="12" t="inlineStr">
        <is>
          <t>否</t>
        </is>
      </c>
      <c r="J912" s="4" t="inlineStr">
        <is>
          <t>/</t>
        </is>
      </c>
      <c r="K912" s="4" t="inlineStr">
        <is>
          <t>/</t>
        </is>
      </c>
      <c r="L912" s="0">
        <f>DATEDIF(J912,$L$1,"M")</f>
        <v/>
      </c>
      <c r="M912" s="0">
        <f>IF(L912&lt;18,"新品期",IF(L912&lt;=36,"老品期","衰退期"))</f>
        <v/>
      </c>
      <c r="N912" s="15" t="inlineStr">
        <is>
          <t>备用链接，没发货</t>
        </is>
      </c>
    </row>
    <row r="913" ht="15" customFormat="1" customHeight="1" s="36">
      <c r="A913" s="4" t="inlineStr">
        <is>
          <t>Wintap-CA</t>
        </is>
      </c>
      <c r="B913" s="4" t="inlineStr">
        <is>
          <t>Wintap加拿大站</t>
        </is>
      </c>
      <c r="C913" s="4">
        <f>B913&amp;D913</f>
        <v/>
      </c>
      <c r="D913" s="4" t="inlineStr">
        <is>
          <t>WT-9002BKZZ</t>
        </is>
      </c>
      <c r="E913" s="4" t="inlineStr">
        <is>
          <t>211F9002BK1</t>
        </is>
      </c>
      <c r="F913" s="4" t="inlineStr">
        <is>
          <t>B9002落地浴缸龙头哑黑</t>
        </is>
      </c>
      <c r="G913" s="4" t="inlineStr">
        <is>
          <t>刘皓</t>
        </is>
      </c>
      <c r="H913" s="4" t="inlineStr">
        <is>
          <t>落地浴缸</t>
        </is>
      </c>
      <c r="I913" s="12" t="inlineStr">
        <is>
          <t>否</t>
        </is>
      </c>
      <c r="J913" s="4" t="inlineStr">
        <is>
          <t>/</t>
        </is>
      </c>
      <c r="K913" s="4" t="inlineStr">
        <is>
          <t>/</t>
        </is>
      </c>
      <c r="L913" s="0">
        <f>DATEDIF(J913,$L$1,"M")</f>
        <v/>
      </c>
      <c r="M913" s="0">
        <f>IF(L913&lt;18,"新品期",IF(L913&lt;=36,"老品期","衰退期"))</f>
        <v/>
      </c>
      <c r="N913" s="15" t="inlineStr">
        <is>
          <t>备用链接，没发货</t>
        </is>
      </c>
    </row>
    <row r="914" ht="15" customFormat="1" customHeight="1" s="36">
      <c r="A914" s="4" t="inlineStr">
        <is>
          <t>Wintap-US</t>
        </is>
      </c>
      <c r="B914" s="4" t="inlineStr">
        <is>
          <t>Wintap美国站</t>
        </is>
      </c>
      <c r="C914" s="4">
        <f>B914&amp;D914</f>
        <v/>
      </c>
      <c r="D914" s="4" t="inlineStr">
        <is>
          <t>WT-9002BKZZ02</t>
        </is>
      </c>
      <c r="E914" s="4" t="inlineStr">
        <is>
          <t>211F9002BK1</t>
        </is>
      </c>
      <c r="F914" s="4" t="inlineStr">
        <is>
          <t>B9002落地浴缸龙头哑黑</t>
        </is>
      </c>
      <c r="G914" s="4" t="inlineStr">
        <is>
          <t>刘皓</t>
        </is>
      </c>
      <c r="H914" s="4" t="inlineStr">
        <is>
          <t>落地浴缸</t>
        </is>
      </c>
      <c r="I914" s="12" t="inlineStr">
        <is>
          <t>否</t>
        </is>
      </c>
      <c r="J914" s="4" t="inlineStr">
        <is>
          <t>/</t>
        </is>
      </c>
      <c r="K914" s="4" t="inlineStr">
        <is>
          <t>/</t>
        </is>
      </c>
      <c r="L914" s="0">
        <f>DATEDIF(J914,$L$1,"M")</f>
        <v/>
      </c>
      <c r="M914" s="0">
        <f>IF(L914&lt;18,"新品期",IF(L914&lt;=36,"老品期","衰退期"))</f>
        <v/>
      </c>
      <c r="N914" s="15" t="inlineStr">
        <is>
          <t>备用链接，没发货</t>
        </is>
      </c>
    </row>
    <row r="915" ht="15" customFormat="1" customHeight="1" s="36">
      <c r="A915" s="4" t="inlineStr">
        <is>
          <t>Wintap-CA</t>
        </is>
      </c>
      <c r="B915" s="4" t="inlineStr">
        <is>
          <t>Wintap加拿大站</t>
        </is>
      </c>
      <c r="C915" s="4">
        <f>B915&amp;D915</f>
        <v/>
      </c>
      <c r="D915" s="4" t="inlineStr">
        <is>
          <t>WT-9002BKZZ02</t>
        </is>
      </c>
      <c r="E915" s="4" t="inlineStr">
        <is>
          <t>211F9002BK1</t>
        </is>
      </c>
      <c r="F915" s="4" t="inlineStr">
        <is>
          <t>B9002落地浴缸龙头哑黑</t>
        </is>
      </c>
      <c r="G915" s="4" t="inlineStr">
        <is>
          <t>刘皓</t>
        </is>
      </c>
      <c r="H915" s="4" t="inlineStr">
        <is>
          <t>落地浴缸</t>
        </is>
      </c>
      <c r="I915" s="12" t="inlineStr">
        <is>
          <t>否</t>
        </is>
      </c>
      <c r="J915" s="4" t="inlineStr">
        <is>
          <t>/</t>
        </is>
      </c>
      <c r="K915" s="4" t="inlineStr">
        <is>
          <t>/</t>
        </is>
      </c>
      <c r="L915" s="0">
        <f>DATEDIF(J915,$L$1,"M")</f>
        <v/>
      </c>
      <c r="M915" s="0">
        <f>IF(L915&lt;18,"新品期",IF(L915&lt;=36,"老品期","衰退期"))</f>
        <v/>
      </c>
      <c r="N915" s="15" t="inlineStr">
        <is>
          <t>备用链接，没发货</t>
        </is>
      </c>
    </row>
    <row r="916" ht="15" customFormat="1" customHeight="1" s="36">
      <c r="A916" s="4" t="inlineStr">
        <is>
          <t>Wintap-US</t>
        </is>
      </c>
      <c r="B916" s="4" t="inlineStr">
        <is>
          <t>Wintap美国站</t>
        </is>
      </c>
      <c r="C916" s="4">
        <f>B916&amp;D916</f>
        <v/>
      </c>
      <c r="D916" s="4" t="inlineStr">
        <is>
          <t>WT-9002BN</t>
        </is>
      </c>
      <c r="E916" s="4" t="inlineStr">
        <is>
          <t>211F9002BN1</t>
        </is>
      </c>
      <c r="F916" s="4" t="inlineStr">
        <is>
          <t>B9002落地浴缸龙头拉丝封油</t>
        </is>
      </c>
      <c r="G916" s="4" t="inlineStr">
        <is>
          <t>刘皓</t>
        </is>
      </c>
      <c r="H916" s="4" t="inlineStr">
        <is>
          <t>落地浴缸</t>
        </is>
      </c>
      <c r="I916" s="12" t="inlineStr">
        <is>
          <t>否</t>
        </is>
      </c>
      <c r="J916" s="34" t="n">
        <v>45538</v>
      </c>
      <c r="K916" s="34" t="n">
        <v>45538</v>
      </c>
      <c r="L916" s="0">
        <f>DATEDIF(J916,$L$1,"M")</f>
        <v/>
      </c>
      <c r="M916" s="0">
        <f>IF(L916&lt;18,"新品期",IF(L916&lt;=36,"老品期","衰退期"))</f>
        <v/>
      </c>
    </row>
    <row r="917" ht="15" customFormat="1" customHeight="1" s="36">
      <c r="A917" s="4" t="inlineStr">
        <is>
          <t>Wintap-US</t>
        </is>
      </c>
      <c r="B917" s="4" t="inlineStr">
        <is>
          <t>Wintap美国站</t>
        </is>
      </c>
      <c r="C917" s="4">
        <f>B917&amp;D917</f>
        <v/>
      </c>
      <c r="D917" s="4" t="inlineStr">
        <is>
          <t>WT-9002BN02</t>
        </is>
      </c>
      <c r="E917" s="4" t="inlineStr">
        <is>
          <t>211F9002BN1</t>
        </is>
      </c>
      <c r="F917" s="4" t="inlineStr">
        <is>
          <t>B9002落地浴缸龙头拉丝封油</t>
        </is>
      </c>
      <c r="G917" s="4" t="inlineStr">
        <is>
          <t>刘皓</t>
        </is>
      </c>
      <c r="H917" s="4" t="inlineStr">
        <is>
          <t>落地浴缸</t>
        </is>
      </c>
      <c r="I917" s="12" t="inlineStr">
        <is>
          <t>否</t>
        </is>
      </c>
      <c r="J917" s="4" t="inlineStr">
        <is>
          <t>/</t>
        </is>
      </c>
      <c r="K917" s="4" t="inlineStr">
        <is>
          <t>/</t>
        </is>
      </c>
      <c r="L917" s="0">
        <f>DATEDIF(J917,$L$1,"M")</f>
        <v/>
      </c>
      <c r="M917" s="0">
        <f>IF(L917&lt;18,"新品期",IF(L917&lt;=36,"老品期","衰退期"))</f>
        <v/>
      </c>
      <c r="N917" s="15" t="inlineStr">
        <is>
          <t>备用链接，没发货</t>
        </is>
      </c>
    </row>
    <row r="918" ht="15" customFormat="1" customHeight="1" s="36">
      <c r="A918" s="4" t="inlineStr">
        <is>
          <t>Wintap-US</t>
        </is>
      </c>
      <c r="B918" s="4" t="inlineStr">
        <is>
          <t>Wintap美国站</t>
        </is>
      </c>
      <c r="C918" s="4">
        <f>B918&amp;D918</f>
        <v/>
      </c>
      <c r="D918" s="4" t="inlineStr">
        <is>
          <t>WT-9002BN03</t>
        </is>
      </c>
      <c r="E918" s="4" t="inlineStr">
        <is>
          <t>211F9002BN1</t>
        </is>
      </c>
      <c r="F918" s="4" t="inlineStr">
        <is>
          <t>B9002落地浴缸龙头拉丝封油</t>
        </is>
      </c>
      <c r="G918" s="4" t="inlineStr">
        <is>
          <t>刘皓</t>
        </is>
      </c>
      <c r="H918" s="4" t="inlineStr">
        <is>
          <t>落地浴缸</t>
        </is>
      </c>
      <c r="I918" s="12" t="inlineStr">
        <is>
          <t>否</t>
        </is>
      </c>
      <c r="J918" s="4" t="inlineStr">
        <is>
          <t>/</t>
        </is>
      </c>
      <c r="K918" s="4" t="inlineStr">
        <is>
          <t>/</t>
        </is>
      </c>
      <c r="L918" s="0">
        <f>DATEDIF(J918,$L$1,"M")</f>
        <v/>
      </c>
      <c r="M918" s="0">
        <f>IF(L918&lt;18,"新品期",IF(L918&lt;=36,"老品期","衰退期"))</f>
        <v/>
      </c>
      <c r="N918" s="15" t="inlineStr">
        <is>
          <t>备用链接，没发货</t>
        </is>
      </c>
    </row>
    <row r="919" ht="15" customFormat="1" customHeight="1" s="36">
      <c r="A919" s="4" t="inlineStr">
        <is>
          <t>Wintap-US</t>
        </is>
      </c>
      <c r="B919" s="4" t="inlineStr">
        <is>
          <t>Wintap美国站</t>
        </is>
      </c>
      <c r="C919" s="4">
        <f>B919&amp;D919</f>
        <v/>
      </c>
      <c r="D919" s="4" t="inlineStr">
        <is>
          <t>WT-9002BNZZ</t>
        </is>
      </c>
      <c r="E919" s="4" t="inlineStr">
        <is>
          <t>211F9002BN1</t>
        </is>
      </c>
      <c r="F919" s="4" t="inlineStr">
        <is>
          <t>B9002落地浴缸龙头拉丝封油</t>
        </is>
      </c>
      <c r="G919" s="4" t="inlineStr">
        <is>
          <t>刘皓</t>
        </is>
      </c>
      <c r="H919" s="4" t="inlineStr">
        <is>
          <t>落地浴缸</t>
        </is>
      </c>
      <c r="I919" s="12" t="inlineStr">
        <is>
          <t>否</t>
        </is>
      </c>
      <c r="J919" s="4" t="inlineStr">
        <is>
          <t>/</t>
        </is>
      </c>
      <c r="K919" s="4" t="inlineStr">
        <is>
          <t>/</t>
        </is>
      </c>
      <c r="L919" s="0">
        <f>DATEDIF(J919,$L$1,"M")</f>
        <v/>
      </c>
      <c r="M919" s="0">
        <f>IF(L919&lt;18,"新品期",IF(L919&lt;=36,"老品期","衰退期"))</f>
        <v/>
      </c>
      <c r="N919" s="15" t="inlineStr">
        <is>
          <t>备用链接，没发货</t>
        </is>
      </c>
    </row>
    <row r="920" ht="15" customFormat="1" customHeight="1" s="36">
      <c r="A920" s="4" t="inlineStr">
        <is>
          <t>Wintap-CA</t>
        </is>
      </c>
      <c r="B920" s="4" t="inlineStr">
        <is>
          <t>Wintap加拿大站</t>
        </is>
      </c>
      <c r="C920" s="4">
        <f>B920&amp;D920</f>
        <v/>
      </c>
      <c r="D920" s="4" t="inlineStr">
        <is>
          <t>WT-9002BNZZ</t>
        </is>
      </c>
      <c r="E920" s="4" t="inlineStr">
        <is>
          <t>211F9002BN1</t>
        </is>
      </c>
      <c r="F920" s="4" t="inlineStr">
        <is>
          <t>B9002落地浴缸龙头拉丝封油</t>
        </is>
      </c>
      <c r="G920" s="4" t="inlineStr">
        <is>
          <t>刘皓</t>
        </is>
      </c>
      <c r="H920" s="4" t="inlineStr">
        <is>
          <t>落地浴缸</t>
        </is>
      </c>
      <c r="I920" s="12" t="inlineStr">
        <is>
          <t>否</t>
        </is>
      </c>
      <c r="J920" s="4" t="inlineStr">
        <is>
          <t>/</t>
        </is>
      </c>
      <c r="K920" s="4" t="inlineStr">
        <is>
          <t>/</t>
        </is>
      </c>
      <c r="L920" s="0">
        <f>DATEDIF(J920,$L$1,"M")</f>
        <v/>
      </c>
      <c r="M920" s="0">
        <f>IF(L920&lt;18,"新品期",IF(L920&lt;=36,"老品期","衰退期"))</f>
        <v/>
      </c>
      <c r="N920" s="15" t="inlineStr">
        <is>
          <t>备用链接，没发货</t>
        </is>
      </c>
    </row>
    <row r="921" ht="15" customFormat="1" customHeight="1" s="36">
      <c r="A921" s="4" t="inlineStr">
        <is>
          <t>Wintap-US</t>
        </is>
      </c>
      <c r="B921" s="4" t="inlineStr">
        <is>
          <t>Wintap美国站</t>
        </is>
      </c>
      <c r="C921" s="4">
        <f>B921&amp;D921</f>
        <v/>
      </c>
      <c r="D921" s="4" t="inlineStr">
        <is>
          <t>WT-9002BNZZ02</t>
        </is>
      </c>
      <c r="E921" s="4" t="inlineStr">
        <is>
          <t>211F9002BN1</t>
        </is>
      </c>
      <c r="F921" s="4" t="inlineStr">
        <is>
          <t>B9002落地浴缸龙头拉丝封油</t>
        </is>
      </c>
      <c r="G921" s="4" t="inlineStr">
        <is>
          <t>刘皓</t>
        </is>
      </c>
      <c r="H921" s="4" t="inlineStr">
        <is>
          <t>落地浴缸</t>
        </is>
      </c>
      <c r="I921" s="12" t="inlineStr">
        <is>
          <t>否</t>
        </is>
      </c>
      <c r="J921" s="4" t="inlineStr">
        <is>
          <t>/</t>
        </is>
      </c>
      <c r="K921" s="4" t="inlineStr">
        <is>
          <t>/</t>
        </is>
      </c>
      <c r="L921" s="0">
        <f>DATEDIF(J921,$L$1,"M")</f>
        <v/>
      </c>
      <c r="M921" s="0">
        <f>IF(L921&lt;18,"新品期",IF(L921&lt;=36,"老品期","衰退期"))</f>
        <v/>
      </c>
      <c r="N921" s="15" t="inlineStr">
        <is>
          <t>备用链接，没发货</t>
        </is>
      </c>
    </row>
    <row r="922" ht="15" customFormat="1" customHeight="1" s="36">
      <c r="A922" s="4" t="inlineStr">
        <is>
          <t>Wintap-CA</t>
        </is>
      </c>
      <c r="B922" s="4" t="inlineStr">
        <is>
          <t>Wintap加拿大站</t>
        </is>
      </c>
      <c r="C922" s="4">
        <f>B922&amp;D922</f>
        <v/>
      </c>
      <c r="D922" s="4" t="inlineStr">
        <is>
          <t>WT-9002BNZZ02</t>
        </is>
      </c>
      <c r="E922" s="4" t="inlineStr">
        <is>
          <t>211F9002BN1</t>
        </is>
      </c>
      <c r="F922" s="4" t="inlineStr">
        <is>
          <t>B9002落地浴缸龙头拉丝封油</t>
        </is>
      </c>
      <c r="G922" s="4" t="inlineStr">
        <is>
          <t>刘皓</t>
        </is>
      </c>
      <c r="H922" s="4" t="inlineStr">
        <is>
          <t>落地浴缸</t>
        </is>
      </c>
      <c r="I922" s="12" t="inlineStr">
        <is>
          <t>否</t>
        </is>
      </c>
      <c r="J922" s="4" t="inlineStr">
        <is>
          <t>/</t>
        </is>
      </c>
      <c r="K922" s="4" t="inlineStr">
        <is>
          <t>/</t>
        </is>
      </c>
      <c r="L922" s="0">
        <f>DATEDIF(J922,$L$1,"M")</f>
        <v/>
      </c>
      <c r="M922" s="0">
        <f>IF(L922&lt;18,"新品期",IF(L922&lt;=36,"老品期","衰退期"))</f>
        <v/>
      </c>
      <c r="N922" s="15" t="inlineStr">
        <is>
          <t>备用链接，没发货</t>
        </is>
      </c>
    </row>
    <row r="923" ht="15" customFormat="1" customHeight="1" s="36">
      <c r="A923" s="4" t="inlineStr">
        <is>
          <t>Wintap-US</t>
        </is>
      </c>
      <c r="B923" s="4" t="inlineStr">
        <is>
          <t>Wintap美国站</t>
        </is>
      </c>
      <c r="C923" s="4">
        <f>B923&amp;D923</f>
        <v/>
      </c>
      <c r="D923" s="4" t="inlineStr">
        <is>
          <t>WT-9002CP</t>
        </is>
      </c>
      <c r="E923" s="4" t="inlineStr">
        <is>
          <t>211F9002CP1</t>
        </is>
      </c>
      <c r="F923" s="4" t="inlineStr">
        <is>
          <t>B9002落地浴缸龙头铬色</t>
        </is>
      </c>
      <c r="G923" s="4" t="inlineStr">
        <is>
          <t>刘皓</t>
        </is>
      </c>
      <c r="H923" s="4" t="inlineStr">
        <is>
          <t>落地浴缸</t>
        </is>
      </c>
      <c r="I923" s="12" t="inlineStr">
        <is>
          <t>否</t>
        </is>
      </c>
      <c r="J923" s="34" t="n">
        <v>45538</v>
      </c>
      <c r="K923" s="34" t="n">
        <v>45538</v>
      </c>
      <c r="L923" s="0">
        <f>DATEDIF(J923,$L$1,"M")</f>
        <v/>
      </c>
      <c r="M923" s="0">
        <f>IF(L923&lt;18,"新品期",IF(L923&lt;=36,"老品期","衰退期"))</f>
        <v/>
      </c>
    </row>
    <row r="924" ht="15" customFormat="1" customHeight="1" s="36">
      <c r="A924" s="4" t="inlineStr">
        <is>
          <t>Wintap-US</t>
        </is>
      </c>
      <c r="B924" s="4" t="inlineStr">
        <is>
          <t>Wintap美国站</t>
        </is>
      </c>
      <c r="C924" s="4">
        <f>B924&amp;D924</f>
        <v/>
      </c>
      <c r="D924" s="4" t="inlineStr">
        <is>
          <t>WT-9002CP02</t>
        </is>
      </c>
      <c r="E924" s="4" t="inlineStr">
        <is>
          <t>211F9002CP1</t>
        </is>
      </c>
      <c r="F924" s="4" t="inlineStr">
        <is>
          <t>B9002落地浴缸龙头铬色</t>
        </is>
      </c>
      <c r="G924" s="4" t="inlineStr">
        <is>
          <t>刘皓</t>
        </is>
      </c>
      <c r="H924" s="4" t="inlineStr">
        <is>
          <t>落地浴缸</t>
        </is>
      </c>
      <c r="I924" s="12" t="inlineStr">
        <is>
          <t>否</t>
        </is>
      </c>
      <c r="J924" s="4" t="inlineStr">
        <is>
          <t>/</t>
        </is>
      </c>
      <c r="K924" s="4" t="inlineStr">
        <is>
          <t>/</t>
        </is>
      </c>
      <c r="L924" s="0">
        <f>DATEDIF(J924,$L$1,"M")</f>
        <v/>
      </c>
      <c r="M924" s="0">
        <f>IF(L924&lt;18,"新品期",IF(L924&lt;=36,"老品期","衰退期"))</f>
        <v/>
      </c>
      <c r="N924" s="15" t="inlineStr">
        <is>
          <t>备用链接，没发货</t>
        </is>
      </c>
    </row>
    <row r="925" ht="15" customFormat="1" customHeight="1" s="36">
      <c r="A925" s="4" t="inlineStr">
        <is>
          <t>Wintap-US</t>
        </is>
      </c>
      <c r="B925" s="4" t="inlineStr">
        <is>
          <t>Wintap美国站</t>
        </is>
      </c>
      <c r="C925" s="4">
        <f>B925&amp;D925</f>
        <v/>
      </c>
      <c r="D925" s="4" t="inlineStr">
        <is>
          <t>WT-9002CP03</t>
        </is>
      </c>
      <c r="E925" s="4" t="inlineStr">
        <is>
          <t>211F9002CP1</t>
        </is>
      </c>
      <c r="F925" s="4" t="inlineStr">
        <is>
          <t>B9002落地浴缸龙头铬色</t>
        </is>
      </c>
      <c r="G925" s="4" t="inlineStr">
        <is>
          <t>刘皓</t>
        </is>
      </c>
      <c r="H925" s="4" t="inlineStr">
        <is>
          <t>落地浴缸</t>
        </is>
      </c>
      <c r="I925" s="12" t="inlineStr">
        <is>
          <t>否</t>
        </is>
      </c>
      <c r="J925" s="4" t="inlineStr">
        <is>
          <t>/</t>
        </is>
      </c>
      <c r="K925" s="4" t="inlineStr">
        <is>
          <t>/</t>
        </is>
      </c>
      <c r="L925" s="0">
        <f>DATEDIF(J925,$L$1,"M")</f>
        <v/>
      </c>
      <c r="M925" s="0">
        <f>IF(L925&lt;18,"新品期",IF(L925&lt;=36,"老品期","衰退期"))</f>
        <v/>
      </c>
      <c r="N925" s="15" t="inlineStr">
        <is>
          <t>备用链接，没发货</t>
        </is>
      </c>
    </row>
    <row r="926" ht="15" customFormat="1" customHeight="1" s="36">
      <c r="A926" s="4" t="inlineStr">
        <is>
          <t>Wintap-US</t>
        </is>
      </c>
      <c r="B926" s="4" t="inlineStr">
        <is>
          <t>Wintap美国站</t>
        </is>
      </c>
      <c r="C926" s="4">
        <f>B926&amp;D926</f>
        <v/>
      </c>
      <c r="D926" s="4" t="inlineStr">
        <is>
          <t>WT-9002CPZZ</t>
        </is>
      </c>
      <c r="E926" s="4" t="inlineStr">
        <is>
          <t>211F9002CP1</t>
        </is>
      </c>
      <c r="F926" s="4" t="inlineStr">
        <is>
          <t>B9002落地浴缸龙头铬色</t>
        </is>
      </c>
      <c r="G926" s="4" t="inlineStr">
        <is>
          <t>刘皓</t>
        </is>
      </c>
      <c r="H926" s="4" t="inlineStr">
        <is>
          <t>落地浴缸</t>
        </is>
      </c>
      <c r="I926" s="12" t="inlineStr">
        <is>
          <t>否</t>
        </is>
      </c>
      <c r="J926" s="4" t="inlineStr">
        <is>
          <t>/</t>
        </is>
      </c>
      <c r="K926" s="4" t="inlineStr">
        <is>
          <t>/</t>
        </is>
      </c>
      <c r="L926" s="0">
        <f>DATEDIF(J926,$L$1,"M")</f>
        <v/>
      </c>
      <c r="M926" s="0">
        <f>IF(L926&lt;18,"新品期",IF(L926&lt;=36,"老品期","衰退期"))</f>
        <v/>
      </c>
      <c r="N926" s="15" t="inlineStr">
        <is>
          <t>备用链接，没发货</t>
        </is>
      </c>
    </row>
    <row r="927" ht="15" customFormat="1" customHeight="1" s="36">
      <c r="A927" s="4" t="inlineStr">
        <is>
          <t>Wintap-CA</t>
        </is>
      </c>
      <c r="B927" s="4" t="inlineStr">
        <is>
          <t>Wintap加拿大站</t>
        </is>
      </c>
      <c r="C927" s="4">
        <f>B927&amp;D927</f>
        <v/>
      </c>
      <c r="D927" s="4" t="inlineStr">
        <is>
          <t>WT-9002CPZZ</t>
        </is>
      </c>
      <c r="E927" s="4" t="inlineStr">
        <is>
          <t>211F9002CP1</t>
        </is>
      </c>
      <c r="F927" s="4" t="inlineStr">
        <is>
          <t>B9002落地浴缸龙头铬色</t>
        </is>
      </c>
      <c r="G927" s="4" t="inlineStr">
        <is>
          <t>刘皓</t>
        </is>
      </c>
      <c r="H927" s="4" t="inlineStr">
        <is>
          <t>落地浴缸</t>
        </is>
      </c>
      <c r="I927" s="12" t="inlineStr">
        <is>
          <t>否</t>
        </is>
      </c>
      <c r="J927" s="4" t="inlineStr">
        <is>
          <t>/</t>
        </is>
      </c>
      <c r="K927" s="4" t="inlineStr">
        <is>
          <t>/</t>
        </is>
      </c>
      <c r="L927" s="0">
        <f>DATEDIF(J927,$L$1,"M")</f>
        <v/>
      </c>
      <c r="M927" s="0">
        <f>IF(L927&lt;18,"新品期",IF(L927&lt;=36,"老品期","衰退期"))</f>
        <v/>
      </c>
      <c r="N927" s="15" t="inlineStr">
        <is>
          <t>备用链接，没发货</t>
        </is>
      </c>
    </row>
    <row r="928" ht="15" customFormat="1" customHeight="1" s="36">
      <c r="A928" s="4" t="inlineStr">
        <is>
          <t>Wintap-US</t>
        </is>
      </c>
      <c r="B928" s="4" t="inlineStr">
        <is>
          <t>Wintap美国站</t>
        </is>
      </c>
      <c r="C928" s="4">
        <f>B928&amp;D928</f>
        <v/>
      </c>
      <c r="D928" s="4" t="inlineStr">
        <is>
          <t>WT-9002CPZZ02</t>
        </is>
      </c>
      <c r="E928" s="4" t="inlineStr">
        <is>
          <t>211F9002CP1</t>
        </is>
      </c>
      <c r="F928" s="4" t="inlineStr">
        <is>
          <t>B9002落地浴缸龙头铬色</t>
        </is>
      </c>
      <c r="G928" s="4" t="inlineStr">
        <is>
          <t>刘皓</t>
        </is>
      </c>
      <c r="H928" s="4" t="inlineStr">
        <is>
          <t>落地浴缸</t>
        </is>
      </c>
      <c r="I928" s="12" t="inlineStr">
        <is>
          <t>否</t>
        </is>
      </c>
      <c r="J928" s="34" t="n">
        <v>45690</v>
      </c>
      <c r="K928" s="34" t="n">
        <v>45690</v>
      </c>
      <c r="L928" s="0">
        <f>DATEDIF(J928,$L$1,"M")</f>
        <v/>
      </c>
      <c r="M928" s="0">
        <f>IF(L928&lt;18,"新品期",IF(L928&lt;=36,"老品期","衰退期"))</f>
        <v/>
      </c>
      <c r="N928" s="15" t="n"/>
    </row>
    <row r="929" ht="15" customFormat="1" customHeight="1" s="36">
      <c r="A929" s="4" t="inlineStr">
        <is>
          <t>Wintap-CA</t>
        </is>
      </c>
      <c r="B929" s="4" t="inlineStr">
        <is>
          <t>Wintap加拿大站</t>
        </is>
      </c>
      <c r="C929" s="4">
        <f>B929&amp;D929</f>
        <v/>
      </c>
      <c r="D929" s="4" t="inlineStr">
        <is>
          <t>WT-9002CPZZ02</t>
        </is>
      </c>
      <c r="E929" s="4" t="inlineStr">
        <is>
          <t>211F9002CP1</t>
        </is>
      </c>
      <c r="F929" s="4" t="inlineStr">
        <is>
          <t>B9002落地浴缸龙头铬色</t>
        </is>
      </c>
      <c r="G929" s="4" t="inlineStr">
        <is>
          <t>刘皓</t>
        </is>
      </c>
      <c r="H929" s="4" t="inlineStr">
        <is>
          <t>落地浴缸</t>
        </is>
      </c>
      <c r="I929" s="12" t="inlineStr">
        <is>
          <t>否</t>
        </is>
      </c>
      <c r="J929" s="4" t="inlineStr">
        <is>
          <t>/</t>
        </is>
      </c>
      <c r="K929" s="4" t="inlineStr">
        <is>
          <t>/</t>
        </is>
      </c>
      <c r="L929" s="0">
        <f>DATEDIF(J929,$L$1,"M")</f>
        <v/>
      </c>
      <c r="M929" s="0">
        <f>IF(L929&lt;18,"新品期",IF(L929&lt;=36,"老品期","衰退期"))</f>
        <v/>
      </c>
      <c r="N929" s="15" t="inlineStr">
        <is>
          <t>备用链接，没发货</t>
        </is>
      </c>
    </row>
    <row r="930" ht="15" customFormat="1" customHeight="1" s="36">
      <c r="A930" s="4" t="inlineStr">
        <is>
          <t>Wintap-US</t>
        </is>
      </c>
      <c r="B930" s="4" t="inlineStr">
        <is>
          <t>Wintap美国站</t>
        </is>
      </c>
      <c r="C930" s="4">
        <f>B930&amp;D930</f>
        <v/>
      </c>
      <c r="D930" s="4" t="inlineStr">
        <is>
          <t>WT-9002ORB</t>
        </is>
      </c>
      <c r="E930" s="4" t="inlineStr">
        <is>
          <t>211F9002OB1</t>
        </is>
      </c>
      <c r="F930" s="4" t="inlineStr">
        <is>
          <t>B9002落地浴缸龙头拉丝古铜色</t>
        </is>
      </c>
      <c r="G930" s="4" t="inlineStr">
        <is>
          <t>刘皓</t>
        </is>
      </c>
      <c r="H930" s="4" t="inlineStr">
        <is>
          <t>落地浴缸</t>
        </is>
      </c>
      <c r="I930" s="12" t="inlineStr">
        <is>
          <t>否</t>
        </is>
      </c>
      <c r="J930" s="34" t="n">
        <v>45538</v>
      </c>
      <c r="K930" s="34" t="n">
        <v>45538</v>
      </c>
      <c r="L930" s="0">
        <f>DATEDIF(J930,$L$1,"M")</f>
        <v/>
      </c>
      <c r="M930" s="0">
        <f>IF(L930&lt;18,"新品期",IF(L930&lt;=36,"老品期","衰退期"))</f>
        <v/>
      </c>
    </row>
    <row r="931" ht="15" customFormat="1" customHeight="1" s="36">
      <c r="A931" s="4" t="inlineStr">
        <is>
          <t>Wintap-US</t>
        </is>
      </c>
      <c r="B931" s="4" t="inlineStr">
        <is>
          <t>Wintap美国站</t>
        </is>
      </c>
      <c r="C931" s="4">
        <f>B931&amp;D931</f>
        <v/>
      </c>
      <c r="D931" s="4" t="inlineStr">
        <is>
          <t>WT-9002ORB02</t>
        </is>
      </c>
      <c r="E931" s="4" t="inlineStr">
        <is>
          <t>211F9002OB1</t>
        </is>
      </c>
      <c r="F931" s="4" t="inlineStr">
        <is>
          <t>B9002落地浴缸龙头拉丝古铜色</t>
        </is>
      </c>
      <c r="G931" s="4" t="inlineStr">
        <is>
          <t>刘皓</t>
        </is>
      </c>
      <c r="H931" s="4" t="inlineStr">
        <is>
          <t>落地浴缸</t>
        </is>
      </c>
      <c r="I931" s="12" t="inlineStr">
        <is>
          <t>否</t>
        </is>
      </c>
      <c r="J931" s="4" t="inlineStr">
        <is>
          <t>/</t>
        </is>
      </c>
      <c r="K931" s="4" t="inlineStr">
        <is>
          <t>/</t>
        </is>
      </c>
      <c r="L931" s="0">
        <f>DATEDIF(J931,$L$1,"M")</f>
        <v/>
      </c>
      <c r="M931" s="0">
        <f>IF(L931&lt;18,"新品期",IF(L931&lt;=36,"老品期","衰退期"))</f>
        <v/>
      </c>
      <c r="N931" s="15" t="inlineStr">
        <is>
          <t>备用链接，没发货</t>
        </is>
      </c>
    </row>
    <row r="932" ht="15" customFormat="1" customHeight="1" s="36">
      <c r="A932" s="4" t="inlineStr">
        <is>
          <t>Wintap-US</t>
        </is>
      </c>
      <c r="B932" s="4" t="inlineStr">
        <is>
          <t>Wintap美国站</t>
        </is>
      </c>
      <c r="C932" s="4">
        <f>B932&amp;D932</f>
        <v/>
      </c>
      <c r="D932" s="4" t="inlineStr">
        <is>
          <t>WT-9002ORB03</t>
        </is>
      </c>
      <c r="E932" s="4" t="inlineStr">
        <is>
          <t>211F9002OB1</t>
        </is>
      </c>
      <c r="F932" s="4" t="inlineStr">
        <is>
          <t>B9002落地浴缸龙头拉丝古铜色</t>
        </is>
      </c>
      <c r="G932" s="4" t="inlineStr">
        <is>
          <t>刘皓</t>
        </is>
      </c>
      <c r="H932" s="4" t="inlineStr">
        <is>
          <t>落地浴缸</t>
        </is>
      </c>
      <c r="I932" s="12" t="inlineStr">
        <is>
          <t>否</t>
        </is>
      </c>
      <c r="J932" s="4" t="inlineStr">
        <is>
          <t>/</t>
        </is>
      </c>
      <c r="K932" s="4" t="inlineStr">
        <is>
          <t>/</t>
        </is>
      </c>
      <c r="L932" s="0">
        <f>DATEDIF(J932,$L$1,"M")</f>
        <v/>
      </c>
      <c r="M932" s="0">
        <f>IF(L932&lt;18,"新品期",IF(L932&lt;=36,"老品期","衰退期"))</f>
        <v/>
      </c>
      <c r="N932" s="15" t="inlineStr">
        <is>
          <t>备用链接，没发货</t>
        </is>
      </c>
    </row>
    <row r="933" ht="15" customFormat="1" customHeight="1" s="36">
      <c r="A933" s="4" t="inlineStr">
        <is>
          <t>Wintap-US</t>
        </is>
      </c>
      <c r="B933" s="4" t="inlineStr">
        <is>
          <t>Wintap美国站</t>
        </is>
      </c>
      <c r="C933" s="4">
        <f>B933&amp;D933</f>
        <v/>
      </c>
      <c r="D933" s="4" t="inlineStr">
        <is>
          <t>WT-9002ORBZZ</t>
        </is>
      </c>
      <c r="E933" s="4" t="inlineStr">
        <is>
          <t>211F9002OB1</t>
        </is>
      </c>
      <c r="F933" s="4" t="inlineStr">
        <is>
          <t>B9002落地浴缸龙头拉丝古铜色</t>
        </is>
      </c>
      <c r="G933" s="4" t="inlineStr">
        <is>
          <t>刘皓</t>
        </is>
      </c>
      <c r="H933" s="4" t="inlineStr">
        <is>
          <t>落地浴缸</t>
        </is>
      </c>
      <c r="I933" s="12" t="inlineStr">
        <is>
          <t>否</t>
        </is>
      </c>
      <c r="J933" s="4" t="inlineStr">
        <is>
          <t>/</t>
        </is>
      </c>
      <c r="K933" s="4" t="inlineStr">
        <is>
          <t>/</t>
        </is>
      </c>
      <c r="L933" s="0">
        <f>DATEDIF(J933,$L$1,"M")</f>
        <v/>
      </c>
      <c r="M933" s="0">
        <f>IF(L933&lt;18,"新品期",IF(L933&lt;=36,"老品期","衰退期"))</f>
        <v/>
      </c>
      <c r="N933" s="15" t="inlineStr">
        <is>
          <t>备用链接，没发货</t>
        </is>
      </c>
    </row>
    <row r="934" ht="15" customFormat="1" customHeight="1" s="36">
      <c r="A934" s="4" t="inlineStr">
        <is>
          <t>Wintap-CA</t>
        </is>
      </c>
      <c r="B934" s="4" t="inlineStr">
        <is>
          <t>Wintap加拿大站</t>
        </is>
      </c>
      <c r="C934" s="4">
        <f>B934&amp;D934</f>
        <v/>
      </c>
      <c r="D934" s="4" t="inlineStr">
        <is>
          <t>WT-9002ORBZZ</t>
        </is>
      </c>
      <c r="E934" s="4" t="inlineStr">
        <is>
          <t>211F9002OB1</t>
        </is>
      </c>
      <c r="F934" s="4" t="inlineStr">
        <is>
          <t>B9002落地浴缸龙头拉丝古铜色</t>
        </is>
      </c>
      <c r="G934" s="4" t="inlineStr">
        <is>
          <t>刘皓</t>
        </is>
      </c>
      <c r="H934" s="4" t="inlineStr">
        <is>
          <t>落地浴缸</t>
        </is>
      </c>
      <c r="I934" s="12" t="inlineStr">
        <is>
          <t>否</t>
        </is>
      </c>
      <c r="J934" s="4" t="inlineStr">
        <is>
          <t>/</t>
        </is>
      </c>
      <c r="K934" s="4" t="inlineStr">
        <is>
          <t>/</t>
        </is>
      </c>
      <c r="L934" s="0">
        <f>DATEDIF(J934,$L$1,"M")</f>
        <v/>
      </c>
      <c r="M934" s="0">
        <f>IF(L934&lt;18,"新品期",IF(L934&lt;=36,"老品期","衰退期"))</f>
        <v/>
      </c>
      <c r="N934" s="15" t="inlineStr">
        <is>
          <t>备用链接，没发货</t>
        </is>
      </c>
    </row>
    <row r="935" ht="15" customFormat="1" customHeight="1" s="36">
      <c r="A935" s="4" t="inlineStr">
        <is>
          <t>Wintap-US</t>
        </is>
      </c>
      <c r="B935" s="4" t="inlineStr">
        <is>
          <t>Wintap美国站</t>
        </is>
      </c>
      <c r="C935" s="4">
        <f>B935&amp;D935</f>
        <v/>
      </c>
      <c r="D935" s="4" t="inlineStr">
        <is>
          <t>WT-9002ORBZZ02</t>
        </is>
      </c>
      <c r="E935" s="4" t="inlineStr">
        <is>
          <t>211F9002OB1</t>
        </is>
      </c>
      <c r="F935" s="4" t="inlineStr">
        <is>
          <t>B9002落地浴缸龙头拉丝古铜色</t>
        </is>
      </c>
      <c r="G935" s="4" t="inlineStr">
        <is>
          <t>刘皓</t>
        </is>
      </c>
      <c r="H935" s="4" t="inlineStr">
        <is>
          <t>落地浴缸</t>
        </is>
      </c>
      <c r="I935" s="12" t="inlineStr">
        <is>
          <t>否</t>
        </is>
      </c>
      <c r="J935" s="4" t="inlineStr">
        <is>
          <t>/</t>
        </is>
      </c>
      <c r="K935" s="4" t="inlineStr">
        <is>
          <t>/</t>
        </is>
      </c>
      <c r="L935" s="0">
        <f>DATEDIF(J935,$L$1,"M")</f>
        <v/>
      </c>
      <c r="M935" s="0">
        <f>IF(L935&lt;18,"新品期",IF(L935&lt;=36,"老品期","衰退期"))</f>
        <v/>
      </c>
      <c r="N935" s="15" t="inlineStr">
        <is>
          <t>备用链接，没发货</t>
        </is>
      </c>
    </row>
    <row r="936" ht="15" customFormat="1" customHeight="1" s="36">
      <c r="A936" s="4" t="inlineStr">
        <is>
          <t>Wintap-CA</t>
        </is>
      </c>
      <c r="B936" s="4" t="inlineStr">
        <is>
          <t>Wintap加拿大站</t>
        </is>
      </c>
      <c r="C936" s="4">
        <f>B936&amp;D936</f>
        <v/>
      </c>
      <c r="D936" s="4" t="inlineStr">
        <is>
          <t>WT-9002ORBZZ02</t>
        </is>
      </c>
      <c r="E936" s="4" t="inlineStr">
        <is>
          <t>211F9002OB1</t>
        </is>
      </c>
      <c r="F936" s="4" t="inlineStr">
        <is>
          <t>B9002落地浴缸龙头拉丝古铜色</t>
        </is>
      </c>
      <c r="G936" s="4" t="inlineStr">
        <is>
          <t>刘皓</t>
        </is>
      </c>
      <c r="H936" s="4" t="inlineStr">
        <is>
          <t>落地浴缸</t>
        </is>
      </c>
      <c r="I936" s="12" t="inlineStr">
        <is>
          <t>否</t>
        </is>
      </c>
      <c r="J936" s="4" t="inlineStr">
        <is>
          <t>/</t>
        </is>
      </c>
      <c r="K936" s="4" t="inlineStr">
        <is>
          <t>/</t>
        </is>
      </c>
      <c r="L936" s="0">
        <f>DATEDIF(J936,$L$1,"M")</f>
        <v/>
      </c>
      <c r="M936" s="0">
        <f>IF(L936&lt;18,"新品期",IF(L936&lt;=36,"老品期","衰退期"))</f>
        <v/>
      </c>
      <c r="N936" s="15" t="inlineStr">
        <is>
          <t>备用链接，没发货</t>
        </is>
      </c>
    </row>
    <row r="937" ht="15" customFormat="1" customHeight="1" s="36">
      <c r="A937" s="4" t="inlineStr">
        <is>
          <t>Wintap-US</t>
        </is>
      </c>
      <c r="B937" s="4" t="inlineStr">
        <is>
          <t>Wintap美国站</t>
        </is>
      </c>
      <c r="C937" s="4">
        <f>B937&amp;D937</f>
        <v/>
      </c>
      <c r="D937" s="4" t="inlineStr">
        <is>
          <t>WT-9801BG</t>
        </is>
      </c>
      <c r="E937" s="4" t="inlineStr">
        <is>
          <t>110F0098BG1</t>
        </is>
      </c>
      <c r="F937" s="4" t="inlineStr">
        <is>
          <t>98系列矮身单孔正开面盆龙头拉丝钛金封油</t>
        </is>
      </c>
      <c r="G937" s="4" t="inlineStr">
        <is>
          <t>曾志发</t>
        </is>
      </c>
      <c r="H937" s="4" t="inlineStr">
        <is>
          <t>面盆</t>
        </is>
      </c>
      <c r="I937" s="12" t="inlineStr">
        <is>
          <t>是</t>
        </is>
      </c>
      <c r="J937" s="34" t="n">
        <v>45340</v>
      </c>
      <c r="K937" s="34" t="n">
        <v>45340</v>
      </c>
      <c r="L937" s="0">
        <f>DATEDIF(J937,$L$1,"M")</f>
        <v/>
      </c>
      <c r="M937" s="0">
        <f>IF(L937&lt;18,"新品期",IF(L937&lt;=36,"老品期","衰退期"))</f>
        <v/>
      </c>
      <c r="N937" s="36" t="inlineStr">
        <is>
          <t>清完不卖，2025年9月1号以前梁丽梅负责</t>
        </is>
      </c>
    </row>
    <row r="938" ht="15" customFormat="1" customHeight="1" s="36">
      <c r="A938" s="4" t="inlineStr">
        <is>
          <t>Wintap-BR</t>
        </is>
      </c>
      <c r="B938" s="4" t="inlineStr">
        <is>
          <t>Wintap巴西站</t>
        </is>
      </c>
      <c r="C938" s="4">
        <f>B938&amp;D938</f>
        <v/>
      </c>
      <c r="D938" s="4" t="inlineStr">
        <is>
          <t>WT-9801BG</t>
        </is>
      </c>
      <c r="E938" s="4" t="inlineStr">
        <is>
          <t>110F0098BG1</t>
        </is>
      </c>
      <c r="F938" s="4" t="inlineStr">
        <is>
          <t>98系列矮身单孔正开面盆龙头拉丝钛金封油</t>
        </is>
      </c>
      <c r="G938" s="4" t="inlineStr">
        <is>
          <t>曾志发</t>
        </is>
      </c>
      <c r="H938" s="4" t="inlineStr">
        <is>
          <t>面盆</t>
        </is>
      </c>
      <c r="I938" s="12" t="inlineStr">
        <is>
          <t>是</t>
        </is>
      </c>
      <c r="J938" s="34" t="n">
        <v>45340</v>
      </c>
      <c r="K938" s="34" t="n">
        <v>45340</v>
      </c>
      <c r="L938" s="0">
        <f>DATEDIF(J938,$L$1,"M")</f>
        <v/>
      </c>
      <c r="M938" s="0">
        <f>IF(L938&lt;18,"新品期",IF(L938&lt;=36,"老品期","衰退期"))</f>
        <v/>
      </c>
      <c r="N938" s="36" t="inlineStr">
        <is>
          <t>没有运营，2025年9月1号以前梁丽梅负责</t>
        </is>
      </c>
    </row>
    <row r="939" ht="15" customFormat="1" customHeight="1" s="36">
      <c r="A939" s="4" t="inlineStr">
        <is>
          <t>Wintap-US</t>
        </is>
      </c>
      <c r="B939" s="4" t="inlineStr">
        <is>
          <t>Wintap美国站</t>
        </is>
      </c>
      <c r="C939" s="4">
        <f>B939&amp;D939</f>
        <v/>
      </c>
      <c r="D939" s="4" t="inlineStr">
        <is>
          <t>WT-9801BK01</t>
        </is>
      </c>
      <c r="E939" s="4" t="inlineStr">
        <is>
          <t>110F0098BK1</t>
        </is>
      </c>
      <c r="F939" s="4" t="inlineStr">
        <is>
          <t>98系列矮身单孔正开面盆龙头电泳黑</t>
        </is>
      </c>
      <c r="G939" s="4" t="inlineStr">
        <is>
          <t>曾志发</t>
        </is>
      </c>
      <c r="H939" s="4" t="inlineStr">
        <is>
          <t>面盆</t>
        </is>
      </c>
      <c r="I939" s="12" t="inlineStr">
        <is>
          <t>是</t>
        </is>
      </c>
      <c r="J939" s="34" t="n">
        <v>45340</v>
      </c>
      <c r="K939" s="34" t="n">
        <v>45340</v>
      </c>
      <c r="L939" s="0">
        <f>DATEDIF(J939,$L$1,"M")</f>
        <v/>
      </c>
      <c r="M939" s="0">
        <f>IF(L939&lt;18,"新品期",IF(L939&lt;=36,"老品期","衰退期"))</f>
        <v/>
      </c>
      <c r="N939" s="36" t="inlineStr">
        <is>
          <t>清完不卖，2025年9月1号以前梁丽梅负责</t>
        </is>
      </c>
    </row>
    <row r="940" ht="15" customFormat="1" customHeight="1" s="36">
      <c r="A940" s="4" t="inlineStr">
        <is>
          <t>Wintap-MX</t>
        </is>
      </c>
      <c r="B940" s="4" t="inlineStr">
        <is>
          <t>Wintap墨西哥站</t>
        </is>
      </c>
      <c r="C940" s="4">
        <f>B940&amp;D940</f>
        <v/>
      </c>
      <c r="D940" s="4" t="inlineStr">
        <is>
          <t>WT-9801BK01</t>
        </is>
      </c>
      <c r="E940" s="4" t="inlineStr">
        <is>
          <t>110F0098BK1</t>
        </is>
      </c>
      <c r="F940" s="4" t="inlineStr">
        <is>
          <t>98系列矮身单孔正开面盆龙头电泳黑</t>
        </is>
      </c>
      <c r="G940" s="4" t="inlineStr">
        <is>
          <t>曾志发</t>
        </is>
      </c>
      <c r="H940" s="4" t="inlineStr">
        <is>
          <t>面盆</t>
        </is>
      </c>
      <c r="I940" s="12" t="inlineStr">
        <is>
          <t>是</t>
        </is>
      </c>
      <c r="J940" s="34" t="n">
        <v>45340</v>
      </c>
      <c r="K940" s="34" t="n">
        <v>45340</v>
      </c>
      <c r="L940" s="0">
        <f>DATEDIF(J940,$L$1,"M")</f>
        <v/>
      </c>
      <c r="M940" s="0">
        <f>IF(L940&lt;18,"新品期",IF(L940&lt;=36,"老品期","衰退期"))</f>
        <v/>
      </c>
      <c r="N940" s="36" t="inlineStr">
        <is>
          <t>没有运营，2025年9月1号以前梁丽梅负责</t>
        </is>
      </c>
    </row>
    <row r="941" ht="15" customFormat="1" customHeight="1" s="36">
      <c r="A941" s="4" t="inlineStr">
        <is>
          <t>Wintap-US</t>
        </is>
      </c>
      <c r="B941" s="4" t="inlineStr">
        <is>
          <t>Wintap美国站</t>
        </is>
      </c>
      <c r="C941" s="4">
        <f>B941&amp;D941</f>
        <v/>
      </c>
      <c r="D941" s="4" t="inlineStr">
        <is>
          <t>WT-9801BK03-ZZ</t>
        </is>
      </c>
      <c r="E941" s="4" t="inlineStr">
        <is>
          <t>110F0098BK1</t>
        </is>
      </c>
      <c r="F941" s="4" t="inlineStr">
        <is>
          <t>98系列矮身单孔正开面盆龙头电泳黑</t>
        </is>
      </c>
      <c r="G941" s="4" t="inlineStr">
        <is>
          <t>曾志发</t>
        </is>
      </c>
      <c r="H941" s="4" t="inlineStr">
        <is>
          <t>面盆</t>
        </is>
      </c>
      <c r="I941" s="12" t="inlineStr">
        <is>
          <t>是</t>
        </is>
      </c>
      <c r="J941" s="34" t="n">
        <v>45340</v>
      </c>
      <c r="K941" s="34" t="n">
        <v>45340</v>
      </c>
      <c r="L941" s="0">
        <f>DATEDIF(J941,$L$1,"M")</f>
        <v/>
      </c>
      <c r="M941" s="0">
        <f>IF(L941&lt;18,"新品期",IF(L941&lt;=36,"老品期","衰退期"))</f>
        <v/>
      </c>
      <c r="N941" s="36" t="inlineStr">
        <is>
          <t>清完不卖，2025年9月1号以前梁丽梅负责</t>
        </is>
      </c>
    </row>
    <row r="942" ht="15" customFormat="1" customHeight="1" s="36">
      <c r="A942" s="4" t="inlineStr">
        <is>
          <t>Wintap-US</t>
        </is>
      </c>
      <c r="B942" s="4" t="inlineStr">
        <is>
          <t>Wintap美国站</t>
        </is>
      </c>
      <c r="C942" s="4">
        <f>B942&amp;D942</f>
        <v/>
      </c>
      <c r="D942" s="4" t="inlineStr">
        <is>
          <t>WT-9801BN</t>
        </is>
      </c>
      <c r="E942" s="4" t="inlineStr">
        <is>
          <t>110F0098BN1</t>
        </is>
      </c>
      <c r="F942" s="4" t="inlineStr">
        <is>
          <t>98系列矮身单孔正开面盆龙头拉丝封油</t>
        </is>
      </c>
      <c r="G942" s="4" t="inlineStr">
        <is>
          <t>曾志发</t>
        </is>
      </c>
      <c r="H942" s="4" t="inlineStr">
        <is>
          <t>面盆</t>
        </is>
      </c>
      <c r="I942" s="12" t="inlineStr">
        <is>
          <t>是</t>
        </is>
      </c>
      <c r="J942" s="34" t="n">
        <v>45340</v>
      </c>
      <c r="K942" s="34" t="n">
        <v>45340</v>
      </c>
      <c r="L942" s="0">
        <f>DATEDIF(J942,$L$1,"M")</f>
        <v/>
      </c>
      <c r="M942" s="0">
        <f>IF(L942&lt;18,"新品期",IF(L942&lt;=36,"老品期","衰退期"))</f>
        <v/>
      </c>
      <c r="N942" s="36" t="inlineStr">
        <is>
          <t>清完不卖，2025年9月1号以前梁丽梅负责</t>
        </is>
      </c>
    </row>
    <row r="943" ht="15" customFormat="1" customHeight="1" s="36">
      <c r="A943" s="4" t="inlineStr">
        <is>
          <t>Wintap-US</t>
        </is>
      </c>
      <c r="B943" s="4" t="inlineStr">
        <is>
          <t>Wintap美国站</t>
        </is>
      </c>
      <c r="C943" s="4">
        <f>B943&amp;D943</f>
        <v/>
      </c>
      <c r="D943" s="4" t="inlineStr">
        <is>
          <t>WT-9801CP</t>
        </is>
      </c>
      <c r="E943" s="4" t="inlineStr">
        <is>
          <t>110F0098CP1</t>
        </is>
      </c>
      <c r="F943" s="4" t="inlineStr">
        <is>
          <t>98系列矮身单孔正开面盆龙头铬</t>
        </is>
      </c>
      <c r="G943" s="4" t="inlineStr">
        <is>
          <t>曾志发</t>
        </is>
      </c>
      <c r="H943" s="4" t="inlineStr">
        <is>
          <t>面盆</t>
        </is>
      </c>
      <c r="I943" s="12" t="inlineStr">
        <is>
          <t>是</t>
        </is>
      </c>
      <c r="J943" s="34" t="n">
        <v>45340</v>
      </c>
      <c r="K943" s="34" t="n">
        <v>45340</v>
      </c>
      <c r="L943" s="0">
        <f>DATEDIF(J943,$L$1,"M")</f>
        <v/>
      </c>
      <c r="M943" s="0">
        <f>IF(L943&lt;18,"新品期",IF(L943&lt;=36,"老品期","衰退期"))</f>
        <v/>
      </c>
      <c r="N943" s="36" t="inlineStr">
        <is>
          <t>清完不卖，2025年9月1号以前梁丽梅负责</t>
        </is>
      </c>
    </row>
    <row r="944" ht="15" customFormat="1" customHeight="1" s="36">
      <c r="A944" s="4" t="inlineStr">
        <is>
          <t>Wintap-US</t>
        </is>
      </c>
      <c r="B944" s="4" t="inlineStr">
        <is>
          <t>Wintap美国站</t>
        </is>
      </c>
      <c r="C944" s="4">
        <f>B944&amp;D944</f>
        <v/>
      </c>
      <c r="D944" s="4" t="inlineStr">
        <is>
          <t>WT-9801ORB</t>
        </is>
      </c>
      <c r="E944" s="4" t="inlineStr">
        <is>
          <t>110F0098OB1</t>
        </is>
      </c>
      <c r="F944" s="4" t="inlineStr">
        <is>
          <t>98系列矮身单孔正开面盆龙头 拉丝古铜色</t>
        </is>
      </c>
      <c r="G944" s="4" t="inlineStr">
        <is>
          <t>曾志发</t>
        </is>
      </c>
      <c r="H944" s="4" t="inlineStr">
        <is>
          <t>面盆</t>
        </is>
      </c>
      <c r="I944" s="12" t="inlineStr">
        <is>
          <t>是</t>
        </is>
      </c>
      <c r="J944" s="34" t="n">
        <v>45340</v>
      </c>
      <c r="K944" s="34" t="n">
        <v>45340</v>
      </c>
      <c r="L944" s="0">
        <f>DATEDIF(J944,$L$1,"M")</f>
        <v/>
      </c>
      <c r="M944" s="0">
        <f>IF(L944&lt;18,"新品期",IF(L944&lt;=36,"老品期","衰退期"))</f>
        <v/>
      </c>
      <c r="N944" s="36" t="inlineStr">
        <is>
          <t>清完不卖，2025年9月1号以前梁丽梅负责</t>
        </is>
      </c>
    </row>
    <row r="945" ht="15" customFormat="1" customHeight="1" s="36">
      <c r="A945" s="4" t="inlineStr">
        <is>
          <t>Wintap-CA</t>
        </is>
      </c>
      <c r="B945" s="4" t="inlineStr">
        <is>
          <t>Wintap加拿大站</t>
        </is>
      </c>
      <c r="C945" s="4">
        <f>B945&amp;D945</f>
        <v/>
      </c>
      <c r="D945" s="4" t="inlineStr">
        <is>
          <t>WT-9801ORB</t>
        </is>
      </c>
      <c r="E945" s="4" t="inlineStr">
        <is>
          <t>110F0098OB1</t>
        </is>
      </c>
      <c r="F945" s="4" t="inlineStr">
        <is>
          <t>98系列矮身单孔正开面盆龙头 拉丝古铜色</t>
        </is>
      </c>
      <c r="G945" s="4" t="inlineStr">
        <is>
          <t>曾志发</t>
        </is>
      </c>
      <c r="H945" s="4" t="inlineStr">
        <is>
          <t>面盆</t>
        </is>
      </c>
      <c r="I945" s="12" t="inlineStr">
        <is>
          <t>是</t>
        </is>
      </c>
      <c r="J945" s="34" t="n">
        <v>45340</v>
      </c>
      <c r="K945" s="34" t="n">
        <v>45340</v>
      </c>
      <c r="L945" s="0">
        <f>DATEDIF(J945,$L$1,"M")</f>
        <v/>
      </c>
      <c r="M945" s="0">
        <f>IF(L945&lt;18,"新品期",IF(L945&lt;=36,"老品期","衰退期"))</f>
        <v/>
      </c>
      <c r="N945" s="36" t="inlineStr">
        <is>
          <t>没有运营，2025年9月1号以前梁丽梅负责</t>
        </is>
      </c>
    </row>
    <row r="946" ht="15" customFormat="1" customHeight="1" s="36">
      <c r="A946" s="4" t="inlineStr">
        <is>
          <t>Wintap-US</t>
        </is>
      </c>
      <c r="B946" s="4" t="inlineStr">
        <is>
          <t>Wintap美国站</t>
        </is>
      </c>
      <c r="C946" s="4">
        <f>B946&amp;D946</f>
        <v/>
      </c>
      <c r="D946" s="4" t="inlineStr">
        <is>
          <t>WT-9801RGBK01</t>
        </is>
      </c>
      <c r="E946" s="4" t="inlineStr">
        <is>
          <t>110F0098RB1</t>
        </is>
      </c>
      <c r="F946" s="4" t="inlineStr">
        <is>
          <t>98系列矮身单孔正开面盆龙头拉丝玫瑰金+黑色</t>
        </is>
      </c>
      <c r="G946" s="4" t="inlineStr">
        <is>
          <t>曾志发</t>
        </is>
      </c>
      <c r="H946" s="4" t="inlineStr">
        <is>
          <t>面盆</t>
        </is>
      </c>
      <c r="I946" s="12" t="inlineStr">
        <is>
          <t>是</t>
        </is>
      </c>
      <c r="J946" s="34" t="n">
        <v>45340</v>
      </c>
      <c r="K946" s="34" t="n">
        <v>45340</v>
      </c>
      <c r="L946" s="0">
        <f>DATEDIF(J946,$L$1,"M")</f>
        <v/>
      </c>
      <c r="M946" s="0">
        <f>IF(L946&lt;18,"新品期",IF(L946&lt;=36,"老品期","衰退期"))</f>
        <v/>
      </c>
      <c r="N946" s="36" t="inlineStr">
        <is>
          <t>清完不卖，2025年9月1号以前梁丽梅负责</t>
        </is>
      </c>
    </row>
    <row r="947" ht="15" customFormat="1" customHeight="1" s="36">
      <c r="A947" s="4" t="inlineStr">
        <is>
          <t>Wintap-MX</t>
        </is>
      </c>
      <c r="B947" s="4" t="inlineStr">
        <is>
          <t>Wintap墨西哥站</t>
        </is>
      </c>
      <c r="C947" s="4">
        <f>B947&amp;D947</f>
        <v/>
      </c>
      <c r="D947" s="4" t="inlineStr">
        <is>
          <t>WT-9801RGBK01</t>
        </is>
      </c>
      <c r="E947" s="4" t="inlineStr">
        <is>
          <t>110F0098RB1</t>
        </is>
      </c>
      <c r="F947" s="4" t="inlineStr">
        <is>
          <t>98系列矮身单孔正开面盆龙头拉丝玫瑰金+黑色</t>
        </is>
      </c>
      <c r="G947" s="4" t="inlineStr">
        <is>
          <t>曾志发</t>
        </is>
      </c>
      <c r="H947" s="4" t="inlineStr">
        <is>
          <t>面盆</t>
        </is>
      </c>
      <c r="I947" s="12" t="inlineStr">
        <is>
          <t>是</t>
        </is>
      </c>
      <c r="J947" s="34" t="n">
        <v>45340</v>
      </c>
      <c r="K947" s="34" t="n">
        <v>45340</v>
      </c>
      <c r="L947" s="0">
        <f>DATEDIF(J947,$L$1,"M")</f>
        <v/>
      </c>
      <c r="M947" s="0">
        <f>IF(L947&lt;18,"新品期",IF(L947&lt;=36,"老品期","衰退期"))</f>
        <v/>
      </c>
      <c r="N947" s="36" t="inlineStr">
        <is>
          <t>没有运营，2025年9月1号以前梁丽梅负责</t>
        </is>
      </c>
    </row>
    <row r="948" ht="15" customFormat="1" customHeight="1" s="36">
      <c r="A948" s="4" t="inlineStr">
        <is>
          <t>Wintap-US</t>
        </is>
      </c>
      <c r="B948" s="4" t="inlineStr">
        <is>
          <t>Wintap美国站</t>
        </is>
      </c>
      <c r="C948" s="4">
        <f>B948&amp;D948</f>
        <v/>
      </c>
      <c r="D948" s="4" t="inlineStr">
        <is>
          <t>WT-9801RGBK03-ZZ</t>
        </is>
      </c>
      <c r="E948" s="4" t="inlineStr">
        <is>
          <t>110F0098RB1</t>
        </is>
      </c>
      <c r="F948" s="4" t="inlineStr">
        <is>
          <t>98系列矮身单孔正开面盆龙头拉丝玫瑰金+黑色</t>
        </is>
      </c>
      <c r="G948" s="4" t="inlineStr">
        <is>
          <t>曾志发</t>
        </is>
      </c>
      <c r="H948" s="4" t="inlineStr">
        <is>
          <t>面盆</t>
        </is>
      </c>
      <c r="I948" s="12" t="inlineStr">
        <is>
          <t>是</t>
        </is>
      </c>
      <c r="J948" s="34" t="n">
        <v>45340</v>
      </c>
      <c r="K948" s="34" t="n">
        <v>45340</v>
      </c>
      <c r="L948" s="0">
        <f>DATEDIF(J948,$L$1,"M")</f>
        <v/>
      </c>
      <c r="M948" s="0">
        <f>IF(L948&lt;18,"新品期",IF(L948&lt;=36,"老品期","衰退期"))</f>
        <v/>
      </c>
      <c r="N948" s="36" t="inlineStr">
        <is>
          <t>清完不卖，2025年9月1号以前梁丽梅负责</t>
        </is>
      </c>
    </row>
    <row r="949" ht="15" customFormat="1" customHeight="1" s="36">
      <c r="A949" s="4" t="inlineStr">
        <is>
          <t>Wintap-US</t>
        </is>
      </c>
      <c r="B949" s="4" t="inlineStr">
        <is>
          <t>Wintap美国站</t>
        </is>
      </c>
      <c r="C949" s="4">
        <f>B949&amp;D949</f>
        <v/>
      </c>
      <c r="D949" s="4" t="inlineStr">
        <is>
          <t>WT-9802BG</t>
        </is>
      </c>
      <c r="E949" s="4" t="inlineStr">
        <is>
          <t>120F0098BG1</t>
        </is>
      </c>
      <c r="F949" s="4" t="inlineStr">
        <is>
          <t>98系列高身单孔正开面盆龙头拉丝钛金封油</t>
        </is>
      </c>
      <c r="G949" s="4" t="inlineStr">
        <is>
          <t>曾志发</t>
        </is>
      </c>
      <c r="H949" s="4" t="inlineStr">
        <is>
          <t>面盆</t>
        </is>
      </c>
      <c r="I949" s="12" t="inlineStr">
        <is>
          <t>是</t>
        </is>
      </c>
      <c r="J949" s="34" t="n">
        <v>45504</v>
      </c>
      <c r="K949" s="34" t="n">
        <v>45504</v>
      </c>
      <c r="L949" s="0">
        <f>DATEDIF(J949,$L$1,"M")</f>
        <v/>
      </c>
      <c r="M949" s="0">
        <f>IF(L949&lt;18,"新品期",IF(L949&lt;=36,"老品期","衰退期"))</f>
        <v/>
      </c>
      <c r="N949" s="36" t="inlineStr">
        <is>
          <t>清完不卖，2025年9月1号以前梁丽梅负责</t>
        </is>
      </c>
    </row>
    <row r="950" ht="15" customFormat="1" customHeight="1" s="36">
      <c r="A950" s="4" t="inlineStr">
        <is>
          <t>Wintap-BR</t>
        </is>
      </c>
      <c r="B950" s="4" t="inlineStr">
        <is>
          <t>Wintap巴西站</t>
        </is>
      </c>
      <c r="C950" s="4">
        <f>B950&amp;D950</f>
        <v/>
      </c>
      <c r="D950" s="4" t="inlineStr">
        <is>
          <t>WT-9802BG</t>
        </is>
      </c>
      <c r="E950" s="4" t="inlineStr">
        <is>
          <t>120F0098BG1</t>
        </is>
      </c>
      <c r="F950" s="4" t="inlineStr">
        <is>
          <t>98系列高身单孔正开面盆龙头拉丝钛金封油</t>
        </is>
      </c>
      <c r="G950" s="4" t="inlineStr">
        <is>
          <t>曾志发</t>
        </is>
      </c>
      <c r="H950" s="4" t="inlineStr">
        <is>
          <t>面盆</t>
        </is>
      </c>
      <c r="I950" s="12" t="inlineStr">
        <is>
          <t>是</t>
        </is>
      </c>
      <c r="J950" s="34" t="n">
        <v>45504</v>
      </c>
      <c r="K950" s="34" t="n">
        <v>45504</v>
      </c>
      <c r="L950" s="0">
        <f>DATEDIF(J950,$L$1,"M")</f>
        <v/>
      </c>
      <c r="M950" s="0">
        <f>IF(L950&lt;18,"新品期",IF(L950&lt;=36,"老品期","衰退期"))</f>
        <v/>
      </c>
      <c r="N950" s="36" t="inlineStr">
        <is>
          <t>没有运营，2025年9月1号以前梁丽梅负责</t>
        </is>
      </c>
    </row>
    <row r="951" ht="15" customFormat="1" customHeight="1" s="36">
      <c r="A951" s="4" t="inlineStr">
        <is>
          <t>Wintap-US</t>
        </is>
      </c>
      <c r="B951" s="4" t="inlineStr">
        <is>
          <t>Wintap美国站</t>
        </is>
      </c>
      <c r="C951" s="4">
        <f>B951&amp;D951</f>
        <v/>
      </c>
      <c r="D951" s="4" t="inlineStr">
        <is>
          <t>WT-9802BGZZ00</t>
        </is>
      </c>
      <c r="E951" s="4" t="inlineStr">
        <is>
          <t>120F0098BG1</t>
        </is>
      </c>
      <c r="F951" s="4" t="inlineStr">
        <is>
          <t>98系列高身单孔正开面盆龙头拉丝钛金封油</t>
        </is>
      </c>
      <c r="G951" s="4" t="inlineStr">
        <is>
          <t>曾志发</t>
        </is>
      </c>
      <c r="H951" s="4" t="inlineStr">
        <is>
          <t>面盆</t>
        </is>
      </c>
      <c r="I951" s="12" t="inlineStr">
        <is>
          <t>是</t>
        </is>
      </c>
      <c r="J951" s="34" t="n">
        <v>45504</v>
      </c>
      <c r="K951" s="34" t="n">
        <v>45504</v>
      </c>
      <c r="L951" s="0">
        <f>DATEDIF(J951,$L$1,"M")</f>
        <v/>
      </c>
      <c r="M951" s="0">
        <f>IF(L951&lt;18,"新品期",IF(L951&lt;=36,"老品期","衰退期"))</f>
        <v/>
      </c>
      <c r="N951" s="36" t="inlineStr">
        <is>
          <t>清完不卖，2025年9月1号以前梁丽梅负责</t>
        </is>
      </c>
    </row>
    <row r="952" ht="15" customFormat="1" customHeight="1" s="36">
      <c r="A952" s="4" t="inlineStr">
        <is>
          <t>Wintap-US</t>
        </is>
      </c>
      <c r="B952" s="4" t="inlineStr">
        <is>
          <t>Wintap美国站</t>
        </is>
      </c>
      <c r="C952" s="4">
        <f>B952&amp;D952</f>
        <v/>
      </c>
      <c r="D952" s="4" t="inlineStr">
        <is>
          <t>WT-9802BGZZ02</t>
        </is>
      </c>
      <c r="E952" s="4" t="inlineStr">
        <is>
          <t>120F0098BG1</t>
        </is>
      </c>
      <c r="F952" s="4" t="inlineStr">
        <is>
          <t>98系列高身单孔正开面盆龙头拉丝钛金封油</t>
        </is>
      </c>
      <c r="G952" s="4" t="inlineStr">
        <is>
          <t>曾志发</t>
        </is>
      </c>
      <c r="H952" s="4" t="inlineStr">
        <is>
          <t>面盆</t>
        </is>
      </c>
      <c r="I952" s="12" t="inlineStr">
        <is>
          <t>是</t>
        </is>
      </c>
      <c r="J952" s="34" t="n">
        <v>45504</v>
      </c>
      <c r="K952" s="34" t="n">
        <v>45504</v>
      </c>
      <c r="L952" s="0">
        <f>DATEDIF(J952,$L$1,"M")</f>
        <v/>
      </c>
      <c r="M952" s="0">
        <f>IF(L952&lt;18,"新品期",IF(L952&lt;=36,"老品期","衰退期"))</f>
        <v/>
      </c>
      <c r="N952" s="36" t="inlineStr">
        <is>
          <t>清完不卖，2025年9月1号以前梁丽梅负责</t>
        </is>
      </c>
    </row>
    <row r="953" ht="15" customFormat="1" customHeight="1" s="36">
      <c r="A953" s="4" t="inlineStr">
        <is>
          <t>Wintap-US</t>
        </is>
      </c>
      <c r="B953" s="4" t="inlineStr">
        <is>
          <t>Wintap美国站</t>
        </is>
      </c>
      <c r="C953" s="4">
        <f>B953&amp;D953</f>
        <v/>
      </c>
      <c r="D953" s="4" t="inlineStr">
        <is>
          <t>WT-9802BK</t>
        </is>
      </c>
      <c r="E953" s="4" t="inlineStr">
        <is>
          <t>120F0098BK1</t>
        </is>
      </c>
      <c r="F953" s="4" t="inlineStr">
        <is>
          <t>98系列高身单孔正开面盆龙头电泳黑</t>
        </is>
      </c>
      <c r="G953" s="4" t="inlineStr">
        <is>
          <t>曾志发</t>
        </is>
      </c>
      <c r="H953" s="4" t="inlineStr">
        <is>
          <t>面盆</t>
        </is>
      </c>
      <c r="I953" s="12" t="inlineStr">
        <is>
          <t>是</t>
        </is>
      </c>
      <c r="J953" s="34" t="n">
        <v>45504</v>
      </c>
      <c r="K953" s="34" t="n">
        <v>45504</v>
      </c>
      <c r="L953" s="0">
        <f>DATEDIF(J953,$L$1,"M")</f>
        <v/>
      </c>
      <c r="M953" s="0">
        <f>IF(L953&lt;18,"新品期",IF(L953&lt;=36,"老品期","衰退期"))</f>
        <v/>
      </c>
      <c r="N953" s="36" t="inlineStr">
        <is>
          <t>清完不卖，2025年9月1号以前梁丽梅负责</t>
        </is>
      </c>
    </row>
    <row r="954" ht="15" customFormat="1" customHeight="1" s="36">
      <c r="A954" s="4" t="inlineStr">
        <is>
          <t>Wintap-CA</t>
        </is>
      </c>
      <c r="B954" s="4" t="inlineStr">
        <is>
          <t>Wintap加拿大站</t>
        </is>
      </c>
      <c r="C954" s="4">
        <f>B954&amp;D954</f>
        <v/>
      </c>
      <c r="D954" s="4" t="inlineStr">
        <is>
          <t>WT-9802BK</t>
        </is>
      </c>
      <c r="E954" s="4" t="inlineStr">
        <is>
          <t>120F0098BK1</t>
        </is>
      </c>
      <c r="F954" s="4" t="inlineStr">
        <is>
          <t>98系列高身单孔正开面盆龙头电泳黑</t>
        </is>
      </c>
      <c r="G954" s="4" t="inlineStr">
        <is>
          <t>曾志发</t>
        </is>
      </c>
      <c r="H954" s="4" t="inlineStr">
        <is>
          <t>面盆</t>
        </is>
      </c>
      <c r="I954" s="12" t="inlineStr">
        <is>
          <t>是</t>
        </is>
      </c>
      <c r="J954" s="34" t="n">
        <v>45504</v>
      </c>
      <c r="K954" s="34" t="n">
        <v>45504</v>
      </c>
      <c r="L954" s="0">
        <f>DATEDIF(J954,$L$1,"M")</f>
        <v/>
      </c>
      <c r="M954" s="0">
        <f>IF(L954&lt;18,"新品期",IF(L954&lt;=36,"老品期","衰退期"))</f>
        <v/>
      </c>
      <c r="N954" s="36" t="inlineStr">
        <is>
          <t>没有运营，2025年9月1号以前梁丽梅负责</t>
        </is>
      </c>
    </row>
    <row r="955" ht="15" customFormat="1" customHeight="1" s="36">
      <c r="A955" s="4" t="inlineStr">
        <is>
          <t>Wintap-BR</t>
        </is>
      </c>
      <c r="B955" s="4" t="inlineStr">
        <is>
          <t>Wintap巴西站</t>
        </is>
      </c>
      <c r="C955" s="4">
        <f>B955&amp;D955</f>
        <v/>
      </c>
      <c r="D955" s="4" t="inlineStr">
        <is>
          <t>WT-9802BK</t>
        </is>
      </c>
      <c r="E955" s="4" t="inlineStr">
        <is>
          <t>120F0098BK1</t>
        </is>
      </c>
      <c r="F955" s="4" t="inlineStr">
        <is>
          <t>98系列高身单孔正开面盆龙头电泳黑</t>
        </is>
      </c>
      <c r="G955" s="4" t="inlineStr">
        <is>
          <t>曾志发</t>
        </is>
      </c>
      <c r="H955" s="4" t="inlineStr">
        <is>
          <t>面盆</t>
        </is>
      </c>
      <c r="I955" s="12" t="inlineStr">
        <is>
          <t>是</t>
        </is>
      </c>
      <c r="J955" s="34" t="n">
        <v>45504</v>
      </c>
      <c r="K955" s="34" t="n">
        <v>45504</v>
      </c>
      <c r="L955" s="0">
        <f>DATEDIF(J955,$L$1,"M")</f>
        <v/>
      </c>
      <c r="M955" s="0">
        <f>IF(L955&lt;18,"新品期",IF(L955&lt;=36,"老品期","衰退期"))</f>
        <v/>
      </c>
      <c r="N955" s="36" t="inlineStr">
        <is>
          <t>没有运营，2025年9月1号以前梁丽梅负责</t>
        </is>
      </c>
    </row>
    <row r="956" ht="15" customFormat="1" customHeight="1" s="36">
      <c r="A956" s="4" t="inlineStr">
        <is>
          <t>Wintap-US</t>
        </is>
      </c>
      <c r="B956" s="4" t="inlineStr">
        <is>
          <t>Wintap美国站</t>
        </is>
      </c>
      <c r="C956" s="4">
        <f>B956&amp;D956</f>
        <v/>
      </c>
      <c r="D956" s="4" t="inlineStr">
        <is>
          <t>WT-9802BKZZ00</t>
        </is>
      </c>
      <c r="E956" s="4" t="inlineStr">
        <is>
          <t>120F0098BK1</t>
        </is>
      </c>
      <c r="F956" s="4" t="inlineStr">
        <is>
          <t>98系列高身单孔正开面盆龙头电泳黑</t>
        </is>
      </c>
      <c r="G956" s="4" t="inlineStr">
        <is>
          <t>曾志发</t>
        </is>
      </c>
      <c r="H956" s="4" t="inlineStr">
        <is>
          <t>面盆</t>
        </is>
      </c>
      <c r="I956" s="12" t="inlineStr">
        <is>
          <t>是</t>
        </is>
      </c>
      <c r="J956" s="34" t="n">
        <v>45504</v>
      </c>
      <c r="K956" s="34" t="n">
        <v>45504</v>
      </c>
      <c r="L956" s="0">
        <f>DATEDIF(J956,$L$1,"M")</f>
        <v/>
      </c>
      <c r="M956" s="0">
        <f>IF(L956&lt;18,"新品期",IF(L956&lt;=36,"老品期","衰退期"))</f>
        <v/>
      </c>
      <c r="N956" s="36" t="inlineStr">
        <is>
          <t>清完不卖，2025年9月1号以前梁丽梅负责</t>
        </is>
      </c>
    </row>
    <row r="957" ht="15" customFormat="1" customHeight="1" s="36">
      <c r="A957" s="4" t="inlineStr">
        <is>
          <t>Wintap-US</t>
        </is>
      </c>
      <c r="B957" s="4" t="inlineStr">
        <is>
          <t>Wintap美国站</t>
        </is>
      </c>
      <c r="C957" s="4">
        <f>B957&amp;D957</f>
        <v/>
      </c>
      <c r="D957" s="4" t="inlineStr">
        <is>
          <t>WT-9802BKZZ02</t>
        </is>
      </c>
      <c r="E957" s="4" t="inlineStr">
        <is>
          <t>120F0098BK1</t>
        </is>
      </c>
      <c r="F957" s="4" t="inlineStr">
        <is>
          <t>98系列高身单孔正开面盆龙头电泳黑</t>
        </is>
      </c>
      <c r="G957" s="4" t="inlineStr">
        <is>
          <t>曾志发</t>
        </is>
      </c>
      <c r="H957" s="4" t="inlineStr">
        <is>
          <t>面盆</t>
        </is>
      </c>
      <c r="I957" s="12" t="inlineStr">
        <is>
          <t>是</t>
        </is>
      </c>
      <c r="J957" s="34" t="n">
        <v>45504</v>
      </c>
      <c r="K957" s="34" t="n">
        <v>45504</v>
      </c>
      <c r="L957" s="0">
        <f>DATEDIF(J957,$L$1,"M")</f>
        <v/>
      </c>
      <c r="M957" s="0">
        <f>IF(L957&lt;18,"新品期",IF(L957&lt;=36,"老品期","衰退期"))</f>
        <v/>
      </c>
      <c r="N957" s="36" t="inlineStr">
        <is>
          <t>清完不卖，2025年9月1号以前梁丽梅负责</t>
        </is>
      </c>
    </row>
    <row r="958" ht="15" customFormat="1" customHeight="1" s="36">
      <c r="A958" s="4" t="inlineStr">
        <is>
          <t>Wintap-US</t>
        </is>
      </c>
      <c r="B958" s="4" t="inlineStr">
        <is>
          <t>Wintap美国站</t>
        </is>
      </c>
      <c r="C958" s="4">
        <f>B958&amp;D958</f>
        <v/>
      </c>
      <c r="D958" s="4" t="inlineStr">
        <is>
          <t>WT-9802BN</t>
        </is>
      </c>
      <c r="E958" s="4" t="inlineStr">
        <is>
          <t>120F0098BN1</t>
        </is>
      </c>
      <c r="F958" s="4" t="inlineStr">
        <is>
          <t>98系列高身单孔正开面盆龙头拉丝封油</t>
        </is>
      </c>
      <c r="G958" s="4" t="inlineStr">
        <is>
          <t>曾志发</t>
        </is>
      </c>
      <c r="H958" s="4" t="inlineStr">
        <is>
          <t>面盆</t>
        </is>
      </c>
      <c r="I958" s="12" t="inlineStr">
        <is>
          <t>是</t>
        </is>
      </c>
      <c r="J958" s="34" t="n">
        <v>45504</v>
      </c>
      <c r="K958" s="34" t="n">
        <v>45504</v>
      </c>
      <c r="L958" s="0">
        <f>DATEDIF(J958,$L$1,"M")</f>
        <v/>
      </c>
      <c r="M958" s="0">
        <f>IF(L958&lt;18,"新品期",IF(L958&lt;=36,"老品期","衰退期"))</f>
        <v/>
      </c>
      <c r="N958" s="36" t="inlineStr">
        <is>
          <t>清完不卖，2025年9月1号以前梁丽梅负责</t>
        </is>
      </c>
    </row>
    <row r="959" ht="15" customFormat="1" customHeight="1" s="36">
      <c r="A959" s="4" t="inlineStr">
        <is>
          <t>Wintap-US</t>
        </is>
      </c>
      <c r="B959" s="4" t="inlineStr">
        <is>
          <t>Wintap美国站</t>
        </is>
      </c>
      <c r="C959" s="4">
        <f>B959&amp;D959</f>
        <v/>
      </c>
      <c r="D959" s="4" t="inlineStr">
        <is>
          <t>WT-9802BNZZ</t>
        </is>
      </c>
      <c r="E959" s="4" t="inlineStr">
        <is>
          <t>120F0098BN1</t>
        </is>
      </c>
      <c r="F959" s="4" t="inlineStr">
        <is>
          <t>98系列高身单孔正开面盆龙头拉丝封油</t>
        </is>
      </c>
      <c r="G959" s="4" t="inlineStr">
        <is>
          <t>曾志发</t>
        </is>
      </c>
      <c r="H959" s="4" t="inlineStr">
        <is>
          <t>面盆</t>
        </is>
      </c>
      <c r="I959" s="12" t="inlineStr">
        <is>
          <t>是</t>
        </is>
      </c>
      <c r="J959" s="34" t="n">
        <v>45504</v>
      </c>
      <c r="K959" s="34" t="n">
        <v>45504</v>
      </c>
      <c r="L959" s="0">
        <f>DATEDIF(J959,$L$1,"M")</f>
        <v/>
      </c>
      <c r="M959" s="0">
        <f>IF(L959&lt;18,"新品期",IF(L959&lt;=36,"老品期","衰退期"))</f>
        <v/>
      </c>
      <c r="N959" s="36" t="inlineStr">
        <is>
          <t>清完不卖，2025年9月1号以前梁丽梅负责</t>
        </is>
      </c>
    </row>
    <row r="960" ht="15" customFormat="1" customHeight="1" s="36">
      <c r="A960" s="4" t="inlineStr">
        <is>
          <t>Wintap-US</t>
        </is>
      </c>
      <c r="B960" s="4" t="inlineStr">
        <is>
          <t>Wintap美国站</t>
        </is>
      </c>
      <c r="C960" s="4">
        <f>B960&amp;D960</f>
        <v/>
      </c>
      <c r="D960" s="4" t="inlineStr">
        <is>
          <t>WT-9802BNZZ02</t>
        </is>
      </c>
      <c r="E960" s="4" t="inlineStr">
        <is>
          <t>120F0098BN1</t>
        </is>
      </c>
      <c r="F960" s="4" t="inlineStr">
        <is>
          <t>98系列高身单孔正开面盆龙头拉丝封油</t>
        </is>
      </c>
      <c r="G960" s="4" t="inlineStr">
        <is>
          <t>曾志发</t>
        </is>
      </c>
      <c r="H960" s="4" t="inlineStr">
        <is>
          <t>面盆</t>
        </is>
      </c>
      <c r="I960" s="12" t="inlineStr">
        <is>
          <t>是</t>
        </is>
      </c>
      <c r="J960" s="34" t="n">
        <v>45504</v>
      </c>
      <c r="K960" s="34" t="n">
        <v>45504</v>
      </c>
      <c r="L960" s="0">
        <f>DATEDIF(J960,$L$1,"M")</f>
        <v/>
      </c>
      <c r="M960" s="0">
        <f>IF(L960&lt;18,"新品期",IF(L960&lt;=36,"老品期","衰退期"))</f>
        <v/>
      </c>
      <c r="N960" s="36" t="inlineStr">
        <is>
          <t>清完不卖，2025年9月1号以前梁丽梅负责</t>
        </is>
      </c>
    </row>
    <row r="961" ht="15" customFormat="1" customHeight="1" s="36">
      <c r="A961" s="4" t="inlineStr">
        <is>
          <t>Wintap-CA</t>
        </is>
      </c>
      <c r="B961" s="4" t="inlineStr">
        <is>
          <t>Wintap加拿大站</t>
        </is>
      </c>
      <c r="C961" s="4">
        <f>B961&amp;D961</f>
        <v/>
      </c>
      <c r="D961" s="4" t="inlineStr">
        <is>
          <t>WT-9802BNZZ02</t>
        </is>
      </c>
      <c r="E961" s="4" t="inlineStr">
        <is>
          <t>120F0098BN1</t>
        </is>
      </c>
      <c r="F961" s="4" t="inlineStr">
        <is>
          <t>98系列高身单孔正开面盆龙头拉丝封油</t>
        </is>
      </c>
      <c r="G961" s="4" t="inlineStr">
        <is>
          <t>曾志发</t>
        </is>
      </c>
      <c r="H961" s="4" t="inlineStr">
        <is>
          <t>面盆</t>
        </is>
      </c>
      <c r="I961" s="12" t="inlineStr">
        <is>
          <t>是</t>
        </is>
      </c>
      <c r="J961" s="34" t="n">
        <v>45504</v>
      </c>
      <c r="K961" s="34" t="n">
        <v>45504</v>
      </c>
      <c r="L961" s="0">
        <f>DATEDIF(J961,$L$1,"M")</f>
        <v/>
      </c>
      <c r="M961" s="0">
        <f>IF(L961&lt;18,"新品期",IF(L961&lt;=36,"老品期","衰退期"))</f>
        <v/>
      </c>
      <c r="N961" s="36" t="inlineStr">
        <is>
          <t>没有运营，2025年9月1号以前梁丽梅负责</t>
        </is>
      </c>
    </row>
    <row r="962" ht="15" customFormat="1" customHeight="1" s="36">
      <c r="A962" s="4" t="inlineStr">
        <is>
          <t>Wintap-BR</t>
        </is>
      </c>
      <c r="B962" s="4" t="inlineStr">
        <is>
          <t>Wintap巴西站</t>
        </is>
      </c>
      <c r="C962" s="4">
        <f>B962&amp;D962</f>
        <v/>
      </c>
      <c r="D962" s="4" t="inlineStr">
        <is>
          <t>WT-9802BNZZ02</t>
        </is>
      </c>
      <c r="E962" s="4" t="inlineStr">
        <is>
          <t>120F0098BN1</t>
        </is>
      </c>
      <c r="F962" s="4" t="inlineStr">
        <is>
          <t>98系列高身单孔正开面盆龙头拉丝封油</t>
        </is>
      </c>
      <c r="G962" s="4" t="inlineStr">
        <is>
          <t>曾志发</t>
        </is>
      </c>
      <c r="H962" s="4" t="inlineStr">
        <is>
          <t>面盆</t>
        </is>
      </c>
      <c r="I962" s="12" t="inlineStr">
        <is>
          <t>是</t>
        </is>
      </c>
      <c r="J962" s="34" t="n">
        <v>45504</v>
      </c>
      <c r="K962" s="34" t="n">
        <v>45504</v>
      </c>
      <c r="L962" s="0">
        <f>DATEDIF(J962,$L$1,"M")</f>
        <v/>
      </c>
      <c r="M962" s="0">
        <f>IF(L962&lt;18,"新品期",IF(L962&lt;=36,"老品期","衰退期"))</f>
        <v/>
      </c>
      <c r="N962" s="36" t="inlineStr">
        <is>
          <t>没有运营，2025年9月1号以前梁丽梅负责</t>
        </is>
      </c>
    </row>
    <row r="963" ht="15" customFormat="1" customHeight="1" s="36">
      <c r="A963" s="4" t="inlineStr">
        <is>
          <t>Wintap-US</t>
        </is>
      </c>
      <c r="B963" s="4" t="inlineStr">
        <is>
          <t>Wintap美国站</t>
        </is>
      </c>
      <c r="C963" s="4">
        <f>B963&amp;D963</f>
        <v/>
      </c>
      <c r="D963" s="4" t="inlineStr">
        <is>
          <t>WT-9802CP</t>
        </is>
      </c>
      <c r="E963" s="4" t="inlineStr">
        <is>
          <t>120F0098CP1</t>
        </is>
      </c>
      <c r="F963" s="4" t="inlineStr">
        <is>
          <t>98系列高身单孔正开面盆龙头铬</t>
        </is>
      </c>
      <c r="G963" s="4" t="inlineStr">
        <is>
          <t>曾志发</t>
        </is>
      </c>
      <c r="H963" s="4" t="inlineStr">
        <is>
          <t>面盆</t>
        </is>
      </c>
      <c r="I963" s="12" t="inlineStr">
        <is>
          <t>是</t>
        </is>
      </c>
      <c r="J963" s="34" t="n">
        <v>45504</v>
      </c>
      <c r="K963" s="34" t="n">
        <v>45504</v>
      </c>
      <c r="L963" s="0">
        <f>DATEDIF(J963,$L$1,"M")</f>
        <v/>
      </c>
      <c r="M963" s="0">
        <f>IF(L963&lt;18,"新品期",IF(L963&lt;=36,"老品期","衰退期"))</f>
        <v/>
      </c>
      <c r="N963" s="36" t="inlineStr">
        <is>
          <t>清完不卖，2025年9月1号以前梁丽梅负责</t>
        </is>
      </c>
    </row>
    <row r="964" ht="15" customFormat="1" customHeight="1" s="36">
      <c r="A964" s="4" t="inlineStr">
        <is>
          <t>Wintap-MX</t>
        </is>
      </c>
      <c r="B964" s="4" t="inlineStr">
        <is>
          <t>Wintap墨西哥站</t>
        </is>
      </c>
      <c r="C964" s="4">
        <f>B964&amp;D964</f>
        <v/>
      </c>
      <c r="D964" s="4" t="inlineStr">
        <is>
          <t>WT-9802CP</t>
        </is>
      </c>
      <c r="E964" s="4" t="inlineStr">
        <is>
          <t>120F0098CP1</t>
        </is>
      </c>
      <c r="F964" s="4" t="inlineStr">
        <is>
          <t>98系列高身单孔正开面盆龙头铬</t>
        </is>
      </c>
      <c r="G964" s="4" t="inlineStr">
        <is>
          <t>曾志发</t>
        </is>
      </c>
      <c r="H964" s="4" t="inlineStr">
        <is>
          <t>面盆</t>
        </is>
      </c>
      <c r="I964" s="12" t="inlineStr">
        <is>
          <t>是</t>
        </is>
      </c>
      <c r="J964" s="34" t="n">
        <v>45504</v>
      </c>
      <c r="K964" s="34" t="n">
        <v>45504</v>
      </c>
      <c r="L964" s="0">
        <f>DATEDIF(J964,$L$1,"M")</f>
        <v/>
      </c>
      <c r="M964" s="0">
        <f>IF(L964&lt;18,"新品期",IF(L964&lt;=36,"老品期","衰退期"))</f>
        <v/>
      </c>
      <c r="N964" s="36" t="inlineStr">
        <is>
          <t>没有运营，2025年9月1号以前梁丽梅负责</t>
        </is>
      </c>
    </row>
    <row r="965" ht="15" customFormat="1" customHeight="1" s="36">
      <c r="A965" s="4" t="inlineStr">
        <is>
          <t>Wintap-BR</t>
        </is>
      </c>
      <c r="B965" s="4" t="inlineStr">
        <is>
          <t>Wintap巴西站</t>
        </is>
      </c>
      <c r="C965" s="4">
        <f>B965&amp;D965</f>
        <v/>
      </c>
      <c r="D965" s="4" t="inlineStr">
        <is>
          <t>WT-9802CP</t>
        </is>
      </c>
      <c r="E965" s="4" t="inlineStr">
        <is>
          <t>120F0098CP1</t>
        </is>
      </c>
      <c r="F965" s="4" t="inlineStr">
        <is>
          <t>98系列高身单孔正开面盆龙头铬</t>
        </is>
      </c>
      <c r="G965" s="4" t="inlineStr">
        <is>
          <t>曾志发</t>
        </is>
      </c>
      <c r="H965" s="4" t="inlineStr">
        <is>
          <t>面盆</t>
        </is>
      </c>
      <c r="I965" s="12" t="inlineStr">
        <is>
          <t>是</t>
        </is>
      </c>
      <c r="J965" s="34" t="n">
        <v>45504</v>
      </c>
      <c r="K965" s="34" t="n">
        <v>45504</v>
      </c>
      <c r="L965" s="0">
        <f>DATEDIF(J965,$L$1,"M")</f>
        <v/>
      </c>
      <c r="M965" s="0">
        <f>IF(L965&lt;18,"新品期",IF(L965&lt;=36,"老品期","衰退期"))</f>
        <v/>
      </c>
      <c r="N965" s="36" t="inlineStr">
        <is>
          <t>没有运营，2025年9月1号以前梁丽梅负责</t>
        </is>
      </c>
    </row>
    <row r="966" ht="15" customFormat="1" customHeight="1" s="36">
      <c r="A966" s="4" t="inlineStr">
        <is>
          <t>Wintap-US</t>
        </is>
      </c>
      <c r="B966" s="4" t="inlineStr">
        <is>
          <t>Wintap美国站</t>
        </is>
      </c>
      <c r="C966" s="4">
        <f>B966&amp;D966</f>
        <v/>
      </c>
      <c r="D966" s="4" t="inlineStr">
        <is>
          <t>WT-9802CPZZ</t>
        </is>
      </c>
      <c r="E966" s="4" t="inlineStr">
        <is>
          <t>120F0098CP1</t>
        </is>
      </c>
      <c r="F966" s="4" t="inlineStr">
        <is>
          <t>98系列高身单孔正开面盆龙头铬</t>
        </is>
      </c>
      <c r="G966" s="4" t="inlineStr">
        <is>
          <t>曾志发</t>
        </is>
      </c>
      <c r="H966" s="4" t="inlineStr">
        <is>
          <t>面盆</t>
        </is>
      </c>
      <c r="I966" s="12" t="inlineStr">
        <is>
          <t>是</t>
        </is>
      </c>
      <c r="J966" s="34" t="n">
        <v>45504</v>
      </c>
      <c r="K966" s="34" t="n">
        <v>45504</v>
      </c>
      <c r="L966" s="0">
        <f>DATEDIF(J966,$L$1,"M")</f>
        <v/>
      </c>
      <c r="M966" s="0">
        <f>IF(L966&lt;18,"新品期",IF(L966&lt;=36,"老品期","衰退期"))</f>
        <v/>
      </c>
      <c r="N966" s="36" t="inlineStr">
        <is>
          <t>清完不卖，2025年9月1号以前梁丽梅负责</t>
        </is>
      </c>
    </row>
    <row r="967" ht="15" customFormat="1" customHeight="1" s="36">
      <c r="A967" s="4" t="inlineStr">
        <is>
          <t>Wintap-CA</t>
        </is>
      </c>
      <c r="B967" s="4" t="inlineStr">
        <is>
          <t>Wintap加拿大站</t>
        </is>
      </c>
      <c r="C967" s="4">
        <f>B967&amp;D967</f>
        <v/>
      </c>
      <c r="D967" s="4" t="inlineStr">
        <is>
          <t>WT-9802CPZZ</t>
        </is>
      </c>
      <c r="E967" s="4" t="inlineStr">
        <is>
          <t>120F0098CP1</t>
        </is>
      </c>
      <c r="F967" s="4" t="inlineStr">
        <is>
          <t>98系列高身单孔正开面盆龙头铬</t>
        </is>
      </c>
      <c r="G967" s="4" t="inlineStr">
        <is>
          <t>曾志发</t>
        </is>
      </c>
      <c r="H967" s="4" t="inlineStr">
        <is>
          <t>面盆</t>
        </is>
      </c>
      <c r="I967" s="12" t="inlineStr">
        <is>
          <t>是</t>
        </is>
      </c>
      <c r="J967" s="34" t="n">
        <v>45504</v>
      </c>
      <c r="K967" s="34" t="n">
        <v>45504</v>
      </c>
      <c r="L967" s="0">
        <f>DATEDIF(J967,$L$1,"M")</f>
        <v/>
      </c>
      <c r="M967" s="0">
        <f>IF(L967&lt;18,"新品期",IF(L967&lt;=36,"老品期","衰退期"))</f>
        <v/>
      </c>
      <c r="N967" s="36" t="inlineStr">
        <is>
          <t>没有运营，2025年9月1号以前梁丽梅负责</t>
        </is>
      </c>
    </row>
    <row r="968" ht="15" customFormat="1" customHeight="1" s="36">
      <c r="A968" s="4" t="inlineStr">
        <is>
          <t>Wintap-BR</t>
        </is>
      </c>
      <c r="B968" s="4" t="inlineStr">
        <is>
          <t>Wintap巴西站</t>
        </is>
      </c>
      <c r="C968" s="4">
        <f>B968&amp;D968</f>
        <v/>
      </c>
      <c r="D968" s="4" t="inlineStr">
        <is>
          <t>WT-9802CPZZ</t>
        </is>
      </c>
      <c r="E968" s="4" t="inlineStr">
        <is>
          <t>120F0098CP1</t>
        </is>
      </c>
      <c r="F968" s="4" t="inlineStr">
        <is>
          <t>98系列高身单孔正开面盆龙头铬</t>
        </is>
      </c>
      <c r="G968" s="4" t="inlineStr">
        <is>
          <t>曾志发</t>
        </is>
      </c>
      <c r="H968" s="4" t="inlineStr">
        <is>
          <t>面盆</t>
        </is>
      </c>
      <c r="I968" s="12" t="inlineStr">
        <is>
          <t>是</t>
        </is>
      </c>
      <c r="J968" s="34" t="n">
        <v>45504</v>
      </c>
      <c r="K968" s="34" t="n">
        <v>45504</v>
      </c>
      <c r="L968" s="0">
        <f>DATEDIF(J968,$L$1,"M")</f>
        <v/>
      </c>
      <c r="M968" s="0">
        <f>IF(L968&lt;18,"新品期",IF(L968&lt;=36,"老品期","衰退期"))</f>
        <v/>
      </c>
      <c r="N968" s="36" t="inlineStr">
        <is>
          <t>没有运营，2025年9月1号以前梁丽梅负责</t>
        </is>
      </c>
    </row>
    <row r="969" ht="15" customFormat="1" customHeight="1" s="36">
      <c r="A969" s="4" t="inlineStr">
        <is>
          <t>Wintap-US</t>
        </is>
      </c>
      <c r="B969" s="4" t="inlineStr">
        <is>
          <t>Wintap美国站</t>
        </is>
      </c>
      <c r="C969" s="4">
        <f>B969&amp;D969</f>
        <v/>
      </c>
      <c r="D969" s="4" t="inlineStr">
        <is>
          <t>WT-9802CPZZ02</t>
        </is>
      </c>
      <c r="E969" s="4" t="inlineStr">
        <is>
          <t>120F0098CP1</t>
        </is>
      </c>
      <c r="F969" s="4" t="inlineStr">
        <is>
          <t>98系列高身单孔正开面盆龙头铬</t>
        </is>
      </c>
      <c r="G969" s="4" t="inlineStr">
        <is>
          <t>曾志发</t>
        </is>
      </c>
      <c r="H969" s="4" t="inlineStr">
        <is>
          <t>面盆</t>
        </is>
      </c>
      <c r="I969" s="12" t="inlineStr">
        <is>
          <t>是</t>
        </is>
      </c>
      <c r="J969" s="34" t="n">
        <v>45504</v>
      </c>
      <c r="K969" s="34" t="n">
        <v>45504</v>
      </c>
      <c r="L969" s="0">
        <f>DATEDIF(J969,$L$1,"M")</f>
        <v/>
      </c>
      <c r="M969" s="0">
        <f>IF(L969&lt;18,"新品期",IF(L969&lt;=36,"老品期","衰退期"))</f>
        <v/>
      </c>
      <c r="N969" s="36" t="inlineStr">
        <is>
          <t>清完不卖，2025年9月1号以前梁丽梅负责</t>
        </is>
      </c>
    </row>
    <row r="970" ht="15" customFormat="1" customHeight="1" s="36">
      <c r="A970" s="4" t="inlineStr">
        <is>
          <t>Wintap-CA</t>
        </is>
      </c>
      <c r="B970" s="4" t="inlineStr">
        <is>
          <t>Wintap加拿大站</t>
        </is>
      </c>
      <c r="C970" s="4">
        <f>B970&amp;D970</f>
        <v/>
      </c>
      <c r="D970" s="4" t="inlineStr">
        <is>
          <t>WT-9802CPZZ02</t>
        </is>
      </c>
      <c r="E970" s="4" t="inlineStr">
        <is>
          <t>120F0098CP1</t>
        </is>
      </c>
      <c r="F970" s="4" t="inlineStr">
        <is>
          <t>98系列高身单孔正开面盆龙头铬</t>
        </is>
      </c>
      <c r="G970" s="4" t="inlineStr">
        <is>
          <t>曾志发</t>
        </is>
      </c>
      <c r="H970" s="4" t="inlineStr">
        <is>
          <t>面盆</t>
        </is>
      </c>
      <c r="I970" s="12" t="inlineStr">
        <is>
          <t>是</t>
        </is>
      </c>
      <c r="J970" s="34" t="n">
        <v>45504</v>
      </c>
      <c r="K970" s="34" t="n">
        <v>45504</v>
      </c>
      <c r="L970" s="0">
        <f>DATEDIF(J970,$L$1,"M")</f>
        <v/>
      </c>
      <c r="M970" s="0">
        <f>IF(L970&lt;18,"新品期",IF(L970&lt;=36,"老品期","衰退期"))</f>
        <v/>
      </c>
      <c r="N970" s="36" t="inlineStr">
        <is>
          <t>没有运营，2025年9月1号以前梁丽梅负责</t>
        </is>
      </c>
    </row>
    <row r="971" ht="15" customFormat="1" customHeight="1" s="36">
      <c r="A971" s="4" t="inlineStr">
        <is>
          <t>Wintap-BR</t>
        </is>
      </c>
      <c r="B971" s="4" t="inlineStr">
        <is>
          <t>Wintap巴西站</t>
        </is>
      </c>
      <c r="C971" s="4">
        <f>B971&amp;D971</f>
        <v/>
      </c>
      <c r="D971" s="4" t="inlineStr">
        <is>
          <t>WT-9802CPZZ02</t>
        </is>
      </c>
      <c r="E971" s="4" t="inlineStr">
        <is>
          <t>120F0098CP1</t>
        </is>
      </c>
      <c r="F971" s="4" t="inlineStr">
        <is>
          <t>98系列高身单孔正开面盆龙头铬</t>
        </is>
      </c>
      <c r="G971" s="4" t="inlineStr">
        <is>
          <t>曾志发</t>
        </is>
      </c>
      <c r="H971" s="4" t="inlineStr">
        <is>
          <t>面盆</t>
        </is>
      </c>
      <c r="I971" s="12" t="inlineStr">
        <is>
          <t>是</t>
        </is>
      </c>
      <c r="J971" s="34" t="n">
        <v>45504</v>
      </c>
      <c r="K971" s="34" t="n">
        <v>45504</v>
      </c>
      <c r="L971" s="0">
        <f>DATEDIF(J971,$L$1,"M")</f>
        <v/>
      </c>
      <c r="M971" s="0">
        <f>IF(L971&lt;18,"新品期",IF(L971&lt;=36,"老品期","衰退期"))</f>
        <v/>
      </c>
      <c r="N971" s="36" t="inlineStr">
        <is>
          <t>没有运营，2025年9月1号以前梁丽梅负责</t>
        </is>
      </c>
    </row>
    <row r="972" ht="15" customFormat="1" customHeight="1" s="36">
      <c r="A972" s="4" t="inlineStr">
        <is>
          <t>Wintap-US</t>
        </is>
      </c>
      <c r="B972" s="4" t="inlineStr">
        <is>
          <t>Wintap美国站</t>
        </is>
      </c>
      <c r="C972" s="4">
        <f>B972&amp;D972</f>
        <v/>
      </c>
      <c r="D972" s="4" t="inlineStr">
        <is>
          <t>WT-9802ORB</t>
        </is>
      </c>
      <c r="E972" s="4" t="inlineStr">
        <is>
          <t>120F0098OB1</t>
        </is>
      </c>
      <c r="F972" s="4" t="inlineStr">
        <is>
          <t>98系列高身单孔正开面盆龙头 拉丝古铜色</t>
        </is>
      </c>
      <c r="G972" s="4" t="inlineStr">
        <is>
          <t>曾志发</t>
        </is>
      </c>
      <c r="H972" s="4" t="inlineStr">
        <is>
          <t>面盆</t>
        </is>
      </c>
      <c r="I972" s="12" t="inlineStr">
        <is>
          <t>是</t>
        </is>
      </c>
      <c r="J972" s="34" t="n">
        <v>45504</v>
      </c>
      <c r="K972" s="34" t="n">
        <v>45504</v>
      </c>
      <c r="L972" s="0">
        <f>DATEDIF(J972,$L$1,"M")</f>
        <v/>
      </c>
      <c r="M972" s="0">
        <f>IF(L972&lt;18,"新品期",IF(L972&lt;=36,"老品期","衰退期"))</f>
        <v/>
      </c>
      <c r="N972" s="36" t="inlineStr">
        <is>
          <t>清完不卖，2025年9月1号以前梁丽梅负责</t>
        </is>
      </c>
    </row>
    <row r="973" ht="15" customFormat="1" customHeight="1" s="36">
      <c r="A973" s="4" t="inlineStr">
        <is>
          <t>Wintap-US</t>
        </is>
      </c>
      <c r="B973" s="4" t="inlineStr">
        <is>
          <t>Wintap美国站</t>
        </is>
      </c>
      <c r="C973" s="4">
        <f>B973&amp;D973</f>
        <v/>
      </c>
      <c r="D973" s="4" t="inlineStr">
        <is>
          <t>WT-9802ORBZZ</t>
        </is>
      </c>
      <c r="E973" s="4" t="inlineStr">
        <is>
          <t>120F0098OB1</t>
        </is>
      </c>
      <c r="F973" s="4" t="inlineStr">
        <is>
          <t>98系列高身单孔正开面盆龙头 拉丝古铜色</t>
        </is>
      </c>
      <c r="G973" s="4" t="inlineStr">
        <is>
          <t>曾志发</t>
        </is>
      </c>
      <c r="H973" s="4" t="inlineStr">
        <is>
          <t>面盆</t>
        </is>
      </c>
      <c r="I973" s="12" t="inlineStr">
        <is>
          <t>是</t>
        </is>
      </c>
      <c r="J973" s="34" t="n">
        <v>45504</v>
      </c>
      <c r="K973" s="34" t="n">
        <v>45504</v>
      </c>
      <c r="L973" s="0">
        <f>DATEDIF(J973,$L$1,"M")</f>
        <v/>
      </c>
      <c r="M973" s="0">
        <f>IF(L973&lt;18,"新品期",IF(L973&lt;=36,"老品期","衰退期"))</f>
        <v/>
      </c>
      <c r="N973" s="36" t="inlineStr">
        <is>
          <t>清完不卖，2025年9月1号以前梁丽梅负责</t>
        </is>
      </c>
    </row>
    <row r="974" ht="15" customFormat="1" customHeight="1" s="36">
      <c r="A974" s="4" t="inlineStr">
        <is>
          <t>Wintap-CA</t>
        </is>
      </c>
      <c r="B974" s="4" t="inlineStr">
        <is>
          <t>Wintap加拿大站</t>
        </is>
      </c>
      <c r="C974" s="4">
        <f>B974&amp;D974</f>
        <v/>
      </c>
      <c r="D974" s="4" t="inlineStr">
        <is>
          <t>WT-9802ORBZZ</t>
        </is>
      </c>
      <c r="E974" s="4" t="inlineStr">
        <is>
          <t>120F0098OB1</t>
        </is>
      </c>
      <c r="F974" s="4" t="inlineStr">
        <is>
          <t>98系列高身单孔正开面盆龙头 拉丝古铜色</t>
        </is>
      </c>
      <c r="G974" s="4" t="inlineStr">
        <is>
          <t>曾志发</t>
        </is>
      </c>
      <c r="H974" s="4" t="inlineStr">
        <is>
          <t>面盆</t>
        </is>
      </c>
      <c r="I974" s="12" t="inlineStr">
        <is>
          <t>是</t>
        </is>
      </c>
      <c r="J974" s="34" t="n">
        <v>45504</v>
      </c>
      <c r="K974" s="34" t="n">
        <v>45504</v>
      </c>
      <c r="L974" s="0">
        <f>DATEDIF(J974,$L$1,"M")</f>
        <v/>
      </c>
      <c r="M974" s="0">
        <f>IF(L974&lt;18,"新品期",IF(L974&lt;=36,"老品期","衰退期"))</f>
        <v/>
      </c>
      <c r="N974" s="36" t="inlineStr">
        <is>
          <t>没有运营，2025年9月1号以前梁丽梅负责</t>
        </is>
      </c>
    </row>
    <row r="975" ht="15" customFormat="1" customHeight="1" s="36">
      <c r="A975" s="4" t="inlineStr">
        <is>
          <t>Wintap-BR</t>
        </is>
      </c>
      <c r="B975" s="4" t="inlineStr">
        <is>
          <t>Wintap巴西站</t>
        </is>
      </c>
      <c r="C975" s="4">
        <f>B975&amp;D975</f>
        <v/>
      </c>
      <c r="D975" s="4" t="inlineStr">
        <is>
          <t>WT-9802ORBZZ</t>
        </is>
      </c>
      <c r="E975" s="4" t="inlineStr">
        <is>
          <t>120F0098OB1</t>
        </is>
      </c>
      <c r="F975" s="4" t="inlineStr">
        <is>
          <t>98系列高身单孔正开面盆龙头 拉丝古铜色</t>
        </is>
      </c>
      <c r="G975" s="4" t="inlineStr">
        <is>
          <t>曾志发</t>
        </is>
      </c>
      <c r="H975" s="4" t="inlineStr">
        <is>
          <t>面盆</t>
        </is>
      </c>
      <c r="I975" s="12" t="inlineStr">
        <is>
          <t>是</t>
        </is>
      </c>
      <c r="J975" s="34" t="n">
        <v>45504</v>
      </c>
      <c r="K975" s="34" t="n">
        <v>45504</v>
      </c>
      <c r="L975" s="0">
        <f>DATEDIF(J975,$L$1,"M")</f>
        <v/>
      </c>
      <c r="M975" s="0">
        <f>IF(L975&lt;18,"新品期",IF(L975&lt;=36,"老品期","衰退期"))</f>
        <v/>
      </c>
      <c r="N975" s="36" t="inlineStr">
        <is>
          <t>没有运营，2025年9月1号以前梁丽梅负责</t>
        </is>
      </c>
    </row>
    <row r="976" ht="15" customFormat="1" customHeight="1" s="36">
      <c r="A976" s="4" t="inlineStr">
        <is>
          <t>Wintap-US</t>
        </is>
      </c>
      <c r="B976" s="4" t="inlineStr">
        <is>
          <t>Wintap美国站</t>
        </is>
      </c>
      <c r="C976" s="4">
        <f>B976&amp;D976</f>
        <v/>
      </c>
      <c r="D976" s="4" t="inlineStr">
        <is>
          <t>WT-9802ORBZZ02</t>
        </is>
      </c>
      <c r="E976" s="4" t="inlineStr">
        <is>
          <t>120F0098OB1</t>
        </is>
      </c>
      <c r="F976" s="4" t="inlineStr">
        <is>
          <t>98系列高身单孔正开面盆龙头 拉丝古铜色</t>
        </is>
      </c>
      <c r="G976" s="4" t="inlineStr">
        <is>
          <t>曾志发</t>
        </is>
      </c>
      <c r="H976" s="4" t="inlineStr">
        <is>
          <t>面盆</t>
        </is>
      </c>
      <c r="I976" s="12" t="inlineStr">
        <is>
          <t>是</t>
        </is>
      </c>
      <c r="J976" s="34" t="n">
        <v>45504</v>
      </c>
      <c r="K976" s="34" t="n">
        <v>45504</v>
      </c>
      <c r="L976" s="0">
        <f>DATEDIF(J976,$L$1,"M")</f>
        <v/>
      </c>
      <c r="M976" s="0">
        <f>IF(L976&lt;18,"新品期",IF(L976&lt;=36,"老品期","衰退期"))</f>
        <v/>
      </c>
      <c r="N976" s="36" t="inlineStr">
        <is>
          <t>清完不卖，2025年9月1号以前梁丽梅负责</t>
        </is>
      </c>
    </row>
    <row r="977" ht="15" customFormat="1" customHeight="1" s="36">
      <c r="A977" s="4" t="inlineStr">
        <is>
          <t>Wintap-CA</t>
        </is>
      </c>
      <c r="B977" s="4" t="inlineStr">
        <is>
          <t>Wintap加拿大站</t>
        </is>
      </c>
      <c r="C977" s="4">
        <f>B977&amp;D977</f>
        <v/>
      </c>
      <c r="D977" s="4" t="inlineStr">
        <is>
          <t>WT-9802ORBZZ02</t>
        </is>
      </c>
      <c r="E977" s="4" t="inlineStr">
        <is>
          <t>120F0098OB1</t>
        </is>
      </c>
      <c r="F977" s="4" t="inlineStr">
        <is>
          <t>98系列高身单孔正开面盆龙头 拉丝古铜色</t>
        </is>
      </c>
      <c r="G977" s="4" t="inlineStr">
        <is>
          <t>曾志发</t>
        </is>
      </c>
      <c r="H977" s="4" t="inlineStr">
        <is>
          <t>面盆</t>
        </is>
      </c>
      <c r="I977" s="12" t="inlineStr">
        <is>
          <t>是</t>
        </is>
      </c>
      <c r="J977" s="34" t="n">
        <v>45504</v>
      </c>
      <c r="K977" s="34" t="n">
        <v>45504</v>
      </c>
      <c r="L977" s="0">
        <f>DATEDIF(J977,$L$1,"M")</f>
        <v/>
      </c>
      <c r="M977" s="0">
        <f>IF(L977&lt;18,"新品期",IF(L977&lt;=36,"老品期","衰退期"))</f>
        <v/>
      </c>
      <c r="N977" s="36" t="inlineStr">
        <is>
          <t>没有运营，2025年9月1号以前梁丽梅负责</t>
        </is>
      </c>
    </row>
    <row r="978" ht="15" customFormat="1" customHeight="1" s="36">
      <c r="A978" s="4" t="inlineStr">
        <is>
          <t>Wintap-BR</t>
        </is>
      </c>
      <c r="B978" s="4" t="inlineStr">
        <is>
          <t>Wintap巴西站</t>
        </is>
      </c>
      <c r="C978" s="4">
        <f>B978&amp;D978</f>
        <v/>
      </c>
      <c r="D978" s="4" t="inlineStr">
        <is>
          <t>WT-9802ORBZZ02</t>
        </is>
      </c>
      <c r="E978" s="4" t="inlineStr">
        <is>
          <t>120F0098OB1</t>
        </is>
      </c>
      <c r="F978" s="4" t="inlineStr">
        <is>
          <t>98系列高身单孔正开面盆龙头 拉丝古铜色</t>
        </is>
      </c>
      <c r="G978" s="4" t="inlineStr">
        <is>
          <t>曾志发</t>
        </is>
      </c>
      <c r="H978" s="4" t="inlineStr">
        <is>
          <t>面盆</t>
        </is>
      </c>
      <c r="I978" s="12" t="inlineStr">
        <is>
          <t>是</t>
        </is>
      </c>
      <c r="J978" s="34" t="n">
        <v>45504</v>
      </c>
      <c r="K978" s="34" t="n">
        <v>45504</v>
      </c>
      <c r="L978" s="0">
        <f>DATEDIF(J978,$L$1,"M")</f>
        <v/>
      </c>
      <c r="M978" s="0">
        <f>IF(L978&lt;18,"新品期",IF(L978&lt;=36,"老品期","衰退期"))</f>
        <v/>
      </c>
      <c r="N978" s="36" t="inlineStr">
        <is>
          <t>没有运营，2025年9月1号以前梁丽梅负责</t>
        </is>
      </c>
    </row>
    <row r="979" ht="15" customFormat="1" customHeight="1" s="36">
      <c r="A979" s="4" t="inlineStr">
        <is>
          <t>Wintap-US</t>
        </is>
      </c>
      <c r="B979" s="4" t="inlineStr">
        <is>
          <t>Wintap美国站</t>
        </is>
      </c>
      <c r="C979" s="4">
        <f>B979&amp;D979</f>
        <v/>
      </c>
      <c r="D979" s="4" t="inlineStr">
        <is>
          <t>WT-9802RGBK</t>
        </is>
      </c>
      <c r="E979" s="4" t="inlineStr">
        <is>
          <t>120F0098RB1</t>
        </is>
      </c>
      <c r="F979" s="4" t="inlineStr">
        <is>
          <t>98系列高身单孔正开面盆龙头拉丝玫瑰金+黑色</t>
        </is>
      </c>
      <c r="G979" s="4" t="inlineStr">
        <is>
          <t>曾志发</t>
        </is>
      </c>
      <c r="H979" s="4" t="inlineStr">
        <is>
          <t>面盆</t>
        </is>
      </c>
      <c r="I979" s="12" t="inlineStr">
        <is>
          <t>是</t>
        </is>
      </c>
      <c r="J979" s="34" t="n">
        <v>45504</v>
      </c>
      <c r="K979" s="34" t="n">
        <v>45504</v>
      </c>
      <c r="L979" s="0">
        <f>DATEDIF(J979,$L$1,"M")</f>
        <v/>
      </c>
      <c r="M979" s="0">
        <f>IF(L979&lt;18,"新品期",IF(L979&lt;=36,"老品期","衰退期"))</f>
        <v/>
      </c>
      <c r="N979" s="36" t="inlineStr">
        <is>
          <t>清完不卖，2025年9月1号以前梁丽梅负责</t>
        </is>
      </c>
    </row>
    <row r="980" ht="15" customFormat="1" customHeight="1" s="36">
      <c r="A980" s="4" t="inlineStr">
        <is>
          <t>Wintap-MX</t>
        </is>
      </c>
      <c r="B980" s="4" t="inlineStr">
        <is>
          <t>Wintap墨西哥站</t>
        </is>
      </c>
      <c r="C980" s="4">
        <f>B980&amp;D980</f>
        <v/>
      </c>
      <c r="D980" s="4" t="inlineStr">
        <is>
          <t>WT-9802RGBK</t>
        </is>
      </c>
      <c r="E980" s="4" t="inlineStr">
        <is>
          <t>120F0098RB1</t>
        </is>
      </c>
      <c r="F980" s="4" t="inlineStr">
        <is>
          <t>98系列高身单孔正开面盆龙头拉丝玫瑰金+黑色</t>
        </is>
      </c>
      <c r="G980" s="4" t="inlineStr">
        <is>
          <t>曾志发</t>
        </is>
      </c>
      <c r="H980" s="4" t="inlineStr">
        <is>
          <t>面盆</t>
        </is>
      </c>
      <c r="I980" s="12" t="inlineStr">
        <is>
          <t>是</t>
        </is>
      </c>
      <c r="J980" s="34" t="n">
        <v>45504</v>
      </c>
      <c r="K980" s="34" t="n">
        <v>45504</v>
      </c>
      <c r="L980" s="0">
        <f>DATEDIF(J980,$L$1,"M")</f>
        <v/>
      </c>
      <c r="M980" s="0">
        <f>IF(L980&lt;18,"新品期",IF(L980&lt;=36,"老品期","衰退期"))</f>
        <v/>
      </c>
      <c r="N980" s="36" t="inlineStr">
        <is>
          <t>没有运营，2025年9月1号以前梁丽梅负责</t>
        </is>
      </c>
    </row>
    <row r="981" ht="15" customFormat="1" customHeight="1" s="36">
      <c r="A981" s="4" t="inlineStr">
        <is>
          <t>Wintap-US</t>
        </is>
      </c>
      <c r="B981" s="4" t="inlineStr">
        <is>
          <t>Wintap美国站</t>
        </is>
      </c>
      <c r="C981" s="4">
        <f>B981&amp;D981</f>
        <v/>
      </c>
      <c r="D981" s="4" t="inlineStr">
        <is>
          <t>WT-9802RGBKZZ</t>
        </is>
      </c>
      <c r="E981" s="4" t="inlineStr">
        <is>
          <t>120F0098RB1</t>
        </is>
      </c>
      <c r="F981" s="4" t="inlineStr">
        <is>
          <t>98系列高身单孔正开面盆龙头拉丝玫瑰金+黑色</t>
        </is>
      </c>
      <c r="G981" s="4" t="inlineStr">
        <is>
          <t>曾志发</t>
        </is>
      </c>
      <c r="H981" s="4" t="inlineStr">
        <is>
          <t>面盆</t>
        </is>
      </c>
      <c r="I981" s="12" t="inlineStr">
        <is>
          <t>是</t>
        </is>
      </c>
      <c r="J981" s="34" t="n">
        <v>45504</v>
      </c>
      <c r="K981" s="34" t="n">
        <v>45504</v>
      </c>
      <c r="L981" s="0">
        <f>DATEDIF(J981,$L$1,"M")</f>
        <v/>
      </c>
      <c r="M981" s="0">
        <f>IF(L981&lt;18,"新品期",IF(L981&lt;=36,"老品期","衰退期"))</f>
        <v/>
      </c>
      <c r="N981" s="36" t="inlineStr">
        <is>
          <t>清完不卖，2025年9月1号以前梁丽梅负责</t>
        </is>
      </c>
    </row>
    <row r="982" ht="15" customFormat="1" customHeight="1" s="36">
      <c r="A982" s="4" t="inlineStr">
        <is>
          <t>Wintap-CA</t>
        </is>
      </c>
      <c r="B982" s="4" t="inlineStr">
        <is>
          <t>Wintap加拿大站</t>
        </is>
      </c>
      <c r="C982" s="4">
        <f>B982&amp;D982</f>
        <v/>
      </c>
      <c r="D982" s="4" t="inlineStr">
        <is>
          <t>WT-9802RGBKZZ</t>
        </is>
      </c>
      <c r="E982" s="4" t="inlineStr">
        <is>
          <t>120F0098RB1</t>
        </is>
      </c>
      <c r="F982" s="4" t="inlineStr">
        <is>
          <t>98系列高身单孔正开面盆龙头拉丝玫瑰金+黑色</t>
        </is>
      </c>
      <c r="G982" s="4" t="inlineStr">
        <is>
          <t>曾志发</t>
        </is>
      </c>
      <c r="H982" s="4" t="inlineStr">
        <is>
          <t>面盆</t>
        </is>
      </c>
      <c r="I982" s="12" t="inlineStr">
        <is>
          <t>是</t>
        </is>
      </c>
      <c r="J982" s="34" t="n">
        <v>45504</v>
      </c>
      <c r="K982" s="34" t="n">
        <v>45504</v>
      </c>
      <c r="L982" s="0">
        <f>DATEDIF(J982,$L$1,"M")</f>
        <v/>
      </c>
      <c r="M982" s="0">
        <f>IF(L982&lt;18,"新品期",IF(L982&lt;=36,"老品期","衰退期"))</f>
        <v/>
      </c>
      <c r="N982" s="36" t="inlineStr">
        <is>
          <t>没有运营，2025年9月1号以前梁丽梅负责</t>
        </is>
      </c>
    </row>
    <row r="983" ht="15" customFormat="1" customHeight="1" s="36">
      <c r="A983" s="4" t="inlineStr">
        <is>
          <t>Wintap-BR</t>
        </is>
      </c>
      <c r="B983" s="4" t="inlineStr">
        <is>
          <t>Wintap巴西站</t>
        </is>
      </c>
      <c r="C983" s="4">
        <f>B983&amp;D983</f>
        <v/>
      </c>
      <c r="D983" s="4" t="inlineStr">
        <is>
          <t>WT-9802RGBKZZ</t>
        </is>
      </c>
      <c r="E983" s="4" t="inlineStr">
        <is>
          <t>120F0098RB1</t>
        </is>
      </c>
      <c r="F983" s="4" t="inlineStr">
        <is>
          <t>98系列高身单孔正开面盆龙头拉丝玫瑰金+黑色</t>
        </is>
      </c>
      <c r="G983" s="4" t="inlineStr">
        <is>
          <t>曾志发</t>
        </is>
      </c>
      <c r="H983" s="4" t="inlineStr">
        <is>
          <t>面盆</t>
        </is>
      </c>
      <c r="I983" s="12" t="inlineStr">
        <is>
          <t>是</t>
        </is>
      </c>
      <c r="J983" s="34" t="n">
        <v>45504</v>
      </c>
      <c r="K983" s="34" t="n">
        <v>45504</v>
      </c>
      <c r="L983" s="0">
        <f>DATEDIF(J983,$L$1,"M")</f>
        <v/>
      </c>
      <c r="M983" s="0">
        <f>IF(L983&lt;18,"新品期",IF(L983&lt;=36,"老品期","衰退期"))</f>
        <v/>
      </c>
      <c r="N983" s="36" t="inlineStr">
        <is>
          <t>没有运营，2025年9月1号以前梁丽梅负责</t>
        </is>
      </c>
    </row>
    <row r="984" ht="15" customFormat="1" customHeight="1" s="36">
      <c r="A984" s="4" t="inlineStr">
        <is>
          <t>Wintap-US</t>
        </is>
      </c>
      <c r="B984" s="4" t="inlineStr">
        <is>
          <t>Wintap美国站</t>
        </is>
      </c>
      <c r="C984" s="4">
        <f>B984&amp;D984</f>
        <v/>
      </c>
      <c r="D984" s="4" t="inlineStr">
        <is>
          <t>WT-9802RGBKZZ02</t>
        </is>
      </c>
      <c r="E984" s="4" t="inlineStr">
        <is>
          <t>120F0098RB1</t>
        </is>
      </c>
      <c r="F984" s="4" t="inlineStr">
        <is>
          <t>98系列高身单孔正开面盆龙头拉丝玫瑰金+黑色</t>
        </is>
      </c>
      <c r="G984" s="4" t="inlineStr">
        <is>
          <t>曾志发</t>
        </is>
      </c>
      <c r="H984" s="4" t="inlineStr">
        <is>
          <t>面盆</t>
        </is>
      </c>
      <c r="I984" s="12" t="inlineStr">
        <is>
          <t>是</t>
        </is>
      </c>
      <c r="J984" s="34" t="n">
        <v>45504</v>
      </c>
      <c r="K984" s="34" t="n">
        <v>45504</v>
      </c>
      <c r="L984" s="0">
        <f>DATEDIF(J984,$L$1,"M")</f>
        <v/>
      </c>
      <c r="M984" s="0">
        <f>IF(L984&lt;18,"新品期",IF(L984&lt;=36,"老品期","衰退期"))</f>
        <v/>
      </c>
      <c r="N984" s="36" t="inlineStr">
        <is>
          <t>清完不卖，2025年9月1号以前梁丽梅负责</t>
        </is>
      </c>
    </row>
    <row r="985" ht="15" customFormat="1" customHeight="1" s="36">
      <c r="A985" s="4" t="inlineStr">
        <is>
          <t>Wintap-US</t>
        </is>
      </c>
      <c r="B985" s="4" t="inlineStr">
        <is>
          <t>Wintap美国站</t>
        </is>
      </c>
      <c r="C985" s="4">
        <f>B985&amp;D985</f>
        <v/>
      </c>
      <c r="D985" s="4" t="inlineStr">
        <is>
          <t>WT-9804BG</t>
        </is>
      </c>
      <c r="E985" s="4" t="inlineStr">
        <is>
          <t>140F0098BG1</t>
        </is>
      </c>
      <c r="F985" s="4" t="inlineStr">
        <is>
          <t>98系列分体面盆龙头拉丝钛金封油</t>
        </is>
      </c>
      <c r="G985" s="4" t="inlineStr">
        <is>
          <t>曾志发</t>
        </is>
      </c>
      <c r="H985" s="4" t="inlineStr">
        <is>
          <t>面盆</t>
        </is>
      </c>
      <c r="I985" s="12" t="inlineStr">
        <is>
          <t>是</t>
        </is>
      </c>
      <c r="J985" s="34" t="n">
        <v>45374</v>
      </c>
      <c r="K985" s="34" t="n">
        <v>45374</v>
      </c>
      <c r="L985" s="0">
        <f>DATEDIF(J985,$L$1,"M")</f>
        <v/>
      </c>
      <c r="M985" s="0">
        <f>IF(L985&lt;18,"新品期",IF(L985&lt;=36,"老品期","衰退期"))</f>
        <v/>
      </c>
      <c r="N985" s="36" t="inlineStr">
        <is>
          <t>清完不卖，2025年9月1号以前梁丽梅负责</t>
        </is>
      </c>
    </row>
    <row r="986" ht="15" customFormat="1" customHeight="1" s="36">
      <c r="A986" s="4" t="inlineStr">
        <is>
          <t>Wintap-US</t>
        </is>
      </c>
      <c r="B986" s="4" t="inlineStr">
        <is>
          <t>Wintap美国站</t>
        </is>
      </c>
      <c r="C986" s="4">
        <f>B986&amp;D986</f>
        <v/>
      </c>
      <c r="D986" s="4" t="inlineStr">
        <is>
          <t>WT-9804BK</t>
        </is>
      </c>
      <c r="E986" s="4" t="inlineStr">
        <is>
          <t>140F0098BK1</t>
        </is>
      </c>
      <c r="F986" s="4" t="inlineStr">
        <is>
          <t>98系列分体面盆龙头电泳黑</t>
        </is>
      </c>
      <c r="G986" s="4" t="inlineStr">
        <is>
          <t>曾志发</t>
        </is>
      </c>
      <c r="H986" s="4" t="inlineStr">
        <is>
          <t>面盆</t>
        </is>
      </c>
      <c r="I986" s="12" t="inlineStr">
        <is>
          <t>是</t>
        </is>
      </c>
      <c r="J986" s="34" t="n">
        <v>45374</v>
      </c>
      <c r="K986" s="34" t="n">
        <v>45374</v>
      </c>
      <c r="L986" s="0">
        <f>DATEDIF(J986,$L$1,"M")</f>
        <v/>
      </c>
      <c r="M986" s="0">
        <f>IF(L986&lt;18,"新品期",IF(L986&lt;=36,"老品期","衰退期"))</f>
        <v/>
      </c>
      <c r="N986" s="36" t="inlineStr">
        <is>
          <t>清完不卖，2025年9月1号以前梁丽梅负责</t>
        </is>
      </c>
    </row>
    <row r="987" ht="15" customFormat="1" customHeight="1" s="36">
      <c r="A987" s="4" t="inlineStr">
        <is>
          <t>Wintap-MX</t>
        </is>
      </c>
      <c r="B987" s="4" t="inlineStr">
        <is>
          <t>Wintap墨西哥站</t>
        </is>
      </c>
      <c r="C987" s="4">
        <f>B987&amp;D987</f>
        <v/>
      </c>
      <c r="D987" s="4" t="inlineStr">
        <is>
          <t>WT-9804BK</t>
        </is>
      </c>
      <c r="E987" s="4" t="inlineStr">
        <is>
          <t>140F0098BK1</t>
        </is>
      </c>
      <c r="F987" s="4" t="inlineStr">
        <is>
          <t>98系列分体面盆龙头电泳黑</t>
        </is>
      </c>
      <c r="G987" s="4" t="inlineStr">
        <is>
          <t>曾志发</t>
        </is>
      </c>
      <c r="H987" s="4" t="inlineStr">
        <is>
          <t>面盆</t>
        </is>
      </c>
      <c r="I987" s="12" t="inlineStr">
        <is>
          <t>是</t>
        </is>
      </c>
      <c r="J987" s="34" t="n">
        <v>45374</v>
      </c>
      <c r="K987" s="34" t="n">
        <v>45374</v>
      </c>
      <c r="L987" s="0">
        <f>DATEDIF(J987,$L$1,"M")</f>
        <v/>
      </c>
      <c r="M987" s="0">
        <f>IF(L987&lt;18,"新品期",IF(L987&lt;=36,"老品期","衰退期"))</f>
        <v/>
      </c>
      <c r="N987" s="36" t="inlineStr">
        <is>
          <t>没有运营，2025年9月1号以前梁丽梅负责</t>
        </is>
      </c>
    </row>
    <row r="988" ht="15" customFormat="1" customHeight="1" s="36">
      <c r="A988" s="4" t="inlineStr">
        <is>
          <t>Wintap-US</t>
        </is>
      </c>
      <c r="B988" s="4" t="inlineStr">
        <is>
          <t>Wintap美国站</t>
        </is>
      </c>
      <c r="C988" s="4">
        <f>B988&amp;D988</f>
        <v/>
      </c>
      <c r="D988" s="4" t="inlineStr">
        <is>
          <t>WT-9804BN</t>
        </is>
      </c>
      <c r="E988" s="4" t="inlineStr">
        <is>
          <t>140F0098BN1</t>
        </is>
      </c>
      <c r="F988" s="4" t="inlineStr">
        <is>
          <t>98系列分体面盆龙头拉丝封油</t>
        </is>
      </c>
      <c r="G988" s="4" t="inlineStr">
        <is>
          <t>曾志发</t>
        </is>
      </c>
      <c r="H988" s="4" t="inlineStr">
        <is>
          <t>面盆</t>
        </is>
      </c>
      <c r="I988" s="12" t="inlineStr">
        <is>
          <t>是</t>
        </is>
      </c>
      <c r="J988" s="34" t="n">
        <v>45374</v>
      </c>
      <c r="K988" s="34" t="n">
        <v>45374</v>
      </c>
      <c r="L988" s="0">
        <f>DATEDIF(J988,$L$1,"M")</f>
        <v/>
      </c>
      <c r="M988" s="0">
        <f>IF(L988&lt;18,"新品期",IF(L988&lt;=36,"老品期","衰退期"))</f>
        <v/>
      </c>
      <c r="N988" s="36" t="inlineStr">
        <is>
          <t>清完不卖，2025年9月1号以前梁丽梅负责</t>
        </is>
      </c>
    </row>
    <row r="989" ht="15" customFormat="1" customHeight="1" s="36">
      <c r="A989" s="4" t="inlineStr">
        <is>
          <t>Wintap-US</t>
        </is>
      </c>
      <c r="B989" s="4" t="inlineStr">
        <is>
          <t>Wintap美国站</t>
        </is>
      </c>
      <c r="C989" s="4">
        <f>B989&amp;D989</f>
        <v/>
      </c>
      <c r="D989" s="4" t="inlineStr">
        <is>
          <t>WT-9804CP</t>
        </is>
      </c>
      <c r="E989" s="4" t="inlineStr">
        <is>
          <t>140F0098CP1</t>
        </is>
      </c>
      <c r="F989" s="4" t="inlineStr">
        <is>
          <t>98系列分体面盆龙头铬</t>
        </is>
      </c>
      <c r="G989" s="4" t="inlineStr">
        <is>
          <t>曾志发</t>
        </is>
      </c>
      <c r="H989" s="4" t="inlineStr">
        <is>
          <t>面盆</t>
        </is>
      </c>
      <c r="I989" s="12" t="inlineStr">
        <is>
          <t>是</t>
        </is>
      </c>
      <c r="J989" s="34" t="n">
        <v>45374</v>
      </c>
      <c r="K989" s="34" t="n">
        <v>45374</v>
      </c>
      <c r="L989" s="0">
        <f>DATEDIF(J989,$L$1,"M")</f>
        <v/>
      </c>
      <c r="M989" s="0">
        <f>IF(L989&lt;18,"新品期",IF(L989&lt;=36,"老品期","衰退期"))</f>
        <v/>
      </c>
      <c r="N989" s="36" t="inlineStr">
        <is>
          <t>清完不卖，2025年9月1号以前梁丽梅负责</t>
        </is>
      </c>
    </row>
    <row r="990" ht="15" customFormat="1" customHeight="1" s="36">
      <c r="A990" s="4" t="inlineStr">
        <is>
          <t>Wintap-BR</t>
        </is>
      </c>
      <c r="B990" s="4" t="inlineStr">
        <is>
          <t>Wintap巴西站</t>
        </is>
      </c>
      <c r="C990" s="4">
        <f>B990&amp;D990</f>
        <v/>
      </c>
      <c r="D990" s="4" t="inlineStr">
        <is>
          <t>WT-9804CP</t>
        </is>
      </c>
      <c r="E990" s="4" t="inlineStr">
        <is>
          <t>140F0098CP1</t>
        </is>
      </c>
      <c r="F990" s="4" t="inlineStr">
        <is>
          <t>98系列分体面盆龙头铬</t>
        </is>
      </c>
      <c r="G990" s="4" t="inlineStr">
        <is>
          <t>曾志发</t>
        </is>
      </c>
      <c r="H990" s="4" t="inlineStr">
        <is>
          <t>面盆</t>
        </is>
      </c>
      <c r="I990" s="12" t="inlineStr">
        <is>
          <t>是</t>
        </is>
      </c>
      <c r="J990" s="34" t="n">
        <v>45374</v>
      </c>
      <c r="K990" s="34" t="n">
        <v>45374</v>
      </c>
      <c r="L990" s="0">
        <f>DATEDIF(J990,$L$1,"M")</f>
        <v/>
      </c>
      <c r="M990" s="0">
        <f>IF(L990&lt;18,"新品期",IF(L990&lt;=36,"老品期","衰退期"))</f>
        <v/>
      </c>
      <c r="N990" s="36" t="inlineStr">
        <is>
          <t>没有运营，2025年9月1号以前梁丽梅负责</t>
        </is>
      </c>
    </row>
    <row r="991" ht="15" customFormat="1" customHeight="1" s="36">
      <c r="A991" s="4" t="inlineStr">
        <is>
          <t>Wintap-US</t>
        </is>
      </c>
      <c r="B991" s="4" t="inlineStr">
        <is>
          <t>Wintap美国站</t>
        </is>
      </c>
      <c r="C991" s="4">
        <f>B991&amp;D991</f>
        <v/>
      </c>
      <c r="D991" s="4" t="inlineStr">
        <is>
          <t>WT-9804ORB</t>
        </is>
      </c>
      <c r="E991" s="4" t="inlineStr">
        <is>
          <t>140F0098OB1</t>
        </is>
      </c>
      <c r="F991" s="4" t="inlineStr">
        <is>
          <t>98系列分体面盆龙头 拉丝古铜色</t>
        </is>
      </c>
      <c r="G991" s="4" t="inlineStr">
        <is>
          <t>曾志发</t>
        </is>
      </c>
      <c r="H991" s="4" t="inlineStr">
        <is>
          <t>面盆</t>
        </is>
      </c>
      <c r="I991" s="12" t="inlineStr">
        <is>
          <t>是</t>
        </is>
      </c>
      <c r="J991" s="34" t="n">
        <v>45374</v>
      </c>
      <c r="K991" s="34" t="n">
        <v>45374</v>
      </c>
      <c r="L991" s="0">
        <f>DATEDIF(J991,$L$1,"M")</f>
        <v/>
      </c>
      <c r="M991" s="0">
        <f>IF(L991&lt;18,"新品期",IF(L991&lt;=36,"老品期","衰退期"))</f>
        <v/>
      </c>
      <c r="N991" s="36" t="inlineStr">
        <is>
          <t>清完不卖，2025年9月1号以前梁丽梅负责</t>
        </is>
      </c>
    </row>
    <row r="992" ht="15" customFormat="1" customHeight="1" s="36">
      <c r="A992" s="4" t="inlineStr">
        <is>
          <t>Wintap-US</t>
        </is>
      </c>
      <c r="B992" s="4" t="inlineStr">
        <is>
          <t>Wintap美国站</t>
        </is>
      </c>
      <c r="C992" s="4">
        <f>B992&amp;D992</f>
        <v/>
      </c>
      <c r="D992" s="4" t="inlineStr">
        <is>
          <t>WT-9804RGBK</t>
        </is>
      </c>
      <c r="E992" s="4" t="inlineStr">
        <is>
          <t>140F0098RB1</t>
        </is>
      </c>
      <c r="F992" s="4" t="inlineStr">
        <is>
          <t>98系列分体面盆龙头拉丝玫瑰金+黑色</t>
        </is>
      </c>
      <c r="G992" s="4" t="inlineStr">
        <is>
          <t>曾志发</t>
        </is>
      </c>
      <c r="H992" s="4" t="inlineStr">
        <is>
          <t>面盆</t>
        </is>
      </c>
      <c r="I992" s="12" t="inlineStr">
        <is>
          <t>是</t>
        </is>
      </c>
      <c r="J992" s="34" t="n">
        <v>45374</v>
      </c>
      <c r="K992" s="34" t="n">
        <v>45374</v>
      </c>
      <c r="L992" s="0">
        <f>DATEDIF(J992,$L$1,"M")</f>
        <v/>
      </c>
      <c r="M992" s="0">
        <f>IF(L992&lt;18,"新品期",IF(L992&lt;=36,"老品期","衰退期"))</f>
        <v/>
      </c>
      <c r="N992" s="36" t="inlineStr">
        <is>
          <t>清完不卖，2025年9月1号以前梁丽梅负责</t>
        </is>
      </c>
    </row>
    <row r="993" ht="15" customFormat="1" customHeight="1" s="36">
      <c r="A993" s="4" t="inlineStr">
        <is>
          <t>Wintap-MX</t>
        </is>
      </c>
      <c r="B993" s="4" t="inlineStr">
        <is>
          <t>Wintap墨西哥站</t>
        </is>
      </c>
      <c r="C993" s="4">
        <f>B993&amp;D993</f>
        <v/>
      </c>
      <c r="D993" s="4" t="inlineStr">
        <is>
          <t>WT-9804RGBK</t>
        </is>
      </c>
      <c r="E993" s="4" t="inlineStr">
        <is>
          <t>140F0098RB1</t>
        </is>
      </c>
      <c r="F993" s="4" t="inlineStr">
        <is>
          <t>98系列分体面盆龙头拉丝玫瑰金+黑色</t>
        </is>
      </c>
      <c r="G993" s="4" t="inlineStr">
        <is>
          <t>曾志发</t>
        </is>
      </c>
      <c r="H993" s="4" t="inlineStr">
        <is>
          <t>面盆</t>
        </is>
      </c>
      <c r="I993" s="12" t="inlineStr">
        <is>
          <t>是</t>
        </is>
      </c>
      <c r="J993" s="34" t="n">
        <v>45374</v>
      </c>
      <c r="K993" s="34" t="n">
        <v>45374</v>
      </c>
      <c r="L993" s="0">
        <f>DATEDIF(J993,$L$1,"M")</f>
        <v/>
      </c>
      <c r="M993" s="0">
        <f>IF(L993&lt;18,"新品期",IF(L993&lt;=36,"老品期","衰退期"))</f>
        <v/>
      </c>
      <c r="N993" s="36" t="inlineStr">
        <is>
          <t>没有运营，2025年9月1号以前梁丽梅负责</t>
        </is>
      </c>
    </row>
    <row r="994" ht="15" customFormat="1" customHeight="1" s="36">
      <c r="A994" s="4" t="inlineStr">
        <is>
          <t>Wintap-BR</t>
        </is>
      </c>
      <c r="B994" s="4" t="inlineStr">
        <is>
          <t>Wintap巴西站</t>
        </is>
      </c>
      <c r="C994" s="4">
        <f>B994&amp;D994</f>
        <v/>
      </c>
      <c r="D994" s="4" t="inlineStr">
        <is>
          <t>WT-9804RGBK</t>
        </is>
      </c>
      <c r="E994" s="4" t="inlineStr">
        <is>
          <t>140F0098RB1</t>
        </is>
      </c>
      <c r="F994" s="4" t="inlineStr">
        <is>
          <t>98系列分体面盆龙头拉丝玫瑰金+黑色</t>
        </is>
      </c>
      <c r="G994" s="4" t="inlineStr">
        <is>
          <t>曾志发</t>
        </is>
      </c>
      <c r="H994" s="4" t="inlineStr">
        <is>
          <t>面盆</t>
        </is>
      </c>
      <c r="I994" s="12" t="inlineStr">
        <is>
          <t>是</t>
        </is>
      </c>
      <c r="J994" s="34" t="n">
        <v>45374</v>
      </c>
      <c r="K994" s="34" t="n">
        <v>45374</v>
      </c>
      <c r="L994" s="0">
        <f>DATEDIF(J994,$L$1,"M")</f>
        <v/>
      </c>
      <c r="M994" s="0">
        <f>IF(L994&lt;18,"新品期",IF(L994&lt;=36,"老品期","衰退期"))</f>
        <v/>
      </c>
      <c r="N994" s="36" t="inlineStr">
        <is>
          <t>没有运营，2025年9月1号以前梁丽梅负责</t>
        </is>
      </c>
    </row>
    <row r="995" ht="15" customFormat="1" customHeight="1" s="36">
      <c r="A995" s="4" t="inlineStr">
        <is>
          <t>Wintap-US</t>
        </is>
      </c>
      <c r="B995" s="4" t="inlineStr">
        <is>
          <t>Wintap美国站</t>
        </is>
      </c>
      <c r="C995" s="4">
        <f>B995&amp;D995</f>
        <v/>
      </c>
      <c r="D995" s="4" t="inlineStr">
        <is>
          <t>WT-9805BG</t>
        </is>
      </c>
      <c r="E995" s="4" t="inlineStr">
        <is>
          <t>150F0098BG1</t>
        </is>
      </c>
      <c r="F995" s="4" t="inlineStr">
        <is>
          <t>98系列入墙面盆龙头拉丝钛金封油</t>
        </is>
      </c>
      <c r="G995" s="4" t="inlineStr">
        <is>
          <t>曾志发</t>
        </is>
      </c>
      <c r="H995" s="4" t="inlineStr">
        <is>
          <t>面盆</t>
        </is>
      </c>
      <c r="I995" s="12" t="inlineStr">
        <is>
          <t>是</t>
        </is>
      </c>
      <c r="J995" s="34" t="n">
        <v>45615</v>
      </c>
      <c r="K995" s="34" t="n">
        <v>45615</v>
      </c>
      <c r="L995" s="0">
        <f>DATEDIF(J995,$L$1,"M")</f>
        <v/>
      </c>
      <c r="M995" s="0">
        <f>IF(L995&lt;18,"新品期",IF(L995&lt;=36,"老品期","衰退期"))</f>
        <v/>
      </c>
      <c r="N995" s="36" t="inlineStr">
        <is>
          <t>清完不卖，2025年9月1号以前梁丽梅负责</t>
        </is>
      </c>
    </row>
    <row r="996" ht="15" customFormat="1" customHeight="1" s="36">
      <c r="A996" s="4" t="inlineStr">
        <is>
          <t>Wintap-CA</t>
        </is>
      </c>
      <c r="B996" s="4" t="inlineStr">
        <is>
          <t>Wintap加拿大站</t>
        </is>
      </c>
      <c r="C996" s="4">
        <f>B996&amp;D996</f>
        <v/>
      </c>
      <c r="D996" s="4" t="inlineStr">
        <is>
          <t>WT-9805BG</t>
        </is>
      </c>
      <c r="E996" s="4" t="inlineStr">
        <is>
          <t>150F0098BG1</t>
        </is>
      </c>
      <c r="F996" s="4" t="inlineStr">
        <is>
          <t>98系列入墙面盆龙头拉丝钛金封油</t>
        </is>
      </c>
      <c r="G996" s="4" t="inlineStr">
        <is>
          <t>曾志发</t>
        </is>
      </c>
      <c r="H996" s="4" t="inlineStr">
        <is>
          <t>面盆</t>
        </is>
      </c>
      <c r="I996" s="12" t="inlineStr">
        <is>
          <t>是</t>
        </is>
      </c>
      <c r="J996" s="34" t="n">
        <v>45615</v>
      </c>
      <c r="K996" s="34" t="n">
        <v>45615</v>
      </c>
      <c r="L996" s="0">
        <f>DATEDIF(J996,$L$1,"M")</f>
        <v/>
      </c>
      <c r="M996" s="0">
        <f>IF(L996&lt;18,"新品期",IF(L996&lt;=36,"老品期","衰退期"))</f>
        <v/>
      </c>
      <c r="N996" s="36" t="inlineStr">
        <is>
          <t>没有运营，2025年9月1号以前梁丽梅负责</t>
        </is>
      </c>
    </row>
    <row r="997" ht="15" customFormat="1" customHeight="1" s="36">
      <c r="A997" s="4" t="inlineStr">
        <is>
          <t>Wintap-BR</t>
        </is>
      </c>
      <c r="B997" s="4" t="inlineStr">
        <is>
          <t>Wintap巴西站</t>
        </is>
      </c>
      <c r="C997" s="4">
        <f>B997&amp;D997</f>
        <v/>
      </c>
      <c r="D997" s="4" t="inlineStr">
        <is>
          <t>WT-9805BG</t>
        </is>
      </c>
      <c r="E997" s="4" t="inlineStr">
        <is>
          <t>150F0098BG1</t>
        </is>
      </c>
      <c r="F997" s="4" t="inlineStr">
        <is>
          <t>98系列入墙面盆龙头拉丝钛金封油</t>
        </is>
      </c>
      <c r="G997" s="4" t="inlineStr">
        <is>
          <t>曾志发</t>
        </is>
      </c>
      <c r="H997" s="4" t="inlineStr">
        <is>
          <t>面盆</t>
        </is>
      </c>
      <c r="I997" s="12" t="inlineStr">
        <is>
          <t>是</t>
        </is>
      </c>
      <c r="J997" s="34" t="n">
        <v>45615</v>
      </c>
      <c r="K997" s="34" t="n">
        <v>45615</v>
      </c>
      <c r="L997" s="0">
        <f>DATEDIF(J997,$L$1,"M")</f>
        <v/>
      </c>
      <c r="M997" s="0">
        <f>IF(L997&lt;18,"新品期",IF(L997&lt;=36,"老品期","衰退期"))</f>
        <v/>
      </c>
      <c r="N997" s="36" t="inlineStr">
        <is>
          <t>没有运营，2025年9月1号以前梁丽梅负责</t>
        </is>
      </c>
    </row>
    <row r="998" ht="15" customFormat="1" customHeight="1" s="36">
      <c r="A998" s="4" t="inlineStr">
        <is>
          <t>Wintap-CA</t>
        </is>
      </c>
      <c r="B998" s="4" t="inlineStr">
        <is>
          <t>Wintap加拿大站</t>
        </is>
      </c>
      <c r="C998" s="4">
        <f>B998&amp;D998</f>
        <v/>
      </c>
      <c r="D998" s="4" t="inlineStr">
        <is>
          <t>WT-9805BK</t>
        </is>
      </c>
      <c r="E998" s="4" t="inlineStr">
        <is>
          <t>150F0098BK1</t>
        </is>
      </c>
      <c r="F998" s="4" t="inlineStr">
        <is>
          <t>98系列入墙面盆龙头电泳黑</t>
        </is>
      </c>
      <c r="G998" s="4" t="inlineStr">
        <is>
          <t>曾志发</t>
        </is>
      </c>
      <c r="H998" s="4" t="inlineStr">
        <is>
          <t>面盆</t>
        </is>
      </c>
      <c r="I998" s="12" t="inlineStr">
        <is>
          <t>是</t>
        </is>
      </c>
      <c r="J998" s="34" t="n">
        <v>45615</v>
      </c>
      <c r="K998" s="34" t="n">
        <v>45615</v>
      </c>
      <c r="L998" s="0">
        <f>DATEDIF(J998,$L$1,"M")</f>
        <v/>
      </c>
      <c r="M998" s="0">
        <f>IF(L998&lt;18,"新品期",IF(L998&lt;=36,"老品期","衰退期"))</f>
        <v/>
      </c>
      <c r="N998" s="36" t="inlineStr">
        <is>
          <t>没有运营，2025年9月1号以前梁丽梅负责</t>
        </is>
      </c>
    </row>
    <row r="999" ht="15" customFormat="1" customHeight="1" s="36">
      <c r="A999" s="4" t="inlineStr">
        <is>
          <t>Wintap-BR</t>
        </is>
      </c>
      <c r="B999" s="4" t="inlineStr">
        <is>
          <t>Wintap巴西站</t>
        </is>
      </c>
      <c r="C999" s="4">
        <f>B999&amp;D999</f>
        <v/>
      </c>
      <c r="D999" s="4" t="inlineStr">
        <is>
          <t>WT-9805BK</t>
        </is>
      </c>
      <c r="E999" s="4" t="inlineStr">
        <is>
          <t>150F0098BK1</t>
        </is>
      </c>
      <c r="F999" s="4" t="inlineStr">
        <is>
          <t>98系列入墙面盆龙头电泳黑</t>
        </is>
      </c>
      <c r="G999" s="4" t="inlineStr">
        <is>
          <t>曾志发</t>
        </is>
      </c>
      <c r="H999" s="4" t="inlineStr">
        <is>
          <t>面盆</t>
        </is>
      </c>
      <c r="I999" s="12" t="inlineStr">
        <is>
          <t>是</t>
        </is>
      </c>
      <c r="J999" s="34" t="n">
        <v>45615</v>
      </c>
      <c r="K999" s="34" t="n">
        <v>45615</v>
      </c>
      <c r="L999" s="0">
        <f>DATEDIF(J999,$L$1,"M")</f>
        <v/>
      </c>
      <c r="M999" s="0">
        <f>IF(L999&lt;18,"新品期",IF(L999&lt;=36,"老品期","衰退期"))</f>
        <v/>
      </c>
      <c r="N999" s="36" t="inlineStr">
        <is>
          <t>没有运营，2025年9月1号以前梁丽梅负责</t>
        </is>
      </c>
    </row>
    <row r="1000" ht="15" customFormat="1" customHeight="1" s="36">
      <c r="A1000" s="4" t="inlineStr">
        <is>
          <t>Wintap-US</t>
        </is>
      </c>
      <c r="B1000" s="4" t="inlineStr">
        <is>
          <t>Wintap美国站</t>
        </is>
      </c>
      <c r="C1000" s="4">
        <f>B1000&amp;D1000</f>
        <v/>
      </c>
      <c r="D1000" s="4" t="inlineStr">
        <is>
          <t>WT-9805BKZZ00</t>
        </is>
      </c>
      <c r="E1000" s="4" t="inlineStr">
        <is>
          <t>150F0098BK1</t>
        </is>
      </c>
      <c r="F1000" s="4" t="inlineStr">
        <is>
          <t>98系列入墙面盆龙头电泳黑</t>
        </is>
      </c>
      <c r="G1000" s="4" t="inlineStr">
        <is>
          <t>曾志发</t>
        </is>
      </c>
      <c r="H1000" s="4" t="inlineStr">
        <is>
          <t>面盆</t>
        </is>
      </c>
      <c r="I1000" s="12" t="inlineStr">
        <is>
          <t>是</t>
        </is>
      </c>
      <c r="J1000" s="34" t="n">
        <v>45615</v>
      </c>
      <c r="K1000" s="34" t="n">
        <v>45615</v>
      </c>
      <c r="L1000" s="0">
        <f>DATEDIF(J1000,$L$1,"M")</f>
        <v/>
      </c>
      <c r="M1000" s="0">
        <f>IF(L1000&lt;18,"新品期",IF(L1000&lt;=36,"老品期","衰退期"))</f>
        <v/>
      </c>
      <c r="N1000" s="36" t="inlineStr">
        <is>
          <t>清完不卖，2025年9月1号以前梁丽梅负责</t>
        </is>
      </c>
    </row>
    <row r="1001" ht="15" customFormat="1" customHeight="1" s="36">
      <c r="A1001" s="4" t="inlineStr">
        <is>
          <t>Wintap-CA</t>
        </is>
      </c>
      <c r="B1001" s="4" t="inlineStr">
        <is>
          <t>Wintap加拿大站</t>
        </is>
      </c>
      <c r="C1001" s="4">
        <f>B1001&amp;D1001</f>
        <v/>
      </c>
      <c r="D1001" s="4" t="inlineStr">
        <is>
          <t>WT-9805BKZZ00</t>
        </is>
      </c>
      <c r="E1001" s="4" t="inlineStr">
        <is>
          <t>150F0098BK1</t>
        </is>
      </c>
      <c r="F1001" s="4" t="inlineStr">
        <is>
          <t>98系列入墙面盆龙头电泳黑</t>
        </is>
      </c>
      <c r="G1001" s="4" t="inlineStr">
        <is>
          <t>曾志发</t>
        </is>
      </c>
      <c r="H1001" s="4" t="inlineStr">
        <is>
          <t>面盆</t>
        </is>
      </c>
      <c r="I1001" s="12" t="inlineStr">
        <is>
          <t>是</t>
        </is>
      </c>
      <c r="J1001" s="34" t="n">
        <v>45615</v>
      </c>
      <c r="K1001" s="34" t="n">
        <v>45615</v>
      </c>
      <c r="L1001" s="0">
        <f>DATEDIF(J1001,$L$1,"M")</f>
        <v/>
      </c>
      <c r="M1001" s="0">
        <f>IF(L1001&lt;18,"新品期",IF(L1001&lt;=36,"老品期","衰退期"))</f>
        <v/>
      </c>
      <c r="N1001" s="36" t="inlineStr">
        <is>
          <t>没有运营，2025年9月1号以前梁丽梅负责</t>
        </is>
      </c>
    </row>
    <row r="1002" ht="15" customFormat="1" customHeight="1" s="36">
      <c r="A1002" s="4" t="inlineStr">
        <is>
          <t>Wintap-BR</t>
        </is>
      </c>
      <c r="B1002" s="4" t="inlineStr">
        <is>
          <t>Wintap巴西站</t>
        </is>
      </c>
      <c r="C1002" s="4">
        <f>B1002&amp;D1002</f>
        <v/>
      </c>
      <c r="D1002" s="4" t="inlineStr">
        <is>
          <t>WT-9805BKZZ00</t>
        </is>
      </c>
      <c r="E1002" s="4" t="inlineStr">
        <is>
          <t>150F0098BK1</t>
        </is>
      </c>
      <c r="F1002" s="4" t="inlineStr">
        <is>
          <t>98系列入墙面盆龙头电泳黑</t>
        </is>
      </c>
      <c r="G1002" s="4" t="inlineStr">
        <is>
          <t>曾志发</t>
        </is>
      </c>
      <c r="H1002" s="4" t="inlineStr">
        <is>
          <t>面盆</t>
        </is>
      </c>
      <c r="I1002" s="12" t="inlineStr">
        <is>
          <t>是</t>
        </is>
      </c>
      <c r="J1002" s="34" t="n">
        <v>45615</v>
      </c>
      <c r="K1002" s="34" t="n">
        <v>45615</v>
      </c>
      <c r="L1002" s="0">
        <f>DATEDIF(J1002,$L$1,"M")</f>
        <v/>
      </c>
      <c r="M1002" s="0">
        <f>IF(L1002&lt;18,"新品期",IF(L1002&lt;=36,"老品期","衰退期"))</f>
        <v/>
      </c>
      <c r="N1002" s="36" t="inlineStr">
        <is>
          <t>没有运营，2025年9月1号以前梁丽梅负责</t>
        </is>
      </c>
    </row>
    <row r="1003" ht="15" customFormat="1" customHeight="1" s="36">
      <c r="A1003" s="4" t="inlineStr">
        <is>
          <t>Wintap-US</t>
        </is>
      </c>
      <c r="B1003" s="4" t="inlineStr">
        <is>
          <t>Wintap美国站</t>
        </is>
      </c>
      <c r="C1003" s="4">
        <f>B1003&amp;D1003</f>
        <v/>
      </c>
      <c r="D1003" s="4" t="inlineStr">
        <is>
          <t>WT-9805BKZZ02</t>
        </is>
      </c>
      <c r="E1003" s="4" t="inlineStr">
        <is>
          <t>150F0098BK1</t>
        </is>
      </c>
      <c r="F1003" s="4" t="inlineStr">
        <is>
          <t>98系列入墙面盆龙头电泳黑</t>
        </is>
      </c>
      <c r="G1003" s="4" t="inlineStr">
        <is>
          <t>曾志发</t>
        </is>
      </c>
      <c r="H1003" s="4" t="inlineStr">
        <is>
          <t>面盆</t>
        </is>
      </c>
      <c r="I1003" s="12" t="inlineStr">
        <is>
          <t>是</t>
        </is>
      </c>
      <c r="J1003" s="34" t="n">
        <v>45615</v>
      </c>
      <c r="K1003" s="34" t="n">
        <v>45615</v>
      </c>
      <c r="L1003" s="0">
        <f>DATEDIF(J1003,$L$1,"M")</f>
        <v/>
      </c>
      <c r="M1003" s="0">
        <f>IF(L1003&lt;18,"新品期",IF(L1003&lt;=36,"老品期","衰退期"))</f>
        <v/>
      </c>
      <c r="N1003" s="36" t="inlineStr">
        <is>
          <t>清完不卖，2025年9月1号以前梁丽梅负责</t>
        </is>
      </c>
    </row>
    <row r="1004" ht="15" customFormat="1" customHeight="1" s="36">
      <c r="A1004" s="4" t="inlineStr">
        <is>
          <t>Wintap-CA</t>
        </is>
      </c>
      <c r="B1004" s="4" t="inlineStr">
        <is>
          <t>Wintap加拿大站</t>
        </is>
      </c>
      <c r="C1004" s="4">
        <f>B1004&amp;D1004</f>
        <v/>
      </c>
      <c r="D1004" s="4" t="inlineStr">
        <is>
          <t>WT-9805BKZZ02</t>
        </is>
      </c>
      <c r="E1004" s="4" t="inlineStr">
        <is>
          <t>150F0098BK1</t>
        </is>
      </c>
      <c r="F1004" s="4" t="inlineStr">
        <is>
          <t>98系列入墙面盆龙头电泳黑</t>
        </is>
      </c>
      <c r="G1004" s="4" t="inlineStr">
        <is>
          <t>曾志发</t>
        </is>
      </c>
      <c r="H1004" s="4" t="inlineStr">
        <is>
          <t>面盆</t>
        </is>
      </c>
      <c r="I1004" s="12" t="inlineStr">
        <is>
          <t>是</t>
        </is>
      </c>
      <c r="J1004" s="34" t="n">
        <v>45615</v>
      </c>
      <c r="K1004" s="34" t="n">
        <v>45615</v>
      </c>
      <c r="L1004" s="0">
        <f>DATEDIF(J1004,$L$1,"M")</f>
        <v/>
      </c>
      <c r="M1004" s="0">
        <f>IF(L1004&lt;18,"新品期",IF(L1004&lt;=36,"老品期","衰退期"))</f>
        <v/>
      </c>
      <c r="N1004" s="36" t="inlineStr">
        <is>
          <t>没有运营，2025年9月1号以前梁丽梅负责</t>
        </is>
      </c>
    </row>
    <row r="1005" ht="15" customFormat="1" customHeight="1" s="36">
      <c r="A1005" s="4" t="inlineStr">
        <is>
          <t>Wintap-BR</t>
        </is>
      </c>
      <c r="B1005" s="4" t="inlineStr">
        <is>
          <t>Wintap巴西站</t>
        </is>
      </c>
      <c r="C1005" s="4">
        <f>B1005&amp;D1005</f>
        <v/>
      </c>
      <c r="D1005" s="4" t="inlineStr">
        <is>
          <t>WT-9805BKZZ02</t>
        </is>
      </c>
      <c r="E1005" s="4" t="inlineStr">
        <is>
          <t>150F0098BK1</t>
        </is>
      </c>
      <c r="F1005" s="4" t="inlineStr">
        <is>
          <t>98系列入墙面盆龙头电泳黑</t>
        </is>
      </c>
      <c r="G1005" s="4" t="inlineStr">
        <is>
          <t>曾志发</t>
        </is>
      </c>
      <c r="H1005" s="4" t="inlineStr">
        <is>
          <t>面盆</t>
        </is>
      </c>
      <c r="I1005" s="12" t="inlineStr">
        <is>
          <t>是</t>
        </is>
      </c>
      <c r="J1005" s="34" t="n">
        <v>45615</v>
      </c>
      <c r="K1005" s="34" t="n">
        <v>45615</v>
      </c>
      <c r="L1005" s="0">
        <f>DATEDIF(J1005,$L$1,"M")</f>
        <v/>
      </c>
      <c r="M1005" s="0">
        <f>IF(L1005&lt;18,"新品期",IF(L1005&lt;=36,"老品期","衰退期"))</f>
        <v/>
      </c>
      <c r="N1005" s="36" t="inlineStr">
        <is>
          <t>没有运营，2025年9月1号以前梁丽梅负责</t>
        </is>
      </c>
    </row>
    <row r="1006" ht="15" customFormat="1" customHeight="1" s="36">
      <c r="A1006" s="4" t="inlineStr">
        <is>
          <t>Wintap-CA</t>
        </is>
      </c>
      <c r="B1006" s="4" t="inlineStr">
        <is>
          <t>Wintap加拿大站</t>
        </is>
      </c>
      <c r="C1006" s="4">
        <f>B1006&amp;D1006</f>
        <v/>
      </c>
      <c r="D1006" s="4" t="inlineStr">
        <is>
          <t>WT-9805BKZZ03</t>
        </is>
      </c>
      <c r="E1006" s="4" t="inlineStr">
        <is>
          <t>150F0098BK1</t>
        </is>
      </c>
      <c r="F1006" s="4" t="inlineStr">
        <is>
          <t>98系列入墙面盆龙头电泳黑</t>
        </is>
      </c>
      <c r="G1006" s="4" t="inlineStr">
        <is>
          <t>曾志发</t>
        </is>
      </c>
      <c r="H1006" s="4" t="inlineStr">
        <is>
          <t>面盆</t>
        </is>
      </c>
      <c r="I1006" s="12" t="inlineStr">
        <is>
          <t>是</t>
        </is>
      </c>
      <c r="J1006" s="34" t="n">
        <v>45615</v>
      </c>
      <c r="K1006" s="34" t="n">
        <v>45615</v>
      </c>
      <c r="L1006" s="0">
        <f>DATEDIF(J1006,$L$1,"M")</f>
        <v/>
      </c>
      <c r="M1006" s="0">
        <f>IF(L1006&lt;18,"新品期",IF(L1006&lt;=36,"老品期","衰退期"))</f>
        <v/>
      </c>
      <c r="N1006" s="36" t="inlineStr">
        <is>
          <t>没有运营，2025年9月1号以前梁丽梅负责</t>
        </is>
      </c>
    </row>
    <row r="1007" ht="15" customFormat="1" customHeight="1" s="36">
      <c r="A1007" s="4" t="inlineStr">
        <is>
          <t>Wintap-BR</t>
        </is>
      </c>
      <c r="B1007" s="4" t="inlineStr">
        <is>
          <t>Wintap巴西站</t>
        </is>
      </c>
      <c r="C1007" s="4">
        <f>B1007&amp;D1007</f>
        <v/>
      </c>
      <c r="D1007" s="4" t="inlineStr">
        <is>
          <t>WT-9805BKZZ03</t>
        </is>
      </c>
      <c r="E1007" s="4" t="inlineStr">
        <is>
          <t>150F0098BK1</t>
        </is>
      </c>
      <c r="F1007" s="4" t="inlineStr">
        <is>
          <t>98系列入墙面盆龙头电泳黑</t>
        </is>
      </c>
      <c r="G1007" s="4" t="inlineStr">
        <is>
          <t>曾志发</t>
        </is>
      </c>
      <c r="H1007" s="4" t="inlineStr">
        <is>
          <t>面盆</t>
        </is>
      </c>
      <c r="I1007" s="12" t="inlineStr">
        <is>
          <t>是</t>
        </is>
      </c>
      <c r="J1007" s="34" t="n">
        <v>45615</v>
      </c>
      <c r="K1007" s="34" t="n">
        <v>45615</v>
      </c>
      <c r="L1007" s="0">
        <f>DATEDIF(J1007,$L$1,"M")</f>
        <v/>
      </c>
      <c r="M1007" s="0">
        <f>IF(L1007&lt;18,"新品期",IF(L1007&lt;=36,"老品期","衰退期"))</f>
        <v/>
      </c>
      <c r="N1007" s="36" t="inlineStr">
        <is>
          <t>没有运营，2025年9月1号以前梁丽梅负责</t>
        </is>
      </c>
    </row>
    <row r="1008" ht="15" customFormat="1" customHeight="1" s="36">
      <c r="A1008" s="4" t="inlineStr">
        <is>
          <t>Wintap-US</t>
        </is>
      </c>
      <c r="B1008" s="4" t="inlineStr">
        <is>
          <t>Wintap美国站</t>
        </is>
      </c>
      <c r="C1008" s="4">
        <f>B1008&amp;D1008</f>
        <v/>
      </c>
      <c r="D1008" s="4" t="inlineStr">
        <is>
          <t>WT-9805BKZZ04</t>
        </is>
      </c>
      <c r="E1008" s="4" t="inlineStr">
        <is>
          <t>150F0098BK1</t>
        </is>
      </c>
      <c r="F1008" s="4" t="inlineStr">
        <is>
          <t>98系列入墙面盆龙头电泳黑</t>
        </is>
      </c>
      <c r="G1008" s="4" t="inlineStr">
        <is>
          <t>曾志发</t>
        </is>
      </c>
      <c r="H1008" s="4" t="inlineStr">
        <is>
          <t>面盆</t>
        </is>
      </c>
      <c r="I1008" s="12" t="inlineStr">
        <is>
          <t>是</t>
        </is>
      </c>
      <c r="J1008" s="34" t="n">
        <v>45615</v>
      </c>
      <c r="K1008" s="34" t="n">
        <v>45615</v>
      </c>
      <c r="L1008" s="0">
        <f>DATEDIF(J1008,$L$1,"M")</f>
        <v/>
      </c>
      <c r="M1008" s="0">
        <f>IF(L1008&lt;18,"新品期",IF(L1008&lt;=36,"老品期","衰退期"))</f>
        <v/>
      </c>
      <c r="N1008" s="36" t="inlineStr">
        <is>
          <t>清完不卖，2025年9月1号以前梁丽梅负责</t>
        </is>
      </c>
    </row>
    <row r="1009" ht="15" customFormat="1" customHeight="1" s="36">
      <c r="A1009" s="4" t="inlineStr">
        <is>
          <t>Wintap-CA</t>
        </is>
      </c>
      <c r="B1009" s="4" t="inlineStr">
        <is>
          <t>Wintap加拿大站</t>
        </is>
      </c>
      <c r="C1009" s="4">
        <f>B1009&amp;D1009</f>
        <v/>
      </c>
      <c r="D1009" s="4" t="inlineStr">
        <is>
          <t>WT-9805BKZZ04</t>
        </is>
      </c>
      <c r="E1009" s="4" t="inlineStr">
        <is>
          <t>150F0098BK1</t>
        </is>
      </c>
      <c r="F1009" s="4" t="inlineStr">
        <is>
          <t>98系列入墙面盆龙头电泳黑</t>
        </is>
      </c>
      <c r="G1009" s="4" t="inlineStr">
        <is>
          <t>曾志发</t>
        </is>
      </c>
      <c r="H1009" s="4" t="inlineStr">
        <is>
          <t>面盆</t>
        </is>
      </c>
      <c r="I1009" s="12" t="inlineStr">
        <is>
          <t>是</t>
        </is>
      </c>
      <c r="J1009" s="34" t="n">
        <v>45615</v>
      </c>
      <c r="K1009" s="34" t="n">
        <v>45615</v>
      </c>
      <c r="L1009" s="0">
        <f>DATEDIF(J1009,$L$1,"M")</f>
        <v/>
      </c>
      <c r="M1009" s="0">
        <f>IF(L1009&lt;18,"新品期",IF(L1009&lt;=36,"老品期","衰退期"))</f>
        <v/>
      </c>
      <c r="N1009" s="36" t="inlineStr">
        <is>
          <t>没有运营，2025年9月1号以前梁丽梅负责</t>
        </is>
      </c>
    </row>
    <row r="1010" ht="15" customFormat="1" customHeight="1" s="36">
      <c r="A1010" s="4" t="inlineStr">
        <is>
          <t>Wintap-BR</t>
        </is>
      </c>
      <c r="B1010" s="4" t="inlineStr">
        <is>
          <t>Wintap巴西站</t>
        </is>
      </c>
      <c r="C1010" s="4">
        <f>B1010&amp;D1010</f>
        <v/>
      </c>
      <c r="D1010" s="4" t="inlineStr">
        <is>
          <t>WT-9805BKZZ04</t>
        </is>
      </c>
      <c r="E1010" s="4" t="inlineStr">
        <is>
          <t>150F0098BK1</t>
        </is>
      </c>
      <c r="F1010" s="4" t="inlineStr">
        <is>
          <t>98系列入墙面盆龙头电泳黑</t>
        </is>
      </c>
      <c r="G1010" s="4" t="inlineStr">
        <is>
          <t>曾志发</t>
        </is>
      </c>
      <c r="H1010" s="4" t="inlineStr">
        <is>
          <t>面盆</t>
        </is>
      </c>
      <c r="I1010" s="12" t="inlineStr">
        <is>
          <t>是</t>
        </is>
      </c>
      <c r="J1010" s="34" t="n">
        <v>45615</v>
      </c>
      <c r="K1010" s="34" t="n">
        <v>45615</v>
      </c>
      <c r="L1010" s="0">
        <f>DATEDIF(J1010,$L$1,"M")</f>
        <v/>
      </c>
      <c r="M1010" s="0">
        <f>IF(L1010&lt;18,"新品期",IF(L1010&lt;=36,"老品期","衰退期"))</f>
        <v/>
      </c>
      <c r="N1010" s="36" t="inlineStr">
        <is>
          <t>没有运营，2025年9月1号以前梁丽梅负责</t>
        </is>
      </c>
    </row>
    <row r="1011" ht="15" customFormat="1" customHeight="1" s="36">
      <c r="A1011" s="4" t="inlineStr">
        <is>
          <t>Wintap-US</t>
        </is>
      </c>
      <c r="B1011" s="4" t="inlineStr">
        <is>
          <t>Wintap美国站</t>
        </is>
      </c>
      <c r="C1011" s="4">
        <f>B1011&amp;D1011</f>
        <v/>
      </c>
      <c r="D1011" s="4" t="inlineStr">
        <is>
          <t>WT-9805BN</t>
        </is>
      </c>
      <c r="E1011" s="4" t="inlineStr">
        <is>
          <t>150F0098BN1</t>
        </is>
      </c>
      <c r="F1011" s="4" t="inlineStr">
        <is>
          <t>98系列入墙面盆龙头拉丝封油</t>
        </is>
      </c>
      <c r="G1011" s="4" t="inlineStr">
        <is>
          <t>曾志发</t>
        </is>
      </c>
      <c r="H1011" s="4" t="inlineStr">
        <is>
          <t>面盆</t>
        </is>
      </c>
      <c r="I1011" s="12" t="inlineStr">
        <is>
          <t>是</t>
        </is>
      </c>
      <c r="J1011" s="34" t="n">
        <v>45615</v>
      </c>
      <c r="K1011" s="34" t="n">
        <v>45615</v>
      </c>
      <c r="L1011" s="0">
        <f>DATEDIF(J1011,$L$1,"M")</f>
        <v/>
      </c>
      <c r="M1011" s="0">
        <f>IF(L1011&lt;18,"新品期",IF(L1011&lt;=36,"老品期","衰退期"))</f>
        <v/>
      </c>
      <c r="N1011" s="36" t="inlineStr">
        <is>
          <t>清完不卖，2025年9月1号以前梁丽梅负责</t>
        </is>
      </c>
    </row>
    <row r="1012" ht="15" customFormat="1" customHeight="1" s="36">
      <c r="A1012" s="4" t="inlineStr">
        <is>
          <t>Wintap-CA</t>
        </is>
      </c>
      <c r="B1012" s="4" t="inlineStr">
        <is>
          <t>Wintap加拿大站</t>
        </is>
      </c>
      <c r="C1012" s="4">
        <f>B1012&amp;D1012</f>
        <v/>
      </c>
      <c r="D1012" s="4" t="inlineStr">
        <is>
          <t>WT-9805BN</t>
        </is>
      </c>
      <c r="E1012" s="4" t="inlineStr">
        <is>
          <t>150F0098BN1</t>
        </is>
      </c>
      <c r="F1012" s="4" t="inlineStr">
        <is>
          <t>98系列入墙面盆龙头拉丝封油</t>
        </is>
      </c>
      <c r="G1012" s="4" t="inlineStr">
        <is>
          <t>曾志发</t>
        </is>
      </c>
      <c r="H1012" s="4" t="inlineStr">
        <is>
          <t>面盆</t>
        </is>
      </c>
      <c r="I1012" s="12" t="inlineStr">
        <is>
          <t>是</t>
        </is>
      </c>
      <c r="J1012" s="34" t="n">
        <v>45615</v>
      </c>
      <c r="K1012" s="34" t="n">
        <v>45615</v>
      </c>
      <c r="L1012" s="0">
        <f>DATEDIF(J1012,$L$1,"M")</f>
        <v/>
      </c>
      <c r="M1012" s="0">
        <f>IF(L1012&lt;18,"新品期",IF(L1012&lt;=36,"老品期","衰退期"))</f>
        <v/>
      </c>
      <c r="N1012" s="36" t="inlineStr">
        <is>
          <t>没有运营，2025年9月1号以前梁丽梅负责</t>
        </is>
      </c>
    </row>
    <row r="1013" ht="15" customFormat="1" customHeight="1" s="36">
      <c r="A1013" s="4" t="inlineStr">
        <is>
          <t>Wintap-BR</t>
        </is>
      </c>
      <c r="B1013" s="4" t="inlineStr">
        <is>
          <t>Wintap巴西站</t>
        </is>
      </c>
      <c r="C1013" s="4">
        <f>B1013&amp;D1013</f>
        <v/>
      </c>
      <c r="D1013" s="4" t="inlineStr">
        <is>
          <t>WT-9805BN</t>
        </is>
      </c>
      <c r="E1013" s="4" t="inlineStr">
        <is>
          <t>150F0098BN1</t>
        </is>
      </c>
      <c r="F1013" s="4" t="inlineStr">
        <is>
          <t>98系列入墙面盆龙头拉丝封油</t>
        </is>
      </c>
      <c r="G1013" s="4" t="inlineStr">
        <is>
          <t>曾志发</t>
        </is>
      </c>
      <c r="H1013" s="4" t="inlineStr">
        <is>
          <t>面盆</t>
        </is>
      </c>
      <c r="I1013" s="12" t="inlineStr">
        <is>
          <t>是</t>
        </is>
      </c>
      <c r="J1013" s="34" t="n">
        <v>45615</v>
      </c>
      <c r="K1013" s="34" t="n">
        <v>45615</v>
      </c>
      <c r="L1013" s="0">
        <f>DATEDIF(J1013,$L$1,"M")</f>
        <v/>
      </c>
      <c r="M1013" s="0">
        <f>IF(L1013&lt;18,"新品期",IF(L1013&lt;=36,"老品期","衰退期"))</f>
        <v/>
      </c>
      <c r="N1013" s="36" t="inlineStr">
        <is>
          <t>没有运营，2025年9月1号以前梁丽梅负责</t>
        </is>
      </c>
    </row>
    <row r="1014" ht="15" customFormat="1" customHeight="1" s="36">
      <c r="A1014" s="4" t="inlineStr">
        <is>
          <t>Wintap-US</t>
        </is>
      </c>
      <c r="B1014" s="4" t="inlineStr">
        <is>
          <t>Wintap美国站</t>
        </is>
      </c>
      <c r="C1014" s="4">
        <f>B1014&amp;D1014</f>
        <v/>
      </c>
      <c r="D1014" s="4" t="inlineStr">
        <is>
          <t>WT-9805CP</t>
        </is>
      </c>
      <c r="E1014" s="4" t="inlineStr">
        <is>
          <t>150F0098CP1</t>
        </is>
      </c>
      <c r="F1014" s="4" t="inlineStr">
        <is>
          <t>98系列入墙面盆龙头铬</t>
        </is>
      </c>
      <c r="G1014" s="4" t="inlineStr">
        <is>
          <t>曾志发</t>
        </is>
      </c>
      <c r="H1014" s="4" t="inlineStr">
        <is>
          <t>面盆</t>
        </is>
      </c>
      <c r="I1014" s="12" t="inlineStr">
        <is>
          <t>是</t>
        </is>
      </c>
      <c r="J1014" s="34" t="n">
        <v>45615</v>
      </c>
      <c r="K1014" s="34" t="n">
        <v>45615</v>
      </c>
      <c r="L1014" s="0">
        <f>DATEDIF(J1014,$L$1,"M")</f>
        <v/>
      </c>
      <c r="M1014" s="0">
        <f>IF(L1014&lt;18,"新品期",IF(L1014&lt;=36,"老品期","衰退期"))</f>
        <v/>
      </c>
      <c r="N1014" s="36" t="inlineStr">
        <is>
          <t>清完不卖，2025年9月1号以前梁丽梅负责</t>
        </is>
      </c>
    </row>
    <row r="1015" ht="15" customFormat="1" customHeight="1" s="36">
      <c r="A1015" s="4" t="inlineStr">
        <is>
          <t>Wintap-MX</t>
        </is>
      </c>
      <c r="B1015" s="4" t="inlineStr">
        <is>
          <t>Wintap墨西哥站</t>
        </is>
      </c>
      <c r="C1015" s="4">
        <f>B1015&amp;D1015</f>
        <v/>
      </c>
      <c r="D1015" s="4" t="inlineStr">
        <is>
          <t>WT-9805CP</t>
        </is>
      </c>
      <c r="E1015" s="4" t="inlineStr">
        <is>
          <t>150F0098CP1</t>
        </is>
      </c>
      <c r="F1015" s="4" t="inlineStr">
        <is>
          <t>98系列入墙面盆龙头铬</t>
        </is>
      </c>
      <c r="G1015" s="4" t="inlineStr">
        <is>
          <t>曾志发</t>
        </is>
      </c>
      <c r="H1015" s="4" t="inlineStr">
        <is>
          <t>面盆</t>
        </is>
      </c>
      <c r="I1015" s="12" t="inlineStr">
        <is>
          <t>是</t>
        </is>
      </c>
      <c r="J1015" s="34" t="n">
        <v>45615</v>
      </c>
      <c r="K1015" s="34" t="n">
        <v>45615</v>
      </c>
      <c r="L1015" s="0">
        <f>DATEDIF(J1015,$L$1,"M")</f>
        <v/>
      </c>
      <c r="M1015" s="0">
        <f>IF(L1015&lt;18,"新品期",IF(L1015&lt;=36,"老品期","衰退期"))</f>
        <v/>
      </c>
      <c r="N1015" s="36" t="inlineStr">
        <is>
          <t>没有运营，2025年9月1号以前梁丽梅负责</t>
        </is>
      </c>
    </row>
    <row r="1016" ht="15" customFormat="1" customHeight="1" s="36">
      <c r="A1016" s="4" t="inlineStr">
        <is>
          <t>Wintap-US</t>
        </is>
      </c>
      <c r="B1016" s="4" t="inlineStr">
        <is>
          <t>Wintap美国站</t>
        </is>
      </c>
      <c r="C1016" s="4">
        <f>B1016&amp;D1016</f>
        <v/>
      </c>
      <c r="D1016" s="4" t="inlineStr">
        <is>
          <t>WT-9805ORB</t>
        </is>
      </c>
      <c r="E1016" s="4" t="inlineStr">
        <is>
          <t>150F0098OB1</t>
        </is>
      </c>
      <c r="F1016" s="4" t="inlineStr">
        <is>
          <t>98系列入墙面盆龙头 拉丝古铜色</t>
        </is>
      </c>
      <c r="G1016" s="4" t="inlineStr">
        <is>
          <t>曾志发</t>
        </is>
      </c>
      <c r="H1016" s="4" t="inlineStr">
        <is>
          <t>面盆</t>
        </is>
      </c>
      <c r="I1016" s="12" t="inlineStr">
        <is>
          <t>是</t>
        </is>
      </c>
      <c r="J1016" s="34" t="n">
        <v>45615</v>
      </c>
      <c r="K1016" s="34" t="n">
        <v>45615</v>
      </c>
      <c r="L1016" s="0">
        <f>DATEDIF(J1016,$L$1,"M")</f>
        <v/>
      </c>
      <c r="M1016" s="0">
        <f>IF(L1016&lt;18,"新品期",IF(L1016&lt;=36,"老品期","衰退期"))</f>
        <v/>
      </c>
      <c r="N1016" s="36" t="inlineStr">
        <is>
          <t>清完不卖，2025年9月1号以前梁丽梅负责</t>
        </is>
      </c>
    </row>
    <row r="1017" ht="15" customFormat="1" customHeight="1" s="36">
      <c r="A1017" s="4" t="inlineStr">
        <is>
          <t>Wintap-CA</t>
        </is>
      </c>
      <c r="B1017" s="4" t="inlineStr">
        <is>
          <t>Wintap加拿大站</t>
        </is>
      </c>
      <c r="C1017" s="4">
        <f>B1017&amp;D1017</f>
        <v/>
      </c>
      <c r="D1017" s="4" t="inlineStr">
        <is>
          <t>WT-9805ORB</t>
        </is>
      </c>
      <c r="E1017" s="4" t="inlineStr">
        <is>
          <t>150F0098OB1</t>
        </is>
      </c>
      <c r="F1017" s="4" t="inlineStr">
        <is>
          <t>98系列入墙面盆龙头 拉丝古铜色</t>
        </is>
      </c>
      <c r="G1017" s="4" t="inlineStr">
        <is>
          <t>曾志发</t>
        </is>
      </c>
      <c r="H1017" s="4" t="inlineStr">
        <is>
          <t>面盆</t>
        </is>
      </c>
      <c r="I1017" s="12" t="inlineStr">
        <is>
          <t>是</t>
        </is>
      </c>
      <c r="J1017" s="34" t="n">
        <v>45615</v>
      </c>
      <c r="K1017" s="34" t="n">
        <v>45615</v>
      </c>
      <c r="L1017" s="0">
        <f>DATEDIF(J1017,$L$1,"M")</f>
        <v/>
      </c>
      <c r="M1017" s="0">
        <f>IF(L1017&lt;18,"新品期",IF(L1017&lt;=36,"老品期","衰退期"))</f>
        <v/>
      </c>
      <c r="N1017" s="36" t="inlineStr">
        <is>
          <t>没有运营，2025年9月1号以前梁丽梅负责</t>
        </is>
      </c>
    </row>
    <row r="1018" ht="15" customFormat="1" customHeight="1" s="36">
      <c r="A1018" s="4" t="inlineStr">
        <is>
          <t>Wintap-BR</t>
        </is>
      </c>
      <c r="B1018" s="4" t="inlineStr">
        <is>
          <t>Wintap巴西站</t>
        </is>
      </c>
      <c r="C1018" s="4">
        <f>B1018&amp;D1018</f>
        <v/>
      </c>
      <c r="D1018" s="4" t="inlineStr">
        <is>
          <t>WT-9805ORB</t>
        </is>
      </c>
      <c r="E1018" s="4" t="inlineStr">
        <is>
          <t>150F0098OB1</t>
        </is>
      </c>
      <c r="F1018" s="4" t="inlineStr">
        <is>
          <t>98系列入墙面盆龙头 拉丝古铜色</t>
        </is>
      </c>
      <c r="G1018" s="4" t="inlineStr">
        <is>
          <t>曾志发</t>
        </is>
      </c>
      <c r="H1018" s="4" t="inlineStr">
        <is>
          <t>面盆</t>
        </is>
      </c>
      <c r="I1018" s="12" t="inlineStr">
        <is>
          <t>是</t>
        </is>
      </c>
      <c r="J1018" s="34" t="n">
        <v>45615</v>
      </c>
      <c r="K1018" s="34" t="n">
        <v>45615</v>
      </c>
      <c r="L1018" s="0">
        <f>DATEDIF(J1018,$L$1,"M")</f>
        <v/>
      </c>
      <c r="M1018" s="0">
        <f>IF(L1018&lt;18,"新品期",IF(L1018&lt;=36,"老品期","衰退期"))</f>
        <v/>
      </c>
      <c r="N1018" s="36" t="inlineStr">
        <is>
          <t>没有运营，2025年9月1号以前梁丽梅负责</t>
        </is>
      </c>
    </row>
    <row r="1019" ht="15" customFormat="1" customHeight="1" s="36">
      <c r="A1019" s="4" t="inlineStr">
        <is>
          <t>Wintap-US</t>
        </is>
      </c>
      <c r="B1019" s="4" t="inlineStr">
        <is>
          <t>Wintap美国站</t>
        </is>
      </c>
      <c r="C1019" s="4">
        <f>B1019&amp;D1019</f>
        <v/>
      </c>
      <c r="D1019" s="4" t="inlineStr">
        <is>
          <t>WT-9805RGBK</t>
        </is>
      </c>
      <c r="E1019" s="4" t="inlineStr">
        <is>
          <t>150F0098RB1</t>
        </is>
      </c>
      <c r="F1019" s="4" t="inlineStr">
        <is>
          <t>98系列入墙面盆龙头拉丝玫瑰金+黑色</t>
        </is>
      </c>
      <c r="G1019" s="4" t="inlineStr">
        <is>
          <t>曾志发</t>
        </is>
      </c>
      <c r="H1019" s="4" t="inlineStr">
        <is>
          <t>面盆</t>
        </is>
      </c>
      <c r="I1019" s="12" t="inlineStr">
        <is>
          <t>是</t>
        </is>
      </c>
      <c r="J1019" s="34" t="n">
        <v>45615</v>
      </c>
      <c r="K1019" s="34" t="n">
        <v>45615</v>
      </c>
      <c r="L1019" s="0">
        <f>DATEDIF(J1019,$L$1,"M")</f>
        <v/>
      </c>
      <c r="M1019" s="0">
        <f>IF(L1019&lt;18,"新品期",IF(L1019&lt;=36,"老品期","衰退期"))</f>
        <v/>
      </c>
      <c r="N1019" s="36" t="inlineStr">
        <is>
          <t>清完不卖，2025年9月1号以前梁丽梅负责</t>
        </is>
      </c>
    </row>
    <row r="1020" ht="15" customFormat="1" customHeight="1" s="36">
      <c r="A1020" s="4" t="inlineStr">
        <is>
          <t>Wintap-CA</t>
        </is>
      </c>
      <c r="B1020" s="4" t="inlineStr">
        <is>
          <t>Wintap加拿大站</t>
        </is>
      </c>
      <c r="C1020" s="4">
        <f>B1020&amp;D1020</f>
        <v/>
      </c>
      <c r="D1020" s="4" t="inlineStr">
        <is>
          <t>WT-9805RGBK</t>
        </is>
      </c>
      <c r="E1020" s="4" t="inlineStr">
        <is>
          <t>150F0098RB1</t>
        </is>
      </c>
      <c r="F1020" s="4" t="inlineStr">
        <is>
          <t>98系列入墙面盆龙头拉丝玫瑰金+黑色</t>
        </is>
      </c>
      <c r="G1020" s="4" t="inlineStr">
        <is>
          <t>曾志发</t>
        </is>
      </c>
      <c r="H1020" s="4" t="inlineStr">
        <is>
          <t>面盆</t>
        </is>
      </c>
      <c r="I1020" s="12" t="inlineStr">
        <is>
          <t>是</t>
        </is>
      </c>
      <c r="J1020" s="34" t="n">
        <v>45615</v>
      </c>
      <c r="K1020" s="34" t="n">
        <v>45615</v>
      </c>
      <c r="L1020" s="0">
        <f>DATEDIF(J1020,$L$1,"M")</f>
        <v/>
      </c>
      <c r="M1020" s="0">
        <f>IF(L1020&lt;18,"新品期",IF(L1020&lt;=36,"老品期","衰退期"))</f>
        <v/>
      </c>
      <c r="N1020" s="36" t="inlineStr">
        <is>
          <t>没有运营，2025年9月1号以前梁丽梅负责</t>
        </is>
      </c>
    </row>
    <row r="1021" ht="15" customFormat="1" customHeight="1" s="36">
      <c r="A1021" s="4" t="inlineStr">
        <is>
          <t>Wintap-BR</t>
        </is>
      </c>
      <c r="B1021" s="4" t="inlineStr">
        <is>
          <t>Wintap巴西站</t>
        </is>
      </c>
      <c r="C1021" s="4">
        <f>B1021&amp;D1021</f>
        <v/>
      </c>
      <c r="D1021" s="4" t="inlineStr">
        <is>
          <t>WT-9805RGBK</t>
        </is>
      </c>
      <c r="E1021" s="4" t="inlineStr">
        <is>
          <t>150F0098RB1</t>
        </is>
      </c>
      <c r="F1021" s="4" t="inlineStr">
        <is>
          <t>98系列入墙面盆龙头拉丝玫瑰金+黑色</t>
        </is>
      </c>
      <c r="G1021" s="4" t="inlineStr">
        <is>
          <t>曾志发</t>
        </is>
      </c>
      <c r="H1021" s="4" t="inlineStr">
        <is>
          <t>面盆</t>
        </is>
      </c>
      <c r="I1021" s="12" t="inlineStr">
        <is>
          <t>是</t>
        </is>
      </c>
      <c r="J1021" s="34" t="n">
        <v>45615</v>
      </c>
      <c r="K1021" s="34" t="n">
        <v>45615</v>
      </c>
      <c r="L1021" s="0">
        <f>DATEDIF(J1021,$L$1,"M")</f>
        <v/>
      </c>
      <c r="M1021" s="0">
        <f>IF(L1021&lt;18,"新品期",IF(L1021&lt;=36,"老品期","衰退期"))</f>
        <v/>
      </c>
      <c r="N1021" s="36" t="inlineStr">
        <is>
          <t>没有运营，2025年9月1号以前梁丽梅负责</t>
        </is>
      </c>
    </row>
    <row r="1022" ht="15" customFormat="1" customHeight="1" s="36">
      <c r="A1022" s="4" t="inlineStr">
        <is>
          <t>Wintap-US</t>
        </is>
      </c>
      <c r="B1022" s="4" t="inlineStr">
        <is>
          <t>Wintap美国站</t>
        </is>
      </c>
      <c r="C1022" s="4">
        <f>B1022&amp;D1022</f>
        <v/>
      </c>
      <c r="D1022" s="4" t="inlineStr">
        <is>
          <t>WT-9806BG</t>
        </is>
      </c>
      <c r="E1022" s="4" t="inlineStr">
        <is>
          <t>230F0098BG1</t>
        </is>
      </c>
      <c r="F1022" s="4" t="inlineStr">
        <is>
          <t>98系列单功能入墙浴缸龙头拉丝钛金封油</t>
        </is>
      </c>
      <c r="G1022" s="4" t="inlineStr">
        <is>
          <t>陈巧娴</t>
        </is>
      </c>
      <c r="H1022" s="4" t="inlineStr">
        <is>
          <t>缸边浴缸</t>
        </is>
      </c>
      <c r="I1022" s="12" t="inlineStr">
        <is>
          <t>否</t>
        </is>
      </c>
      <c r="J1022" s="34" t="n">
        <v>45298</v>
      </c>
      <c r="K1022" s="34" t="n">
        <v>45298</v>
      </c>
      <c r="L1022" s="0">
        <f>DATEDIF(J1022,$L$1,"M")</f>
        <v/>
      </c>
      <c r="M1022" s="0">
        <f>IF(L1022&lt;18,"新品期",IF(L1022&lt;=36,"老品期","衰退期"))</f>
        <v/>
      </c>
      <c r="N1022" s="15" t="inlineStr">
        <is>
          <t>25年5月前胡娟娟负责</t>
        </is>
      </c>
    </row>
    <row r="1023" ht="15" customFormat="1" customHeight="1" s="36">
      <c r="A1023" s="4" t="inlineStr">
        <is>
          <t>Wintap-US</t>
        </is>
      </c>
      <c r="B1023" s="4" t="inlineStr">
        <is>
          <t>Wintap美国站</t>
        </is>
      </c>
      <c r="C1023" s="4">
        <f>B1023&amp;D1023</f>
        <v/>
      </c>
      <c r="D1023" s="4" t="inlineStr">
        <is>
          <t>WT-9806BGZZ02</t>
        </is>
      </c>
      <c r="E1023" s="4" t="inlineStr">
        <is>
          <t>230F0098BG1</t>
        </is>
      </c>
      <c r="F1023" s="4" t="inlineStr">
        <is>
          <t>98系列单功能入墙浴缸龙头拉丝钛金封油</t>
        </is>
      </c>
      <c r="G1023" s="4" t="inlineStr">
        <is>
          <t>陈巧娴</t>
        </is>
      </c>
      <c r="H1023" s="4" t="inlineStr">
        <is>
          <t>缸边浴缸</t>
        </is>
      </c>
      <c r="I1023" s="12" t="inlineStr">
        <is>
          <t>否</t>
        </is>
      </c>
      <c r="J1023" s="34" t="n">
        <v>45298</v>
      </c>
      <c r="K1023" s="34" t="n">
        <v>45298</v>
      </c>
      <c r="L1023" s="0">
        <f>DATEDIF(J1023,$L$1,"M")</f>
        <v/>
      </c>
      <c r="M1023" s="0">
        <f>IF(L1023&lt;18,"新品期",IF(L1023&lt;=36,"老品期","衰退期"))</f>
        <v/>
      </c>
      <c r="N1023" s="15" t="inlineStr">
        <is>
          <t>25年5月前胡娟娟负责</t>
        </is>
      </c>
    </row>
    <row r="1024" ht="15" customFormat="1" customHeight="1" s="36">
      <c r="A1024" s="4" t="inlineStr">
        <is>
          <t>Wintap-US</t>
        </is>
      </c>
      <c r="B1024" s="4" t="inlineStr">
        <is>
          <t>Wintap美国站</t>
        </is>
      </c>
      <c r="C1024" s="4">
        <f>B1024&amp;D1024</f>
        <v/>
      </c>
      <c r="D1024" s="4" t="inlineStr">
        <is>
          <t>WT-9806BK</t>
        </is>
      </c>
      <c r="E1024" s="4" t="inlineStr">
        <is>
          <t>230F0098BK1</t>
        </is>
      </c>
      <c r="F1024" s="4" t="inlineStr">
        <is>
          <t>98系列单功能入墙浴缸龙头电泳黑</t>
        </is>
      </c>
      <c r="G1024" s="4" t="inlineStr">
        <is>
          <t>陈巧娴</t>
        </is>
      </c>
      <c r="H1024" s="4" t="inlineStr">
        <is>
          <t>缸边浴缸</t>
        </is>
      </c>
      <c r="I1024" s="12" t="inlineStr">
        <is>
          <t>否</t>
        </is>
      </c>
      <c r="J1024" s="34" t="n">
        <v>45298</v>
      </c>
      <c r="K1024" s="34" t="n">
        <v>45298</v>
      </c>
      <c r="L1024" s="0">
        <f>DATEDIF(J1024,$L$1,"M")</f>
        <v/>
      </c>
      <c r="M1024" s="0">
        <f>IF(L1024&lt;18,"新品期",IF(L1024&lt;=36,"老品期","衰退期"))</f>
        <v/>
      </c>
      <c r="N1024" s="15" t="inlineStr">
        <is>
          <t>25年5月前胡娟娟负责</t>
        </is>
      </c>
    </row>
    <row r="1025" ht="15" customFormat="1" customHeight="1" s="36">
      <c r="A1025" s="4" t="inlineStr">
        <is>
          <t>Wintap-US</t>
        </is>
      </c>
      <c r="B1025" s="4" t="inlineStr">
        <is>
          <t>Wintap美国站</t>
        </is>
      </c>
      <c r="C1025" s="4">
        <f>B1025&amp;D1025</f>
        <v/>
      </c>
      <c r="D1025" s="4" t="inlineStr">
        <is>
          <t>WT-9806BKZZ02</t>
        </is>
      </c>
      <c r="E1025" s="4" t="inlineStr">
        <is>
          <t>230F0098BK1</t>
        </is>
      </c>
      <c r="F1025" s="4" t="inlineStr">
        <is>
          <t>98系列单功能入墙浴缸龙头电泳黑</t>
        </is>
      </c>
      <c r="G1025" s="4" t="inlineStr">
        <is>
          <t>陈巧娴</t>
        </is>
      </c>
      <c r="H1025" s="4" t="inlineStr">
        <is>
          <t>缸边浴缸</t>
        </is>
      </c>
      <c r="I1025" s="12" t="inlineStr">
        <is>
          <t>否</t>
        </is>
      </c>
      <c r="J1025" s="34" t="n">
        <v>45298</v>
      </c>
      <c r="K1025" s="34" t="n">
        <v>45298</v>
      </c>
      <c r="L1025" s="0">
        <f>DATEDIF(J1025,$L$1,"M")</f>
        <v/>
      </c>
      <c r="M1025" s="0">
        <f>IF(L1025&lt;18,"新品期",IF(L1025&lt;=36,"老品期","衰退期"))</f>
        <v/>
      </c>
      <c r="N1025" s="15" t="inlineStr">
        <is>
          <t>25年5月前胡娟娟负责</t>
        </is>
      </c>
    </row>
    <row r="1026" ht="15" customFormat="1" customHeight="1" s="36">
      <c r="A1026" s="4" t="inlineStr">
        <is>
          <t>Wintap-US</t>
        </is>
      </c>
      <c r="B1026" s="4" t="inlineStr">
        <is>
          <t>Wintap美国站</t>
        </is>
      </c>
      <c r="C1026" s="4">
        <f>B1026&amp;D1026</f>
        <v/>
      </c>
      <c r="D1026" s="4" t="inlineStr">
        <is>
          <t>WT-9806BN</t>
        </is>
      </c>
      <c r="E1026" s="4" t="inlineStr">
        <is>
          <t>230F0098BN1</t>
        </is>
      </c>
      <c r="F1026" s="4" t="inlineStr">
        <is>
          <t>98系列单功能入墙浴缸龙头拉丝封油</t>
        </is>
      </c>
      <c r="G1026" s="4" t="inlineStr">
        <is>
          <t>陈巧娴</t>
        </is>
      </c>
      <c r="H1026" s="4" t="inlineStr">
        <is>
          <t>缸边浴缸</t>
        </is>
      </c>
      <c r="I1026" s="12" t="inlineStr">
        <is>
          <t>否</t>
        </is>
      </c>
      <c r="J1026" s="34" t="n">
        <v>45298</v>
      </c>
      <c r="K1026" s="34" t="n">
        <v>45298</v>
      </c>
      <c r="L1026" s="0">
        <f>DATEDIF(J1026,$L$1,"M")</f>
        <v/>
      </c>
      <c r="M1026" s="0">
        <f>IF(L1026&lt;18,"新品期",IF(L1026&lt;=36,"老品期","衰退期"))</f>
        <v/>
      </c>
      <c r="N1026" s="15" t="inlineStr">
        <is>
          <t>25年5月前胡娟娟负责</t>
        </is>
      </c>
    </row>
    <row r="1027" ht="15" customFormat="1" customHeight="1" s="36">
      <c r="A1027" s="4" t="inlineStr">
        <is>
          <t>Wintap-US</t>
        </is>
      </c>
      <c r="B1027" s="4" t="inlineStr">
        <is>
          <t>Wintap美国站</t>
        </is>
      </c>
      <c r="C1027" s="4">
        <f>B1027&amp;D1027</f>
        <v/>
      </c>
      <c r="D1027" s="4" t="inlineStr">
        <is>
          <t>WT-9806BNZZ02</t>
        </is>
      </c>
      <c r="E1027" s="4" t="inlineStr">
        <is>
          <t>230F0098BN1</t>
        </is>
      </c>
      <c r="F1027" s="4" t="inlineStr">
        <is>
          <t>98系列单功能入墙浴缸龙头拉丝封油</t>
        </is>
      </c>
      <c r="G1027" s="4" t="inlineStr">
        <is>
          <t>陈巧娴</t>
        </is>
      </c>
      <c r="H1027" s="4" t="inlineStr">
        <is>
          <t>缸边浴缸</t>
        </is>
      </c>
      <c r="I1027" s="12" t="inlineStr">
        <is>
          <t>否</t>
        </is>
      </c>
      <c r="J1027" s="34" t="n">
        <v>45298</v>
      </c>
      <c r="K1027" s="34" t="n">
        <v>45298</v>
      </c>
      <c r="L1027" s="0">
        <f>DATEDIF(J1027,$L$1,"M")</f>
        <v/>
      </c>
      <c r="M1027" s="0">
        <f>IF(L1027&lt;18,"新品期",IF(L1027&lt;=36,"老品期","衰退期"))</f>
        <v/>
      </c>
      <c r="N1027" s="15" t="inlineStr">
        <is>
          <t>25年5月前胡娟娟负责</t>
        </is>
      </c>
    </row>
    <row r="1028" ht="15" customFormat="1" customHeight="1" s="36">
      <c r="A1028" s="4" t="inlineStr">
        <is>
          <t>Wintap-US</t>
        </is>
      </c>
      <c r="B1028" s="4" t="inlineStr">
        <is>
          <t>Wintap美国站</t>
        </is>
      </c>
      <c r="C1028" s="4">
        <f>B1028&amp;D1028</f>
        <v/>
      </c>
      <c r="D1028" s="4" t="inlineStr">
        <is>
          <t>WT-9806CP</t>
        </is>
      </c>
      <c r="E1028" s="4" t="inlineStr">
        <is>
          <t>230F0098CP1</t>
        </is>
      </c>
      <c r="F1028" s="4" t="inlineStr">
        <is>
          <t>98系列单功能入墙浴缸龙头铬</t>
        </is>
      </c>
      <c r="G1028" s="4" t="inlineStr">
        <is>
          <t>陈巧娴</t>
        </is>
      </c>
      <c r="H1028" s="4" t="inlineStr">
        <is>
          <t>缸边浴缸</t>
        </is>
      </c>
      <c r="I1028" s="12" t="inlineStr">
        <is>
          <t>否</t>
        </is>
      </c>
      <c r="J1028" s="34" t="n">
        <v>45298</v>
      </c>
      <c r="K1028" s="34" t="n">
        <v>45298</v>
      </c>
      <c r="L1028" s="0">
        <f>DATEDIF(J1028,$L$1,"M")</f>
        <v/>
      </c>
      <c r="M1028" s="0">
        <f>IF(L1028&lt;18,"新品期",IF(L1028&lt;=36,"老品期","衰退期"))</f>
        <v/>
      </c>
      <c r="N1028" s="15" t="inlineStr">
        <is>
          <t>25年5月前胡娟娟负责</t>
        </is>
      </c>
    </row>
    <row r="1029" ht="15" customFormat="1" customHeight="1" s="36">
      <c r="A1029" s="4" t="inlineStr">
        <is>
          <t>Wintap-US</t>
        </is>
      </c>
      <c r="B1029" s="4" t="inlineStr">
        <is>
          <t>Wintap美国站</t>
        </is>
      </c>
      <c r="C1029" s="4">
        <f>B1029&amp;D1029</f>
        <v/>
      </c>
      <c r="D1029" s="4" t="inlineStr">
        <is>
          <t>WT-9806CPZZ02</t>
        </is>
      </c>
      <c r="E1029" s="4" t="inlineStr">
        <is>
          <t>230F0098CP1</t>
        </is>
      </c>
      <c r="F1029" s="4" t="inlineStr">
        <is>
          <t>98系列单功能入墙浴缸龙头铬</t>
        </is>
      </c>
      <c r="G1029" s="4" t="inlineStr">
        <is>
          <t>陈巧娴</t>
        </is>
      </c>
      <c r="H1029" s="4" t="inlineStr">
        <is>
          <t>缸边浴缸</t>
        </is>
      </c>
      <c r="I1029" s="12" t="inlineStr">
        <is>
          <t>否</t>
        </is>
      </c>
      <c r="J1029" s="34" t="n">
        <v>45589</v>
      </c>
      <c r="K1029" s="34" t="n">
        <v>45589</v>
      </c>
      <c r="L1029" s="0">
        <f>DATEDIF(J1029,$L$1,"M")</f>
        <v/>
      </c>
      <c r="M1029" s="0">
        <f>IF(L1029&lt;18,"新品期",IF(L1029&lt;=36,"老品期","衰退期"))</f>
        <v/>
      </c>
      <c r="N1029" s="15" t="inlineStr">
        <is>
          <t>25年5月前胡娟娟负责</t>
        </is>
      </c>
    </row>
    <row r="1030" ht="15" customFormat="1" customHeight="1" s="36">
      <c r="A1030" s="4" t="inlineStr">
        <is>
          <t>Wintap-US</t>
        </is>
      </c>
      <c r="B1030" s="4" t="inlineStr">
        <is>
          <t>Wintap美国站</t>
        </is>
      </c>
      <c r="C1030" s="4">
        <f>B1030&amp;D1030</f>
        <v/>
      </c>
      <c r="D1030" s="4" t="inlineStr">
        <is>
          <t>WT-9806ORB</t>
        </is>
      </c>
      <c r="E1030" s="4" t="inlineStr">
        <is>
          <t>230F0098OB1</t>
        </is>
      </c>
      <c r="F1030" s="4" t="inlineStr">
        <is>
          <t>98系列单功能入墙浴缸龙头 拉丝古铜色</t>
        </is>
      </c>
      <c r="G1030" s="4" t="inlineStr">
        <is>
          <t>陈巧娴</t>
        </is>
      </c>
      <c r="H1030" s="4" t="inlineStr">
        <is>
          <t>缸边浴缸</t>
        </is>
      </c>
      <c r="I1030" s="12" t="inlineStr">
        <is>
          <t>否</t>
        </is>
      </c>
      <c r="J1030" s="34" t="n">
        <v>45298</v>
      </c>
      <c r="K1030" s="34" t="n">
        <v>45298</v>
      </c>
      <c r="L1030" s="0">
        <f>DATEDIF(J1030,$L$1,"M")</f>
        <v/>
      </c>
      <c r="M1030" s="0">
        <f>IF(L1030&lt;18,"新品期",IF(L1030&lt;=36,"老品期","衰退期"))</f>
        <v/>
      </c>
      <c r="N1030" s="15" t="inlineStr">
        <is>
          <t>25年5月前胡娟娟负责</t>
        </is>
      </c>
    </row>
    <row r="1031" ht="15" customFormat="1" customHeight="1" s="36">
      <c r="A1031" s="4" t="inlineStr">
        <is>
          <t>Wintap-US</t>
        </is>
      </c>
      <c r="B1031" s="4" t="inlineStr">
        <is>
          <t>Wintap美国站</t>
        </is>
      </c>
      <c r="C1031" s="4">
        <f>B1031&amp;D1031</f>
        <v/>
      </c>
      <c r="D1031" s="4" t="inlineStr">
        <is>
          <t>WT-9806ORBZZ02</t>
        </is>
      </c>
      <c r="E1031" s="4" t="inlineStr">
        <is>
          <t>230F0098OB1</t>
        </is>
      </c>
      <c r="F1031" s="4" t="inlineStr">
        <is>
          <t>98系列单功能入墙浴缸龙头 拉丝古铜色</t>
        </is>
      </c>
      <c r="G1031" s="4" t="inlineStr">
        <is>
          <t>陈巧娴</t>
        </is>
      </c>
      <c r="H1031" s="4" t="inlineStr">
        <is>
          <t>缸边浴缸</t>
        </is>
      </c>
      <c r="I1031" s="12" t="inlineStr">
        <is>
          <t>否</t>
        </is>
      </c>
      <c r="J1031" s="34" t="n">
        <v>45298</v>
      </c>
      <c r="K1031" s="34" t="n">
        <v>45298</v>
      </c>
      <c r="L1031" s="0">
        <f>DATEDIF(J1031,$L$1,"M")</f>
        <v/>
      </c>
      <c r="M1031" s="0">
        <f>IF(L1031&lt;18,"新品期",IF(L1031&lt;=36,"老品期","衰退期"))</f>
        <v/>
      </c>
      <c r="N1031" s="15" t="inlineStr">
        <is>
          <t>25年5月前胡娟娟负责</t>
        </is>
      </c>
    </row>
    <row r="1032" ht="15" customFormat="1" customHeight="1" s="36">
      <c r="A1032" s="4" t="inlineStr">
        <is>
          <t>Wintap-US</t>
        </is>
      </c>
      <c r="B1032" s="4" t="inlineStr">
        <is>
          <t>Wintap美国站</t>
        </is>
      </c>
      <c r="C1032" s="4">
        <f>B1032&amp;D1032</f>
        <v/>
      </c>
      <c r="D1032" s="4" t="inlineStr">
        <is>
          <t>WT-9806RGBK</t>
        </is>
      </c>
      <c r="E1032" s="4" t="inlineStr">
        <is>
          <t>230F0098RB1</t>
        </is>
      </c>
      <c r="F1032" s="4" t="inlineStr">
        <is>
          <t>98系列单功能入墙浴缸龙头拉丝玫瑰金+黑色</t>
        </is>
      </c>
      <c r="G1032" s="4" t="inlineStr">
        <is>
          <t>陈巧娴</t>
        </is>
      </c>
      <c r="H1032" s="4" t="inlineStr">
        <is>
          <t>缸边浴缸</t>
        </is>
      </c>
      <c r="I1032" s="22" t="inlineStr">
        <is>
          <t>是</t>
        </is>
      </c>
      <c r="J1032" s="34" t="n">
        <v>45298</v>
      </c>
      <c r="K1032" s="34" t="n">
        <v>45298</v>
      </c>
      <c r="L1032" s="0">
        <f>DATEDIF(J1032,$L$1,"M")</f>
        <v/>
      </c>
      <c r="M1032" s="0">
        <f>IF(L1032&lt;18,"新品期",IF(L1032&lt;=36,"老品期","衰退期"))</f>
        <v/>
      </c>
      <c r="N1032" s="15" t="inlineStr">
        <is>
          <t>25年5月前胡娟娟负责</t>
        </is>
      </c>
    </row>
    <row r="1033" ht="15" customFormat="1" customHeight="1" s="36">
      <c r="A1033" s="4" t="inlineStr">
        <is>
          <t>Wintap-US</t>
        </is>
      </c>
      <c r="B1033" s="4" t="inlineStr">
        <is>
          <t>Wintap美国站</t>
        </is>
      </c>
      <c r="C1033" s="4">
        <f>B1033&amp;D1033</f>
        <v/>
      </c>
      <c r="D1033" s="4" t="inlineStr">
        <is>
          <t>WT-9806RGBKZZ02</t>
        </is>
      </c>
      <c r="E1033" s="4" t="inlineStr">
        <is>
          <t>230F0098RB1</t>
        </is>
      </c>
      <c r="F1033" s="4" t="inlineStr">
        <is>
          <t>98系列单功能入墙浴缸龙头拉丝玫瑰金+黑色</t>
        </is>
      </c>
      <c r="G1033" s="4" t="inlineStr">
        <is>
          <t>陈巧娴</t>
        </is>
      </c>
      <c r="H1033" s="4" t="inlineStr">
        <is>
          <t>缸边浴缸</t>
        </is>
      </c>
      <c r="I1033" s="22" t="inlineStr">
        <is>
          <t>是</t>
        </is>
      </c>
      <c r="J1033" s="34" t="n">
        <v>45298</v>
      </c>
      <c r="K1033" s="34" t="n">
        <v>45298</v>
      </c>
      <c r="L1033" s="0">
        <f>DATEDIF(J1033,$L$1,"M")</f>
        <v/>
      </c>
      <c r="M1033" s="0">
        <f>IF(L1033&lt;18,"新品期",IF(L1033&lt;=36,"老品期","衰退期"))</f>
        <v/>
      </c>
      <c r="N1033" s="15" t="inlineStr">
        <is>
          <t>25年5月前胡娟娟负责</t>
        </is>
      </c>
    </row>
    <row r="1034" ht="15" customFormat="1" customHeight="1" s="36">
      <c r="A1034" s="4" t="inlineStr">
        <is>
          <t>Wintap-US</t>
        </is>
      </c>
      <c r="B1034" s="4" t="inlineStr">
        <is>
          <t>Wintap美国站</t>
        </is>
      </c>
      <c r="C1034" s="4">
        <f>B1034&amp;D1034</f>
        <v/>
      </c>
      <c r="D1034" s="4" t="inlineStr">
        <is>
          <t>WT-9807BG</t>
        </is>
      </c>
      <c r="E1034" s="4" t="inlineStr">
        <is>
          <t>221F0098BG1</t>
        </is>
      </c>
      <c r="F1034" s="4" t="inlineStr">
        <is>
          <t>98系列三件套缸边浴缸龙头拉丝钛金封油</t>
        </is>
      </c>
      <c r="G1034" s="4" t="inlineStr">
        <is>
          <t>陈巧娴</t>
        </is>
      </c>
      <c r="H1034" s="4" t="inlineStr">
        <is>
          <t>缸边浴缸</t>
        </is>
      </c>
      <c r="I1034" s="12" t="inlineStr">
        <is>
          <t>否</t>
        </is>
      </c>
      <c r="J1034" s="34" t="n">
        <v>45478</v>
      </c>
      <c r="K1034" s="34" t="n">
        <v>45565</v>
      </c>
      <c r="L1034" s="0">
        <f>DATEDIF(J1034,$L$1,"M")</f>
        <v/>
      </c>
      <c r="M1034" s="0">
        <f>IF(L1034&lt;18,"新品期",IF(L1034&lt;=36,"老品期","衰退期"))</f>
        <v/>
      </c>
      <c r="N1034" s="15" t="inlineStr">
        <is>
          <t>25年5月前胡娟娟负责</t>
        </is>
      </c>
    </row>
    <row r="1035" ht="15" customFormat="1" customHeight="1" s="36">
      <c r="A1035" s="4" t="inlineStr">
        <is>
          <t>Wintap-BR</t>
        </is>
      </c>
      <c r="B1035" s="4" t="inlineStr">
        <is>
          <t>Wintap巴西站</t>
        </is>
      </c>
      <c r="C1035" s="4">
        <f>B1035&amp;D1035</f>
        <v/>
      </c>
      <c r="D1035" s="4" t="inlineStr">
        <is>
          <t>WT-9807BG</t>
        </is>
      </c>
      <c r="E1035" s="4" t="inlineStr">
        <is>
          <t>221F0098BG1</t>
        </is>
      </c>
      <c r="F1035" s="4" t="inlineStr">
        <is>
          <t>98系列三件套缸边浴缸龙头拉丝钛金封油</t>
        </is>
      </c>
      <c r="G1035" s="4" t="inlineStr">
        <is>
          <t>陈巧娴</t>
        </is>
      </c>
      <c r="H1035" s="4" t="inlineStr">
        <is>
          <t>缸边浴缸</t>
        </is>
      </c>
      <c r="I1035" s="12" t="inlineStr">
        <is>
          <t>否</t>
        </is>
      </c>
      <c r="J1035" s="34" t="n">
        <v>45478</v>
      </c>
      <c r="K1035" s="34" t="n">
        <v>45565</v>
      </c>
      <c r="L1035" s="0">
        <f>DATEDIF(J1035,$L$1,"M")</f>
        <v/>
      </c>
      <c r="M1035" s="0">
        <f>IF(L1035&lt;18,"新品期",IF(L1035&lt;=36,"老品期","衰退期"))</f>
        <v/>
      </c>
      <c r="N1035" s="15" t="inlineStr">
        <is>
          <t>25年5月前胡娟娟负责</t>
        </is>
      </c>
    </row>
    <row r="1036" ht="15" customFormat="1" customHeight="1" s="36">
      <c r="A1036" s="4" t="inlineStr">
        <is>
          <t>Wintap-US</t>
        </is>
      </c>
      <c r="B1036" s="4" t="inlineStr">
        <is>
          <t>Wintap美国站</t>
        </is>
      </c>
      <c r="C1036" s="4">
        <f>B1036&amp;D1036</f>
        <v/>
      </c>
      <c r="D1036" s="4" t="inlineStr">
        <is>
          <t>WT-9807BG02</t>
        </is>
      </c>
      <c r="E1036" s="4" t="inlineStr">
        <is>
          <t>221F0098BG1</t>
        </is>
      </c>
      <c r="F1036" s="4" t="inlineStr">
        <is>
          <t>98系列三件套缸边浴缸龙头拉丝钛金封油</t>
        </is>
      </c>
      <c r="G1036" s="4" t="inlineStr">
        <is>
          <t>陈巧娴</t>
        </is>
      </c>
      <c r="H1036" s="4" t="inlineStr">
        <is>
          <t>缸边浴缸</t>
        </is>
      </c>
      <c r="I1036" s="12" t="inlineStr">
        <is>
          <t>否</t>
        </is>
      </c>
      <c r="J1036" s="34" t="n">
        <v>45417</v>
      </c>
      <c r="K1036" s="34" t="n">
        <v>45577</v>
      </c>
      <c r="L1036" s="0">
        <f>DATEDIF(J1036,$L$1,"M")</f>
        <v/>
      </c>
      <c r="M1036" s="0">
        <f>IF(L1036&lt;18,"新品期",IF(L1036&lt;=36,"老品期","衰退期"))</f>
        <v/>
      </c>
      <c r="N1036" s="15" t="inlineStr">
        <is>
          <t>25年5月前胡娟娟负责</t>
        </is>
      </c>
    </row>
    <row r="1037" ht="15" customFormat="1" customHeight="1" s="36">
      <c r="A1037" s="4" t="inlineStr">
        <is>
          <t>Wintap-CA</t>
        </is>
      </c>
      <c r="B1037" s="4" t="inlineStr">
        <is>
          <t>Wintap加拿大站</t>
        </is>
      </c>
      <c r="C1037" s="4">
        <f>B1037&amp;D1037</f>
        <v/>
      </c>
      <c r="D1037" s="4" t="inlineStr">
        <is>
          <t>WT-9807BG02</t>
        </is>
      </c>
      <c r="E1037" s="4" t="inlineStr">
        <is>
          <t>221F0098BG1</t>
        </is>
      </c>
      <c r="F1037" s="4" t="inlineStr">
        <is>
          <t>98系列三件套缸边浴缸龙头拉丝钛金封油</t>
        </is>
      </c>
      <c r="G1037" s="4" t="inlineStr">
        <is>
          <t>陈巧娴</t>
        </is>
      </c>
      <c r="H1037" s="4" t="inlineStr">
        <is>
          <t>缸边浴缸</t>
        </is>
      </c>
      <c r="I1037" s="12" t="inlineStr">
        <is>
          <t>否</t>
        </is>
      </c>
      <c r="J1037" s="34" t="n">
        <v>45417</v>
      </c>
      <c r="K1037" s="34" t="n">
        <v>45577</v>
      </c>
      <c r="L1037" s="0">
        <f>DATEDIF(J1037,$L$1,"M")</f>
        <v/>
      </c>
      <c r="M1037" s="0">
        <f>IF(L1037&lt;18,"新品期",IF(L1037&lt;=36,"老品期","衰退期"))</f>
        <v/>
      </c>
      <c r="N1037" s="15" t="inlineStr">
        <is>
          <t>25年5月前胡娟娟负责</t>
        </is>
      </c>
    </row>
    <row r="1038" ht="15" customFormat="1" customHeight="1" s="36">
      <c r="A1038" s="4" t="inlineStr">
        <is>
          <t>Wintap-BR</t>
        </is>
      </c>
      <c r="B1038" s="4" t="inlineStr">
        <is>
          <t>Wintap巴西站</t>
        </is>
      </c>
      <c r="C1038" s="4">
        <f>B1038&amp;D1038</f>
        <v/>
      </c>
      <c r="D1038" s="4" t="inlineStr">
        <is>
          <t>WT-9807BG02</t>
        </is>
      </c>
      <c r="E1038" s="4" t="inlineStr">
        <is>
          <t>221F0098BG1</t>
        </is>
      </c>
      <c r="F1038" s="4" t="inlineStr">
        <is>
          <t>98系列三件套缸边浴缸龙头拉丝钛金封油</t>
        </is>
      </c>
      <c r="G1038" s="4" t="inlineStr">
        <is>
          <t>陈巧娴</t>
        </is>
      </c>
      <c r="H1038" s="4" t="inlineStr">
        <is>
          <t>缸边浴缸</t>
        </is>
      </c>
      <c r="I1038" s="12" t="inlineStr">
        <is>
          <t>否</t>
        </is>
      </c>
      <c r="J1038" s="34" t="n">
        <v>45417</v>
      </c>
      <c r="K1038" s="34" t="n">
        <v>45577</v>
      </c>
      <c r="L1038" s="0">
        <f>DATEDIF(J1038,$L$1,"M")</f>
        <v/>
      </c>
      <c r="M1038" s="0">
        <f>IF(L1038&lt;18,"新品期",IF(L1038&lt;=36,"老品期","衰退期"))</f>
        <v/>
      </c>
      <c r="N1038" s="15" t="inlineStr">
        <is>
          <t>25年5月前胡娟娟负责</t>
        </is>
      </c>
    </row>
    <row r="1039" ht="15" customFormat="1" customHeight="1" s="36">
      <c r="A1039" s="4" t="inlineStr">
        <is>
          <t>Wintap-US</t>
        </is>
      </c>
      <c r="B1039" s="4" t="inlineStr">
        <is>
          <t>Wintap美国站</t>
        </is>
      </c>
      <c r="C1039" s="4">
        <f>B1039&amp;D1039</f>
        <v/>
      </c>
      <c r="D1039" s="4" t="inlineStr">
        <is>
          <t>WT-9807BGZZ</t>
        </is>
      </c>
      <c r="E1039" s="4" t="inlineStr">
        <is>
          <t>221F0098BG1</t>
        </is>
      </c>
      <c r="F1039" s="4" t="inlineStr">
        <is>
          <t>98系列三件套缸边浴缸龙头拉丝钛金封油</t>
        </is>
      </c>
      <c r="G1039" s="4" t="inlineStr">
        <is>
          <t>陈巧娴</t>
        </is>
      </c>
      <c r="H1039" s="4" t="inlineStr">
        <is>
          <t>缸边浴缸</t>
        </is>
      </c>
      <c r="I1039" s="12" t="inlineStr">
        <is>
          <t>否</t>
        </is>
      </c>
      <c r="J1039" s="34" t="n">
        <v>45478</v>
      </c>
      <c r="K1039" s="34" t="n">
        <v>45565</v>
      </c>
      <c r="L1039" s="0">
        <f>DATEDIF(J1039,$L$1,"M")</f>
        <v/>
      </c>
      <c r="M1039" s="0">
        <f>IF(L1039&lt;18,"新品期",IF(L1039&lt;=36,"老品期","衰退期"))</f>
        <v/>
      </c>
      <c r="N1039" s="15" t="inlineStr">
        <is>
          <t>25年5月前胡娟娟负责</t>
        </is>
      </c>
    </row>
    <row r="1040" ht="15" customFormat="1" customHeight="1" s="36">
      <c r="A1040" s="4" t="inlineStr">
        <is>
          <t>Wintap-US</t>
        </is>
      </c>
      <c r="B1040" s="4" t="inlineStr">
        <is>
          <t>Wintap美国站</t>
        </is>
      </c>
      <c r="C1040" s="4">
        <f>B1040&amp;D1040</f>
        <v/>
      </c>
      <c r="D1040" s="4" t="inlineStr">
        <is>
          <t>WT-9807BK</t>
        </is>
      </c>
      <c r="E1040" s="4" t="inlineStr">
        <is>
          <t>221F0098BK1</t>
        </is>
      </c>
      <c r="F1040" s="4" t="inlineStr">
        <is>
          <t>98系列三件套缸边浴缸龙头电泳黑</t>
        </is>
      </c>
      <c r="G1040" s="4" t="inlineStr">
        <is>
          <t>陈巧娴</t>
        </is>
      </c>
      <c r="H1040" s="4" t="inlineStr">
        <is>
          <t>缸边浴缸</t>
        </is>
      </c>
      <c r="I1040" s="12" t="inlineStr">
        <is>
          <t>否</t>
        </is>
      </c>
      <c r="J1040" s="34" t="n">
        <v>45478</v>
      </c>
      <c r="K1040" s="34" t="n">
        <v>45565</v>
      </c>
      <c r="L1040" s="0">
        <f>DATEDIF(J1040,$L$1,"M")</f>
        <v/>
      </c>
      <c r="M1040" s="0">
        <f>IF(L1040&lt;18,"新品期",IF(L1040&lt;=36,"老品期","衰退期"))</f>
        <v/>
      </c>
      <c r="N1040" s="15" t="inlineStr">
        <is>
          <t>25年5月前胡娟娟负责</t>
        </is>
      </c>
    </row>
    <row r="1041" ht="15" customFormat="1" customHeight="1" s="36">
      <c r="A1041" s="4" t="inlineStr">
        <is>
          <t>Wintap-US</t>
        </is>
      </c>
      <c r="B1041" s="4" t="inlineStr">
        <is>
          <t>Wintap美国站</t>
        </is>
      </c>
      <c r="C1041" s="4">
        <f>B1041&amp;D1041</f>
        <v/>
      </c>
      <c r="D1041" s="4" t="inlineStr">
        <is>
          <t>WT-9807BK02</t>
        </is>
      </c>
      <c r="E1041" s="4" t="inlineStr">
        <is>
          <t>221F0098BK1</t>
        </is>
      </c>
      <c r="F1041" s="4" t="inlineStr">
        <is>
          <t>98系列三件套缸边浴缸龙头电泳黑</t>
        </is>
      </c>
      <c r="G1041" s="4" t="inlineStr">
        <is>
          <t>陈巧娴</t>
        </is>
      </c>
      <c r="H1041" s="4" t="inlineStr">
        <is>
          <t>缸边浴缸</t>
        </is>
      </c>
      <c r="I1041" s="12" t="inlineStr">
        <is>
          <t>否</t>
        </is>
      </c>
      <c r="J1041" s="34" t="n">
        <v>45485</v>
      </c>
      <c r="K1041" s="34" t="n">
        <v>45565</v>
      </c>
      <c r="L1041" s="0">
        <f>DATEDIF(J1041,$L$1,"M")</f>
        <v/>
      </c>
      <c r="M1041" s="0">
        <f>IF(L1041&lt;18,"新品期",IF(L1041&lt;=36,"老品期","衰退期"))</f>
        <v/>
      </c>
      <c r="N1041" s="15" t="inlineStr">
        <is>
          <t>25年5月前胡娟娟负责</t>
        </is>
      </c>
    </row>
    <row r="1042" ht="15" customFormat="1" customHeight="1" s="36">
      <c r="A1042" s="4" t="inlineStr">
        <is>
          <t>Wintap-US</t>
        </is>
      </c>
      <c r="B1042" s="4" t="inlineStr">
        <is>
          <t>Wintap美国站</t>
        </is>
      </c>
      <c r="C1042" s="4">
        <f>B1042&amp;D1042</f>
        <v/>
      </c>
      <c r="D1042" s="4" t="inlineStr">
        <is>
          <t>WT-9807BKZZ</t>
        </is>
      </c>
      <c r="E1042" s="4" t="inlineStr">
        <is>
          <t>221F0098BK1</t>
        </is>
      </c>
      <c r="F1042" s="4" t="inlineStr">
        <is>
          <t>98系列三件套缸边浴缸龙头电泳黑</t>
        </is>
      </c>
      <c r="G1042" s="4" t="inlineStr">
        <is>
          <t>陈巧娴</t>
        </is>
      </c>
      <c r="H1042" s="4" t="inlineStr">
        <is>
          <t>缸边浴缸</t>
        </is>
      </c>
      <c r="I1042" s="12" t="inlineStr">
        <is>
          <t>否</t>
        </is>
      </c>
      <c r="J1042" s="34" t="n">
        <v>45478</v>
      </c>
      <c r="K1042" s="34" t="n">
        <v>45565</v>
      </c>
      <c r="L1042" s="0">
        <f>DATEDIF(J1042,$L$1,"M")</f>
        <v/>
      </c>
      <c r="M1042" s="0">
        <f>IF(L1042&lt;18,"新品期",IF(L1042&lt;=36,"老品期","衰退期"))</f>
        <v/>
      </c>
      <c r="N1042" s="15" t="inlineStr">
        <is>
          <t>25年5月前胡娟娟负责</t>
        </is>
      </c>
    </row>
    <row r="1043" ht="15" customFormat="1" customHeight="1" s="36">
      <c r="A1043" s="4" t="inlineStr">
        <is>
          <t>Wintap-US</t>
        </is>
      </c>
      <c r="B1043" s="4" t="inlineStr">
        <is>
          <t>Wintap美国站</t>
        </is>
      </c>
      <c r="C1043" s="4">
        <f>B1043&amp;D1043</f>
        <v/>
      </c>
      <c r="D1043" s="4" t="inlineStr">
        <is>
          <t>WT-9807BKZZ02</t>
        </is>
      </c>
      <c r="E1043" s="4" t="inlineStr">
        <is>
          <t>221F0098BK1</t>
        </is>
      </c>
      <c r="F1043" s="4" t="inlineStr">
        <is>
          <t>98系列三件套缸边浴缸龙头电泳黑</t>
        </is>
      </c>
      <c r="G1043" s="4" t="inlineStr">
        <is>
          <t>陈巧娴</t>
        </is>
      </c>
      <c r="H1043" s="4" t="inlineStr">
        <is>
          <t>缸边浴缸</t>
        </is>
      </c>
      <c r="I1043" s="12" t="inlineStr">
        <is>
          <t>否</t>
        </is>
      </c>
      <c r="J1043" s="34" t="n">
        <v>45679</v>
      </c>
      <c r="K1043" s="34" t="n">
        <v>45679</v>
      </c>
      <c r="L1043" s="0">
        <f>DATEDIF(J1043,$L$1,"M")</f>
        <v/>
      </c>
      <c r="M1043" s="0">
        <f>IF(L1043&lt;18,"新品期",IF(L1043&lt;=36,"老品期","衰退期"))</f>
        <v/>
      </c>
      <c r="N1043" s="15" t="inlineStr">
        <is>
          <t>25年5月前胡娟娟负责</t>
        </is>
      </c>
    </row>
    <row r="1044" ht="15" customFormat="1" customHeight="1" s="36">
      <c r="A1044" s="4" t="inlineStr">
        <is>
          <t>Wintap-CA</t>
        </is>
      </c>
      <c r="B1044" s="4" t="inlineStr">
        <is>
          <t>Wintap加拿大站</t>
        </is>
      </c>
      <c r="C1044" s="4">
        <f>B1044&amp;D1044</f>
        <v/>
      </c>
      <c r="D1044" s="4" t="inlineStr">
        <is>
          <t>WT-9807BKZZ02</t>
        </is>
      </c>
      <c r="E1044" s="4" t="inlineStr">
        <is>
          <t>221F0098BK1</t>
        </is>
      </c>
      <c r="F1044" s="4" t="inlineStr">
        <is>
          <t>98系列三件套缸边浴缸龙头电泳黑</t>
        </is>
      </c>
      <c r="G1044" s="4" t="inlineStr">
        <is>
          <t>陈巧娴</t>
        </is>
      </c>
      <c r="H1044" s="4" t="inlineStr">
        <is>
          <t>缸边浴缸</t>
        </is>
      </c>
      <c r="I1044" s="12" t="inlineStr">
        <is>
          <t>否</t>
        </is>
      </c>
      <c r="J1044" s="34" t="n">
        <v>45679</v>
      </c>
      <c r="K1044" s="34" t="n">
        <v>45679</v>
      </c>
      <c r="L1044" s="0">
        <f>DATEDIF(J1044,$L$1,"M")</f>
        <v/>
      </c>
      <c r="M1044" s="0">
        <f>IF(L1044&lt;18,"新品期",IF(L1044&lt;=36,"老品期","衰退期"))</f>
        <v/>
      </c>
      <c r="N1044" s="15" t="inlineStr">
        <is>
          <t>25年5月前胡娟娟负责</t>
        </is>
      </c>
    </row>
    <row r="1045" ht="15" customFormat="1" customHeight="1" s="36">
      <c r="A1045" s="4" t="inlineStr">
        <is>
          <t>Wintap-US</t>
        </is>
      </c>
      <c r="B1045" s="4" t="inlineStr">
        <is>
          <t>Wintap美国站</t>
        </is>
      </c>
      <c r="C1045" s="4">
        <f>B1045&amp;D1045</f>
        <v/>
      </c>
      <c r="D1045" s="4" t="inlineStr">
        <is>
          <t>WT-9807BKZZ03</t>
        </is>
      </c>
      <c r="E1045" s="4" t="inlineStr">
        <is>
          <t>221F0098BK1</t>
        </is>
      </c>
      <c r="F1045" s="4" t="inlineStr">
        <is>
          <t>98系列三件套缸边浴缸龙头电泳黑</t>
        </is>
      </c>
      <c r="G1045" s="4" t="inlineStr">
        <is>
          <t>陈巧娴</t>
        </is>
      </c>
      <c r="H1045" s="4" t="inlineStr">
        <is>
          <t>缸边浴缸</t>
        </is>
      </c>
      <c r="I1045" s="12" t="inlineStr">
        <is>
          <t>否</t>
        </is>
      </c>
      <c r="J1045" s="34" t="n">
        <v>45679</v>
      </c>
      <c r="K1045" s="34" t="n">
        <v>45679</v>
      </c>
      <c r="L1045" s="0">
        <f>DATEDIF(J1045,$L$1,"M")</f>
        <v/>
      </c>
      <c r="M1045" s="0">
        <f>IF(L1045&lt;18,"新品期",IF(L1045&lt;=36,"老品期","衰退期"))</f>
        <v/>
      </c>
      <c r="N1045" s="15" t="inlineStr">
        <is>
          <t>25年5月前胡娟娟负责</t>
        </is>
      </c>
    </row>
    <row r="1046" ht="15" customFormat="1" customHeight="1" s="36">
      <c r="A1046" s="4" t="inlineStr">
        <is>
          <t>Wintap-CA</t>
        </is>
      </c>
      <c r="B1046" s="4" t="inlineStr">
        <is>
          <t>Wintap加拿大站</t>
        </is>
      </c>
      <c r="C1046" s="4">
        <f>B1046&amp;D1046</f>
        <v/>
      </c>
      <c r="D1046" s="4" t="inlineStr">
        <is>
          <t>WT-9807BKZZ03</t>
        </is>
      </c>
      <c r="E1046" s="4" t="inlineStr">
        <is>
          <t>221F0098BK1</t>
        </is>
      </c>
      <c r="F1046" s="4" t="inlineStr">
        <is>
          <t>98系列三件套缸边浴缸龙头电泳黑</t>
        </is>
      </c>
      <c r="G1046" s="4" t="inlineStr">
        <is>
          <t>陈巧娴</t>
        </is>
      </c>
      <c r="H1046" s="4" t="inlineStr">
        <is>
          <t>缸边浴缸</t>
        </is>
      </c>
      <c r="I1046" s="12" t="inlineStr">
        <is>
          <t>否</t>
        </is>
      </c>
      <c r="J1046" s="34" t="n">
        <v>45679</v>
      </c>
      <c r="K1046" s="34" t="n">
        <v>45679</v>
      </c>
      <c r="L1046" s="0">
        <f>DATEDIF(J1046,$L$1,"M")</f>
        <v/>
      </c>
      <c r="M1046" s="0">
        <f>IF(L1046&lt;18,"新品期",IF(L1046&lt;=36,"老品期","衰退期"))</f>
        <v/>
      </c>
      <c r="N1046" s="15" t="inlineStr">
        <is>
          <t>25年5月前胡娟娟负责</t>
        </is>
      </c>
    </row>
    <row r="1047" ht="15" customFormat="1" customHeight="1" s="36">
      <c r="A1047" s="4" t="inlineStr">
        <is>
          <t>Wintap-US</t>
        </is>
      </c>
      <c r="B1047" s="4" t="inlineStr">
        <is>
          <t>Wintap美国站</t>
        </is>
      </c>
      <c r="C1047" s="4">
        <f>B1047&amp;D1047</f>
        <v/>
      </c>
      <c r="D1047" s="4" t="inlineStr">
        <is>
          <t>WT-9807BKZZ04</t>
        </is>
      </c>
      <c r="E1047" s="4" t="inlineStr">
        <is>
          <t>221F0098BK1</t>
        </is>
      </c>
      <c r="F1047" s="4" t="inlineStr">
        <is>
          <t>98系列三件套缸边浴缸龙头电泳黑</t>
        </is>
      </c>
      <c r="G1047" s="4" t="inlineStr">
        <is>
          <t>陈巧娴</t>
        </is>
      </c>
      <c r="H1047" s="4" t="inlineStr">
        <is>
          <t>缸边浴缸</t>
        </is>
      </c>
      <c r="I1047" s="12" t="inlineStr">
        <is>
          <t>否</t>
        </is>
      </c>
      <c r="J1047" s="34" t="n">
        <v>45679</v>
      </c>
      <c r="K1047" s="34" t="n">
        <v>45679</v>
      </c>
      <c r="L1047" s="0">
        <f>DATEDIF(J1047,$L$1,"M")</f>
        <v/>
      </c>
      <c r="M1047" s="0">
        <f>IF(L1047&lt;18,"新品期",IF(L1047&lt;=36,"老品期","衰退期"))</f>
        <v/>
      </c>
      <c r="N1047" s="15" t="inlineStr">
        <is>
          <t>25年5月前胡娟娟负责</t>
        </is>
      </c>
    </row>
    <row r="1048" ht="15" customFormat="1" customHeight="1" s="36">
      <c r="A1048" s="4" t="inlineStr">
        <is>
          <t>Wintap-CA</t>
        </is>
      </c>
      <c r="B1048" s="4" t="inlineStr">
        <is>
          <t>Wintap加拿大站</t>
        </is>
      </c>
      <c r="C1048" s="4">
        <f>B1048&amp;D1048</f>
        <v/>
      </c>
      <c r="D1048" s="4" t="inlineStr">
        <is>
          <t>WT-9807BKZZ04</t>
        </is>
      </c>
      <c r="E1048" s="4" t="inlineStr">
        <is>
          <t>221F0098BK1</t>
        </is>
      </c>
      <c r="F1048" s="4" t="inlineStr">
        <is>
          <t>98系列三件套缸边浴缸龙头电泳黑</t>
        </is>
      </c>
      <c r="G1048" s="4" t="inlineStr">
        <is>
          <t>陈巧娴</t>
        </is>
      </c>
      <c r="H1048" s="4" t="inlineStr">
        <is>
          <t>缸边浴缸</t>
        </is>
      </c>
      <c r="I1048" s="12" t="inlineStr">
        <is>
          <t>否</t>
        </is>
      </c>
      <c r="J1048" s="34" t="n">
        <v>45679</v>
      </c>
      <c r="K1048" s="34" t="n">
        <v>45679</v>
      </c>
      <c r="L1048" s="0">
        <f>DATEDIF(J1048,$L$1,"M")</f>
        <v/>
      </c>
      <c r="M1048" s="0">
        <f>IF(L1048&lt;18,"新品期",IF(L1048&lt;=36,"老品期","衰退期"))</f>
        <v/>
      </c>
      <c r="N1048" s="15" t="inlineStr">
        <is>
          <t>25年5月前胡娟娟负责</t>
        </is>
      </c>
    </row>
    <row r="1049" ht="15" customFormat="1" customHeight="1" s="36">
      <c r="A1049" s="4" t="inlineStr">
        <is>
          <t>Wintap-BR</t>
        </is>
      </c>
      <c r="B1049" s="4" t="inlineStr">
        <is>
          <t>Wintap巴西站</t>
        </is>
      </c>
      <c r="C1049" s="4">
        <f>B1049&amp;D1049</f>
        <v/>
      </c>
      <c r="D1049" s="4" t="inlineStr">
        <is>
          <t>WT-9807BKZZ04</t>
        </is>
      </c>
      <c r="E1049" s="4" t="inlineStr">
        <is>
          <t>221F0098BK1</t>
        </is>
      </c>
      <c r="F1049" s="4" t="inlineStr">
        <is>
          <t>98系列三件套缸边浴缸龙头电泳黑</t>
        </is>
      </c>
      <c r="G1049" s="4" t="inlineStr">
        <is>
          <t>陈巧娴</t>
        </is>
      </c>
      <c r="H1049" s="4" t="inlineStr">
        <is>
          <t>缸边浴缸</t>
        </is>
      </c>
      <c r="I1049" s="12" t="inlineStr">
        <is>
          <t>否</t>
        </is>
      </c>
      <c r="J1049" s="34" t="n">
        <v>45679</v>
      </c>
      <c r="K1049" s="34" t="n">
        <v>45679</v>
      </c>
      <c r="L1049" s="0">
        <f>DATEDIF(J1049,$L$1,"M")</f>
        <v/>
      </c>
      <c r="M1049" s="0">
        <f>IF(L1049&lt;18,"新品期",IF(L1049&lt;=36,"老品期","衰退期"))</f>
        <v/>
      </c>
      <c r="N1049" s="15" t="inlineStr">
        <is>
          <t>25年5月前胡娟娟负责</t>
        </is>
      </c>
    </row>
    <row r="1050" ht="15" customFormat="1" customHeight="1" s="36">
      <c r="A1050" s="4" t="inlineStr">
        <is>
          <t>Wintap-US</t>
        </is>
      </c>
      <c r="B1050" s="4" t="inlineStr">
        <is>
          <t>Wintap美国站</t>
        </is>
      </c>
      <c r="C1050" s="4">
        <f>B1050&amp;D1050</f>
        <v/>
      </c>
      <c r="D1050" s="4" t="inlineStr">
        <is>
          <t>WT-9807BKZZ05</t>
        </is>
      </c>
      <c r="E1050" s="4" t="inlineStr">
        <is>
          <t>221F0098BK1</t>
        </is>
      </c>
      <c r="F1050" s="4" t="inlineStr">
        <is>
          <t>98系列三件套缸边浴缸龙头电泳黑</t>
        </is>
      </c>
      <c r="G1050" s="4" t="inlineStr">
        <is>
          <t>陈巧娴</t>
        </is>
      </c>
      <c r="H1050" s="4" t="inlineStr">
        <is>
          <t>缸边浴缸</t>
        </is>
      </c>
      <c r="I1050" s="12" t="inlineStr">
        <is>
          <t>否</t>
        </is>
      </c>
      <c r="J1050" s="34" t="n">
        <v>45679</v>
      </c>
      <c r="K1050" s="34" t="n">
        <v>45679</v>
      </c>
      <c r="L1050" s="0">
        <f>DATEDIF(J1050,$L$1,"M")</f>
        <v/>
      </c>
      <c r="M1050" s="0">
        <f>IF(L1050&lt;18,"新品期",IF(L1050&lt;=36,"老品期","衰退期"))</f>
        <v/>
      </c>
      <c r="N1050" s="15" t="inlineStr">
        <is>
          <t>25年5月前胡娟娟负责</t>
        </is>
      </c>
    </row>
    <row r="1051" ht="15" customFormat="1" customHeight="1" s="36">
      <c r="A1051" s="4" t="inlineStr">
        <is>
          <t>Wintap-US</t>
        </is>
      </c>
      <c r="B1051" s="4" t="inlineStr">
        <is>
          <t>Wintap美国站</t>
        </is>
      </c>
      <c r="C1051" s="4">
        <f>B1051&amp;D1051</f>
        <v/>
      </c>
      <c r="D1051" s="4" t="inlineStr">
        <is>
          <t>WT-9807BKZZ06</t>
        </is>
      </c>
      <c r="E1051" s="4" t="inlineStr">
        <is>
          <t>221F0098BK1</t>
        </is>
      </c>
      <c r="F1051" s="4" t="inlineStr">
        <is>
          <t>98系列三件套缸边浴缸龙头电泳黑</t>
        </is>
      </c>
      <c r="G1051" s="4" t="inlineStr">
        <is>
          <t>陈巧娴</t>
        </is>
      </c>
      <c r="H1051" s="4" t="inlineStr">
        <is>
          <t>缸边浴缸</t>
        </is>
      </c>
      <c r="I1051" s="12" t="inlineStr">
        <is>
          <t>否</t>
        </is>
      </c>
      <c r="J1051" s="34" t="n">
        <v>45679</v>
      </c>
      <c r="K1051" s="34" t="n">
        <v>45679</v>
      </c>
      <c r="L1051" s="0">
        <f>DATEDIF(J1051,$L$1,"M")</f>
        <v/>
      </c>
      <c r="M1051" s="0">
        <f>IF(L1051&lt;18,"新品期",IF(L1051&lt;=36,"老品期","衰退期"))</f>
        <v/>
      </c>
      <c r="N1051" s="15" t="inlineStr">
        <is>
          <t>25年5月前胡娟娟负责</t>
        </is>
      </c>
    </row>
    <row r="1052" ht="15" customFormat="1" customHeight="1" s="36">
      <c r="A1052" s="4" t="inlineStr">
        <is>
          <t>Wintap-US</t>
        </is>
      </c>
      <c r="B1052" s="4" t="inlineStr">
        <is>
          <t>Wintap美国站</t>
        </is>
      </c>
      <c r="C1052" s="4">
        <f>B1052&amp;D1052</f>
        <v/>
      </c>
      <c r="D1052" s="4" t="inlineStr">
        <is>
          <t>WT-9807BKZZ07</t>
        </is>
      </c>
      <c r="E1052" s="4" t="inlineStr">
        <is>
          <t>221F0098BK1</t>
        </is>
      </c>
      <c r="F1052" s="4" t="inlineStr">
        <is>
          <t>98系列三件套缸边浴缸龙头电泳黑</t>
        </is>
      </c>
      <c r="G1052" s="4" t="inlineStr">
        <is>
          <t>陈巧娴</t>
        </is>
      </c>
      <c r="H1052" s="4" t="inlineStr">
        <is>
          <t>缸边浴缸</t>
        </is>
      </c>
      <c r="I1052" s="12" t="inlineStr">
        <is>
          <t>否</t>
        </is>
      </c>
      <c r="J1052" s="34" t="n">
        <v>45679</v>
      </c>
      <c r="K1052" s="34" t="n">
        <v>45679</v>
      </c>
      <c r="L1052" s="0">
        <f>DATEDIF(J1052,$L$1,"M")</f>
        <v/>
      </c>
      <c r="M1052" s="0">
        <f>IF(L1052&lt;18,"新品期",IF(L1052&lt;=36,"老品期","衰退期"))</f>
        <v/>
      </c>
      <c r="N1052" s="15" t="inlineStr">
        <is>
          <t>25年5月前胡娟娟负责</t>
        </is>
      </c>
    </row>
    <row r="1053" ht="15" customFormat="1" customHeight="1" s="36">
      <c r="A1053" s="4" t="inlineStr">
        <is>
          <t>Wintap-CA</t>
        </is>
      </c>
      <c r="B1053" s="4" t="inlineStr">
        <is>
          <t>Wintap加拿大站</t>
        </is>
      </c>
      <c r="C1053" s="4">
        <f>B1053&amp;D1053</f>
        <v/>
      </c>
      <c r="D1053" s="4" t="inlineStr">
        <is>
          <t>WT-9807BKZZ07</t>
        </is>
      </c>
      <c r="E1053" s="4" t="inlineStr">
        <is>
          <t>221F0098BK1</t>
        </is>
      </c>
      <c r="F1053" s="4" t="inlineStr">
        <is>
          <t>98系列三件套缸边浴缸龙头电泳黑</t>
        </is>
      </c>
      <c r="G1053" s="4" t="inlineStr">
        <is>
          <t>陈巧娴</t>
        </is>
      </c>
      <c r="H1053" s="4" t="inlineStr">
        <is>
          <t>缸边浴缸</t>
        </is>
      </c>
      <c r="I1053" s="12" t="inlineStr">
        <is>
          <t>否</t>
        </is>
      </c>
      <c r="J1053" s="34" t="n">
        <v>45679</v>
      </c>
      <c r="K1053" s="34" t="n">
        <v>45679</v>
      </c>
      <c r="L1053" s="0">
        <f>DATEDIF(J1053,$L$1,"M")</f>
        <v/>
      </c>
      <c r="M1053" s="0">
        <f>IF(L1053&lt;18,"新品期",IF(L1053&lt;=36,"老品期","衰退期"))</f>
        <v/>
      </c>
      <c r="N1053" s="15" t="inlineStr">
        <is>
          <t>25年5月前胡娟娟负责</t>
        </is>
      </c>
    </row>
    <row r="1054" ht="15" customFormat="1" customHeight="1" s="36">
      <c r="A1054" s="4" t="inlineStr">
        <is>
          <t>Wintap-BR</t>
        </is>
      </c>
      <c r="B1054" s="4" t="inlineStr">
        <is>
          <t>Wintap巴西站</t>
        </is>
      </c>
      <c r="C1054" s="4">
        <f>B1054&amp;D1054</f>
        <v/>
      </c>
      <c r="D1054" s="4" t="inlineStr">
        <is>
          <t>WT-9807BKZZ07</t>
        </is>
      </c>
      <c r="E1054" s="4" t="inlineStr">
        <is>
          <t>221F0098BK1</t>
        </is>
      </c>
      <c r="F1054" s="4" t="inlineStr">
        <is>
          <t>98系列三件套缸边浴缸龙头电泳黑</t>
        </is>
      </c>
      <c r="G1054" s="4" t="inlineStr">
        <is>
          <t>陈巧娴</t>
        </is>
      </c>
      <c r="H1054" s="4" t="inlineStr">
        <is>
          <t>缸边浴缸</t>
        </is>
      </c>
      <c r="I1054" s="12" t="inlineStr">
        <is>
          <t>否</t>
        </is>
      </c>
      <c r="J1054" s="34" t="n">
        <v>45679</v>
      </c>
      <c r="K1054" s="34" t="n">
        <v>45679</v>
      </c>
      <c r="L1054" s="0">
        <f>DATEDIF(J1054,$L$1,"M")</f>
        <v/>
      </c>
      <c r="M1054" s="0">
        <f>IF(L1054&lt;18,"新品期",IF(L1054&lt;=36,"老品期","衰退期"))</f>
        <v/>
      </c>
      <c r="N1054" s="15" t="inlineStr">
        <is>
          <t>25年5月前胡娟娟负责</t>
        </is>
      </c>
    </row>
    <row r="1055" ht="15" customFormat="1" customHeight="1" s="36">
      <c r="A1055" s="4" t="inlineStr">
        <is>
          <t>Wintap-US</t>
        </is>
      </c>
      <c r="B1055" s="4" t="inlineStr">
        <is>
          <t>Wintap美国站</t>
        </is>
      </c>
      <c r="C1055" s="4">
        <f>B1055&amp;D1055</f>
        <v/>
      </c>
      <c r="D1055" s="4" t="inlineStr">
        <is>
          <t>WT-9807BKZZ08</t>
        </is>
      </c>
      <c r="E1055" s="4" t="inlineStr">
        <is>
          <t>221F0098BK1</t>
        </is>
      </c>
      <c r="F1055" s="4" t="inlineStr">
        <is>
          <t>98系列三件套缸边浴缸龙头电泳黑</t>
        </is>
      </c>
      <c r="G1055" s="4" t="inlineStr">
        <is>
          <t>陈巧娴</t>
        </is>
      </c>
      <c r="H1055" s="4" t="inlineStr">
        <is>
          <t>缸边浴缸</t>
        </is>
      </c>
      <c r="I1055" s="12" t="inlineStr">
        <is>
          <t>否</t>
        </is>
      </c>
      <c r="J1055" s="34" t="n">
        <v>45679</v>
      </c>
      <c r="K1055" s="34" t="n">
        <v>45679</v>
      </c>
      <c r="L1055" s="0">
        <f>DATEDIF(J1055,$L$1,"M")</f>
        <v/>
      </c>
      <c r="M1055" s="0">
        <f>IF(L1055&lt;18,"新品期",IF(L1055&lt;=36,"老品期","衰退期"))</f>
        <v/>
      </c>
      <c r="N1055" s="15" t="inlineStr">
        <is>
          <t>25年5月前胡娟娟负责</t>
        </is>
      </c>
    </row>
    <row r="1056" ht="15" customFormat="1" customHeight="1" s="36">
      <c r="A1056" s="4" t="inlineStr">
        <is>
          <t>Wintap-CA</t>
        </is>
      </c>
      <c r="B1056" s="4" t="inlineStr">
        <is>
          <t>Wintap加拿大站</t>
        </is>
      </c>
      <c r="C1056" s="4">
        <f>B1056&amp;D1056</f>
        <v/>
      </c>
      <c r="D1056" s="4" t="inlineStr">
        <is>
          <t>WT-9807BKZZ08</t>
        </is>
      </c>
      <c r="E1056" s="4" t="inlineStr">
        <is>
          <t>221F0098BK1</t>
        </is>
      </c>
      <c r="F1056" s="4" t="inlineStr">
        <is>
          <t>98系列三件套缸边浴缸龙头电泳黑</t>
        </is>
      </c>
      <c r="G1056" s="4" t="inlineStr">
        <is>
          <t>陈巧娴</t>
        </is>
      </c>
      <c r="H1056" s="4" t="inlineStr">
        <is>
          <t>缸边浴缸</t>
        </is>
      </c>
      <c r="I1056" s="12" t="inlineStr">
        <is>
          <t>否</t>
        </is>
      </c>
      <c r="J1056" s="34" t="n">
        <v>45679</v>
      </c>
      <c r="K1056" s="34" t="n">
        <v>45679</v>
      </c>
      <c r="L1056" s="0">
        <f>DATEDIF(J1056,$L$1,"M")</f>
        <v/>
      </c>
      <c r="M1056" s="0">
        <f>IF(L1056&lt;18,"新品期",IF(L1056&lt;=36,"老品期","衰退期"))</f>
        <v/>
      </c>
      <c r="N1056" s="15" t="inlineStr">
        <is>
          <t>25年5月前胡娟娟负责</t>
        </is>
      </c>
    </row>
    <row r="1057" ht="15" customFormat="1" customHeight="1" s="36">
      <c r="A1057" s="4" t="inlineStr">
        <is>
          <t>Wintap-BR</t>
        </is>
      </c>
      <c r="B1057" s="4" t="inlineStr">
        <is>
          <t>Wintap巴西站</t>
        </is>
      </c>
      <c r="C1057" s="4">
        <f>B1057&amp;D1057</f>
        <v/>
      </c>
      <c r="D1057" s="4" t="inlineStr">
        <is>
          <t>WT-9807BKZZ08</t>
        </is>
      </c>
      <c r="E1057" s="4" t="inlineStr">
        <is>
          <t>221F0098BK1</t>
        </is>
      </c>
      <c r="F1057" s="4" t="inlineStr">
        <is>
          <t>98系列三件套缸边浴缸龙头电泳黑</t>
        </is>
      </c>
      <c r="G1057" s="4" t="inlineStr">
        <is>
          <t>陈巧娴</t>
        </is>
      </c>
      <c r="H1057" s="4" t="inlineStr">
        <is>
          <t>缸边浴缸</t>
        </is>
      </c>
      <c r="I1057" s="12" t="inlineStr">
        <is>
          <t>否</t>
        </is>
      </c>
      <c r="J1057" s="34" t="n">
        <v>45679</v>
      </c>
      <c r="K1057" s="34" t="n">
        <v>45679</v>
      </c>
      <c r="L1057" s="0">
        <f>DATEDIF(J1057,$L$1,"M")</f>
        <v/>
      </c>
      <c r="M1057" s="0">
        <f>IF(L1057&lt;18,"新品期",IF(L1057&lt;=36,"老品期","衰退期"))</f>
        <v/>
      </c>
      <c r="N1057" s="15" t="inlineStr">
        <is>
          <t>25年5月前胡娟娟负责</t>
        </is>
      </c>
    </row>
    <row r="1058" ht="15" customFormat="1" customHeight="1" s="36">
      <c r="A1058" s="4" t="inlineStr">
        <is>
          <t>Wintap-US</t>
        </is>
      </c>
      <c r="B1058" s="4" t="inlineStr">
        <is>
          <t>Wintap美国站</t>
        </is>
      </c>
      <c r="C1058" s="4">
        <f>B1058&amp;D1058</f>
        <v/>
      </c>
      <c r="D1058" s="4" t="inlineStr">
        <is>
          <t>WT-9807BN</t>
        </is>
      </c>
      <c r="E1058" s="4" t="inlineStr">
        <is>
          <t>221F0098BN1</t>
        </is>
      </c>
      <c r="F1058" s="4" t="inlineStr">
        <is>
          <t>98系列三件套缸边浴缸龙头拉丝封油</t>
        </is>
      </c>
      <c r="G1058" s="4" t="inlineStr">
        <is>
          <t>陈巧娴</t>
        </is>
      </c>
      <c r="H1058" s="4" t="inlineStr">
        <is>
          <t>缸边浴缸</t>
        </is>
      </c>
      <c r="I1058" s="12" t="inlineStr">
        <is>
          <t>否</t>
        </is>
      </c>
      <c r="J1058" s="34" t="n">
        <v>45478</v>
      </c>
      <c r="K1058" s="34" t="n">
        <v>45565</v>
      </c>
      <c r="L1058" s="0">
        <f>DATEDIF(J1058,$L$1,"M")</f>
        <v/>
      </c>
      <c r="M1058" s="0">
        <f>IF(L1058&lt;18,"新品期",IF(L1058&lt;=36,"老品期","衰退期"))</f>
        <v/>
      </c>
      <c r="N1058" s="15" t="inlineStr">
        <is>
          <t>25年5月前胡娟娟负责</t>
        </is>
      </c>
    </row>
    <row r="1059" ht="15" customFormat="1" customHeight="1" s="36">
      <c r="A1059" s="4" t="inlineStr">
        <is>
          <t>Wintap-BR</t>
        </is>
      </c>
      <c r="B1059" s="4" t="inlineStr">
        <is>
          <t>Wintap巴西站</t>
        </is>
      </c>
      <c r="C1059" s="4">
        <f>B1059&amp;D1059</f>
        <v/>
      </c>
      <c r="D1059" s="4" t="inlineStr">
        <is>
          <t>WT-9807BN</t>
        </is>
      </c>
      <c r="E1059" s="4" t="inlineStr">
        <is>
          <t>221F0098BN1</t>
        </is>
      </c>
      <c r="F1059" s="4" t="inlineStr">
        <is>
          <t>98系列三件套缸边浴缸龙头拉丝封油</t>
        </is>
      </c>
      <c r="G1059" s="4" t="inlineStr">
        <is>
          <t>陈巧娴</t>
        </is>
      </c>
      <c r="H1059" s="4" t="inlineStr">
        <is>
          <t>缸边浴缸</t>
        </is>
      </c>
      <c r="I1059" s="12" t="inlineStr">
        <is>
          <t>否</t>
        </is>
      </c>
      <c r="J1059" s="34" t="n">
        <v>45478</v>
      </c>
      <c r="K1059" s="34" t="n">
        <v>45565</v>
      </c>
      <c r="L1059" s="0">
        <f>DATEDIF(J1059,$L$1,"M")</f>
        <v/>
      </c>
      <c r="M1059" s="0">
        <f>IF(L1059&lt;18,"新品期",IF(L1059&lt;=36,"老品期","衰退期"))</f>
        <v/>
      </c>
      <c r="N1059" s="15" t="inlineStr">
        <is>
          <t>25年5月前胡娟娟负责</t>
        </is>
      </c>
    </row>
    <row r="1060" ht="15" customFormat="1" customHeight="1" s="36">
      <c r="A1060" s="4" t="inlineStr">
        <is>
          <t>Wintap-US</t>
        </is>
      </c>
      <c r="B1060" s="4" t="inlineStr">
        <is>
          <t>Wintap美国站</t>
        </is>
      </c>
      <c r="C1060" s="4">
        <f>B1060&amp;D1060</f>
        <v/>
      </c>
      <c r="D1060" s="4" t="inlineStr">
        <is>
          <t>WT-9807BNZZ</t>
        </is>
      </c>
      <c r="E1060" s="4" t="inlineStr">
        <is>
          <t>221F0098BN1</t>
        </is>
      </c>
      <c r="F1060" s="4" t="inlineStr">
        <is>
          <t>98系列三件套缸边浴缸龙头拉丝封油</t>
        </is>
      </c>
      <c r="G1060" s="4" t="inlineStr">
        <is>
          <t>陈巧娴</t>
        </is>
      </c>
      <c r="H1060" s="4" t="inlineStr">
        <is>
          <t>缸边浴缸</t>
        </is>
      </c>
      <c r="I1060" s="12" t="inlineStr">
        <is>
          <t>否</t>
        </is>
      </c>
      <c r="J1060" s="34" t="n">
        <v>45478</v>
      </c>
      <c r="K1060" s="34" t="n">
        <v>45565</v>
      </c>
      <c r="L1060" s="0">
        <f>DATEDIF(J1060,$L$1,"M")</f>
        <v/>
      </c>
      <c r="M1060" s="0">
        <f>IF(L1060&lt;18,"新品期",IF(L1060&lt;=36,"老品期","衰退期"))</f>
        <v/>
      </c>
      <c r="N1060" s="15" t="inlineStr">
        <is>
          <t>25年5月前胡娟娟负责</t>
        </is>
      </c>
    </row>
    <row r="1061" ht="15" customFormat="1" customHeight="1" s="36">
      <c r="A1061" s="4" t="inlineStr">
        <is>
          <t>Wintap-CA</t>
        </is>
      </c>
      <c r="B1061" s="4" t="inlineStr">
        <is>
          <t>Wintap加拿大站</t>
        </is>
      </c>
      <c r="C1061" s="4">
        <f>B1061&amp;D1061</f>
        <v/>
      </c>
      <c r="D1061" s="4" t="inlineStr">
        <is>
          <t>WT-9807BNZZ</t>
        </is>
      </c>
      <c r="E1061" s="4" t="inlineStr">
        <is>
          <t>221F0098BN1</t>
        </is>
      </c>
      <c r="F1061" s="4" t="inlineStr">
        <is>
          <t>98系列三件套缸边浴缸龙头拉丝封油</t>
        </is>
      </c>
      <c r="G1061" s="4" t="inlineStr">
        <is>
          <t>陈巧娴</t>
        </is>
      </c>
      <c r="H1061" s="4" t="inlineStr">
        <is>
          <t>缸边浴缸</t>
        </is>
      </c>
      <c r="I1061" s="12" t="inlineStr">
        <is>
          <t>否</t>
        </is>
      </c>
      <c r="J1061" s="34" t="n">
        <v>45478</v>
      </c>
      <c r="K1061" s="34" t="n">
        <v>45565</v>
      </c>
      <c r="L1061" s="0">
        <f>DATEDIF(J1061,$L$1,"M")</f>
        <v/>
      </c>
      <c r="M1061" s="0">
        <f>IF(L1061&lt;18,"新品期",IF(L1061&lt;=36,"老品期","衰退期"))</f>
        <v/>
      </c>
      <c r="N1061" s="15" t="inlineStr">
        <is>
          <t>25年5月前胡娟娟负责</t>
        </is>
      </c>
    </row>
    <row r="1062" ht="15" customFormat="1" customHeight="1" s="36">
      <c r="A1062" s="4" t="inlineStr">
        <is>
          <t>Wintap-BR</t>
        </is>
      </c>
      <c r="B1062" s="4" t="inlineStr">
        <is>
          <t>Wintap巴西站</t>
        </is>
      </c>
      <c r="C1062" s="4">
        <f>B1062&amp;D1062</f>
        <v/>
      </c>
      <c r="D1062" s="4" t="inlineStr">
        <is>
          <t>WT-9807BNZZ</t>
        </is>
      </c>
      <c r="E1062" s="4" t="inlineStr">
        <is>
          <t>221F0098BN1</t>
        </is>
      </c>
      <c r="F1062" s="4" t="inlineStr">
        <is>
          <t>98系列三件套缸边浴缸龙头拉丝封油</t>
        </is>
      </c>
      <c r="G1062" s="4" t="inlineStr">
        <is>
          <t>陈巧娴</t>
        </is>
      </c>
      <c r="H1062" s="4" t="inlineStr">
        <is>
          <t>缸边浴缸</t>
        </is>
      </c>
      <c r="I1062" s="12" t="inlineStr">
        <is>
          <t>否</t>
        </is>
      </c>
      <c r="J1062" s="34" t="n">
        <v>45478</v>
      </c>
      <c r="K1062" s="34" t="n">
        <v>45565</v>
      </c>
      <c r="L1062" s="0">
        <f>DATEDIF(J1062,$L$1,"M")</f>
        <v/>
      </c>
      <c r="M1062" s="0">
        <f>IF(L1062&lt;18,"新品期",IF(L1062&lt;=36,"老品期","衰退期"))</f>
        <v/>
      </c>
      <c r="N1062" s="15" t="inlineStr">
        <is>
          <t>25年5月前胡娟娟负责</t>
        </is>
      </c>
    </row>
    <row r="1063" ht="15" customFormat="1" customHeight="1" s="36">
      <c r="A1063" s="4" t="inlineStr">
        <is>
          <t>Wintap-US</t>
        </is>
      </c>
      <c r="B1063" s="4" t="inlineStr">
        <is>
          <t>Wintap美国站</t>
        </is>
      </c>
      <c r="C1063" s="4">
        <f>B1063&amp;D1063</f>
        <v/>
      </c>
      <c r="D1063" s="4" t="inlineStr">
        <is>
          <t>WT-9807BNZZ02</t>
        </is>
      </c>
      <c r="E1063" s="4" t="inlineStr">
        <is>
          <t>221F0098BN1</t>
        </is>
      </c>
      <c r="F1063" s="4" t="inlineStr">
        <is>
          <t>98系列三件套缸边浴缸龙头拉丝封油</t>
        </is>
      </c>
      <c r="G1063" s="4" t="inlineStr">
        <is>
          <t>陈巧娴</t>
        </is>
      </c>
      <c r="H1063" s="4" t="inlineStr">
        <is>
          <t>缸边浴缸</t>
        </is>
      </c>
      <c r="I1063" s="12" t="inlineStr">
        <is>
          <t>否</t>
        </is>
      </c>
      <c r="J1063" s="34" t="n">
        <v>45615</v>
      </c>
      <c r="K1063" s="34" t="n">
        <v>45615</v>
      </c>
      <c r="L1063" s="0">
        <f>DATEDIF(J1063,$L$1,"M")</f>
        <v/>
      </c>
      <c r="M1063" s="0">
        <f>IF(L1063&lt;18,"新品期",IF(L1063&lt;=36,"老品期","衰退期"))</f>
        <v/>
      </c>
      <c r="N1063" s="15" t="inlineStr">
        <is>
          <t>25年5月前胡娟娟负责</t>
        </is>
      </c>
    </row>
    <row r="1064" ht="15" customFormat="1" customHeight="1" s="36">
      <c r="A1064" s="4" t="inlineStr">
        <is>
          <t>Wintap-CA</t>
        </is>
      </c>
      <c r="B1064" s="4" t="inlineStr">
        <is>
          <t>Wintap加拿大站</t>
        </is>
      </c>
      <c r="C1064" s="4">
        <f>B1064&amp;D1064</f>
        <v/>
      </c>
      <c r="D1064" s="4" t="inlineStr">
        <is>
          <t>WT-9807BNZZ02</t>
        </is>
      </c>
      <c r="E1064" s="4" t="inlineStr">
        <is>
          <t>221F0098BN1</t>
        </is>
      </c>
      <c r="F1064" s="4" t="inlineStr">
        <is>
          <t>98系列三件套缸边浴缸龙头拉丝封油</t>
        </is>
      </c>
      <c r="G1064" s="4" t="inlineStr">
        <is>
          <t>陈巧娴</t>
        </is>
      </c>
      <c r="H1064" s="4" t="inlineStr">
        <is>
          <t>缸边浴缸</t>
        </is>
      </c>
      <c r="I1064" s="12" t="inlineStr">
        <is>
          <t>否</t>
        </is>
      </c>
      <c r="J1064" s="34" t="n">
        <v>45615</v>
      </c>
      <c r="K1064" s="34" t="n">
        <v>45615</v>
      </c>
      <c r="L1064" s="0">
        <f>DATEDIF(J1064,$L$1,"M")</f>
        <v/>
      </c>
      <c r="M1064" s="0">
        <f>IF(L1064&lt;18,"新品期",IF(L1064&lt;=36,"老品期","衰退期"))</f>
        <v/>
      </c>
      <c r="N1064" s="15" t="inlineStr">
        <is>
          <t>25年5月前胡娟娟负责</t>
        </is>
      </c>
    </row>
    <row r="1065" ht="15" customFormat="1" customHeight="1" s="36">
      <c r="A1065" s="4" t="inlineStr">
        <is>
          <t>Wintap-BR</t>
        </is>
      </c>
      <c r="B1065" s="4" t="inlineStr">
        <is>
          <t>Wintap巴西站</t>
        </is>
      </c>
      <c r="C1065" s="4">
        <f>B1065&amp;D1065</f>
        <v/>
      </c>
      <c r="D1065" s="4" t="inlineStr">
        <is>
          <t>WT-9807BNZZ02</t>
        </is>
      </c>
      <c r="E1065" s="4" t="inlineStr">
        <is>
          <t>221F0098BN1</t>
        </is>
      </c>
      <c r="F1065" s="4" t="inlineStr">
        <is>
          <t>98系列三件套缸边浴缸龙头拉丝封油</t>
        </is>
      </c>
      <c r="G1065" s="4" t="inlineStr">
        <is>
          <t>陈巧娴</t>
        </is>
      </c>
      <c r="H1065" s="4" t="inlineStr">
        <is>
          <t>缸边浴缸</t>
        </is>
      </c>
      <c r="I1065" s="12" t="inlineStr">
        <is>
          <t>否</t>
        </is>
      </c>
      <c r="J1065" s="34" t="n">
        <v>45615</v>
      </c>
      <c r="K1065" s="34" t="n">
        <v>45615</v>
      </c>
      <c r="L1065" s="0">
        <f>DATEDIF(J1065,$L$1,"M")</f>
        <v/>
      </c>
      <c r="M1065" s="0">
        <f>IF(L1065&lt;18,"新品期",IF(L1065&lt;=36,"老品期","衰退期"))</f>
        <v/>
      </c>
      <c r="N1065" s="15" t="inlineStr">
        <is>
          <t>25年5月前胡娟娟负责</t>
        </is>
      </c>
    </row>
    <row r="1066" ht="15" customFormat="1" customHeight="1" s="36">
      <c r="A1066" s="4" t="inlineStr">
        <is>
          <t>Wintap-US</t>
        </is>
      </c>
      <c r="B1066" s="4" t="inlineStr">
        <is>
          <t>Wintap美国站</t>
        </is>
      </c>
      <c r="C1066" s="4">
        <f>B1066&amp;D1066</f>
        <v/>
      </c>
      <c r="D1066" s="4" t="inlineStr">
        <is>
          <t>WT-9807BNZZ03</t>
        </is>
      </c>
      <c r="E1066" s="4" t="inlineStr">
        <is>
          <t>221F0098BN1</t>
        </is>
      </c>
      <c r="F1066" s="4" t="inlineStr">
        <is>
          <t>98系列三件套缸边浴缸龙头拉丝封油</t>
        </is>
      </c>
      <c r="G1066" s="4" t="inlineStr">
        <is>
          <t>陈巧娴</t>
        </is>
      </c>
      <c r="H1066" s="4" t="inlineStr">
        <is>
          <t>缸边浴缸</t>
        </is>
      </c>
      <c r="I1066" s="12" t="inlineStr">
        <is>
          <t>否</t>
        </is>
      </c>
      <c r="J1066" s="34" t="n">
        <v>45615</v>
      </c>
      <c r="K1066" s="34" t="n">
        <v>45615</v>
      </c>
      <c r="L1066" s="0">
        <f>DATEDIF(J1066,$L$1,"M")</f>
        <v/>
      </c>
      <c r="M1066" s="0">
        <f>IF(L1066&lt;18,"新品期",IF(L1066&lt;=36,"老品期","衰退期"))</f>
        <v/>
      </c>
      <c r="N1066" s="15" t="inlineStr">
        <is>
          <t>25年5月前胡娟娟负责</t>
        </is>
      </c>
    </row>
    <row r="1067" ht="15" customFormat="1" customHeight="1" s="36">
      <c r="A1067" s="4" t="inlineStr">
        <is>
          <t>Wintap-CA</t>
        </is>
      </c>
      <c r="B1067" s="4" t="inlineStr">
        <is>
          <t>Wintap加拿大站</t>
        </is>
      </c>
      <c r="C1067" s="4">
        <f>B1067&amp;D1067</f>
        <v/>
      </c>
      <c r="D1067" s="4" t="inlineStr">
        <is>
          <t>WT-9807BNZZ03</t>
        </is>
      </c>
      <c r="E1067" s="4" t="inlineStr">
        <is>
          <t>221F0098BN1</t>
        </is>
      </c>
      <c r="F1067" s="4" t="inlineStr">
        <is>
          <t>98系列三件套缸边浴缸龙头拉丝封油</t>
        </is>
      </c>
      <c r="G1067" s="4" t="inlineStr">
        <is>
          <t>陈巧娴</t>
        </is>
      </c>
      <c r="H1067" s="4" t="inlineStr">
        <is>
          <t>缸边浴缸</t>
        </is>
      </c>
      <c r="I1067" s="12" t="inlineStr">
        <is>
          <t>否</t>
        </is>
      </c>
      <c r="J1067" s="34" t="n">
        <v>45615</v>
      </c>
      <c r="K1067" s="34" t="n">
        <v>45615</v>
      </c>
      <c r="L1067" s="0">
        <f>DATEDIF(J1067,$L$1,"M")</f>
        <v/>
      </c>
      <c r="M1067" s="0">
        <f>IF(L1067&lt;18,"新品期",IF(L1067&lt;=36,"老品期","衰退期"))</f>
        <v/>
      </c>
      <c r="N1067" s="15" t="inlineStr">
        <is>
          <t>25年5月前胡娟娟负责</t>
        </is>
      </c>
    </row>
    <row r="1068" ht="15" customFormat="1" customHeight="1" s="36">
      <c r="A1068" s="4" t="inlineStr">
        <is>
          <t>Wintap-BR</t>
        </is>
      </c>
      <c r="B1068" s="4" t="inlineStr">
        <is>
          <t>Wintap巴西站</t>
        </is>
      </c>
      <c r="C1068" s="4">
        <f>B1068&amp;D1068</f>
        <v/>
      </c>
      <c r="D1068" s="4" t="inlineStr">
        <is>
          <t>WT-9807BNZZ03</t>
        </is>
      </c>
      <c r="E1068" s="4" t="inlineStr">
        <is>
          <t>221F0098BN1</t>
        </is>
      </c>
      <c r="F1068" s="4" t="inlineStr">
        <is>
          <t>98系列三件套缸边浴缸龙头拉丝封油</t>
        </is>
      </c>
      <c r="G1068" s="4" t="inlineStr">
        <is>
          <t>陈巧娴</t>
        </is>
      </c>
      <c r="H1068" s="4" t="inlineStr">
        <is>
          <t>缸边浴缸</t>
        </is>
      </c>
      <c r="I1068" s="12" t="inlineStr">
        <is>
          <t>否</t>
        </is>
      </c>
      <c r="J1068" s="34" t="n">
        <v>45615</v>
      </c>
      <c r="K1068" s="34" t="n">
        <v>45615</v>
      </c>
      <c r="L1068" s="0">
        <f>DATEDIF(J1068,$L$1,"M")</f>
        <v/>
      </c>
      <c r="M1068" s="0">
        <f>IF(L1068&lt;18,"新品期",IF(L1068&lt;=36,"老品期","衰退期"))</f>
        <v/>
      </c>
      <c r="N1068" s="15" t="inlineStr">
        <is>
          <t>25年5月前胡娟娟负责</t>
        </is>
      </c>
    </row>
    <row r="1069" ht="15" customFormat="1" customHeight="1" s="36">
      <c r="A1069" s="4" t="inlineStr">
        <is>
          <t>Wintap-US</t>
        </is>
      </c>
      <c r="B1069" s="4" t="inlineStr">
        <is>
          <t>Wintap美国站</t>
        </is>
      </c>
      <c r="C1069" s="4">
        <f>B1069&amp;D1069</f>
        <v/>
      </c>
      <c r="D1069" s="4" t="inlineStr">
        <is>
          <t>WT-9807CP</t>
        </is>
      </c>
      <c r="E1069" s="4" t="inlineStr">
        <is>
          <t>221F0098CP1</t>
        </is>
      </c>
      <c r="F1069" s="4" t="inlineStr">
        <is>
          <t>98系列三件套缸边浴缸龙头铬</t>
        </is>
      </c>
      <c r="G1069" s="4" t="inlineStr">
        <is>
          <t>陈巧娴</t>
        </is>
      </c>
      <c r="H1069" s="4" t="inlineStr">
        <is>
          <t>缸边浴缸</t>
        </is>
      </c>
      <c r="I1069" s="12" t="inlineStr">
        <is>
          <t>否</t>
        </is>
      </c>
      <c r="J1069" s="34" t="n">
        <v>45565</v>
      </c>
      <c r="K1069" s="34" t="n">
        <v>45565</v>
      </c>
      <c r="L1069" s="0">
        <f>DATEDIF(J1069,$L$1,"M")</f>
        <v/>
      </c>
      <c r="M1069" s="0">
        <f>IF(L1069&lt;18,"新品期",IF(L1069&lt;=36,"老品期","衰退期"))</f>
        <v/>
      </c>
      <c r="N1069" s="15" t="inlineStr">
        <is>
          <t>25年5月前胡娟娟负责</t>
        </is>
      </c>
    </row>
    <row r="1070" ht="15" customFormat="1" customHeight="1" s="36">
      <c r="A1070" s="4" t="inlineStr">
        <is>
          <t>Wintap-US</t>
        </is>
      </c>
      <c r="B1070" s="4" t="inlineStr">
        <is>
          <t>Wintap美国站</t>
        </is>
      </c>
      <c r="C1070" s="4">
        <f>B1070&amp;D1070</f>
        <v/>
      </c>
      <c r="D1070" s="4" t="inlineStr">
        <is>
          <t>WT-9807CP02</t>
        </is>
      </c>
      <c r="E1070" s="4" t="inlineStr">
        <is>
          <t>221F0098CP1</t>
        </is>
      </c>
      <c r="F1070" s="4" t="inlineStr">
        <is>
          <t>98系列三件套缸边浴缸龙头铬</t>
        </is>
      </c>
      <c r="G1070" s="4" t="inlineStr">
        <is>
          <t>陈巧娴</t>
        </is>
      </c>
      <c r="H1070" s="4" t="inlineStr">
        <is>
          <t>缸边浴缸</t>
        </is>
      </c>
      <c r="I1070" s="12" t="inlineStr">
        <is>
          <t>否</t>
        </is>
      </c>
      <c r="J1070" s="34" t="n">
        <v>45565</v>
      </c>
      <c r="K1070" s="34" t="n">
        <v>45565</v>
      </c>
      <c r="L1070" s="0">
        <f>DATEDIF(J1070,$L$1,"M")</f>
        <v/>
      </c>
      <c r="M1070" s="0">
        <f>IF(L1070&lt;18,"新品期",IF(L1070&lt;=36,"老品期","衰退期"))</f>
        <v/>
      </c>
      <c r="N1070" s="15" t="inlineStr">
        <is>
          <t>25年5月前胡娟娟负责</t>
        </is>
      </c>
    </row>
    <row r="1071" ht="15" customFormat="1" customHeight="1" s="36">
      <c r="A1071" s="4" t="inlineStr">
        <is>
          <t>Wintap-US</t>
        </is>
      </c>
      <c r="B1071" s="4" t="inlineStr">
        <is>
          <t>Wintap美国站</t>
        </is>
      </c>
      <c r="C1071" s="4">
        <f>B1071&amp;D1071</f>
        <v/>
      </c>
      <c r="D1071" s="4" t="inlineStr">
        <is>
          <t>WT-9807CPZZ</t>
        </is>
      </c>
      <c r="E1071" s="4" t="inlineStr">
        <is>
          <t>221F0098CP1</t>
        </is>
      </c>
      <c r="F1071" s="4" t="inlineStr">
        <is>
          <t>98系列三件套缸边浴缸龙头铬</t>
        </is>
      </c>
      <c r="G1071" s="4" t="inlineStr">
        <is>
          <t>陈巧娴</t>
        </is>
      </c>
      <c r="H1071" s="4" t="inlineStr">
        <is>
          <t>缸边浴缸</t>
        </is>
      </c>
      <c r="I1071" s="12" t="inlineStr">
        <is>
          <t>否</t>
        </is>
      </c>
      <c r="J1071" s="34" t="n">
        <v>45692</v>
      </c>
      <c r="K1071" s="34" t="n">
        <v>45692</v>
      </c>
      <c r="L1071" s="0">
        <f>DATEDIF(J1071,$L$1,"M")</f>
        <v/>
      </c>
      <c r="M1071" s="0">
        <f>IF(L1071&lt;18,"新品期",IF(L1071&lt;=36,"老品期","衰退期"))</f>
        <v/>
      </c>
      <c r="N1071" s="15" t="inlineStr">
        <is>
          <t>25年5月前胡娟娟负责</t>
        </is>
      </c>
    </row>
    <row r="1072" ht="15" customFormat="1" customHeight="1" s="36">
      <c r="A1072" s="4" t="inlineStr">
        <is>
          <t>Wintap-US</t>
        </is>
      </c>
      <c r="B1072" s="4" t="inlineStr">
        <is>
          <t>Wintap美国站</t>
        </is>
      </c>
      <c r="C1072" s="4">
        <f>B1072&amp;D1072</f>
        <v/>
      </c>
      <c r="D1072" s="4" t="inlineStr">
        <is>
          <t>WT-9807CPZZ02</t>
        </is>
      </c>
      <c r="E1072" s="4" t="inlineStr">
        <is>
          <t>221F0098CP1</t>
        </is>
      </c>
      <c r="F1072" s="4" t="inlineStr">
        <is>
          <t>98系列三件套缸边浴缸龙头铬</t>
        </is>
      </c>
      <c r="G1072" s="4" t="inlineStr">
        <is>
          <t>陈巧娴</t>
        </is>
      </c>
      <c r="H1072" s="4" t="inlineStr">
        <is>
          <t>缸边浴缸</t>
        </is>
      </c>
      <c r="I1072" s="12" t="inlineStr">
        <is>
          <t>否</t>
        </is>
      </c>
      <c r="J1072" s="34" t="n">
        <v>45692</v>
      </c>
      <c r="K1072" s="34" t="n">
        <v>45692</v>
      </c>
      <c r="L1072" s="0">
        <f>DATEDIF(J1072,$L$1,"M")</f>
        <v/>
      </c>
      <c r="M1072" s="0">
        <f>IF(L1072&lt;18,"新品期",IF(L1072&lt;=36,"老品期","衰退期"))</f>
        <v/>
      </c>
      <c r="N1072" s="15" t="inlineStr">
        <is>
          <t>25年5月前胡娟娟负责</t>
        </is>
      </c>
    </row>
    <row r="1073" ht="15" customFormat="1" customHeight="1" s="36">
      <c r="A1073" s="4" t="inlineStr">
        <is>
          <t>Wintap-CA</t>
        </is>
      </c>
      <c r="B1073" s="4" t="inlineStr">
        <is>
          <t>Wintap加拿大站</t>
        </is>
      </c>
      <c r="C1073" s="4">
        <f>B1073&amp;D1073</f>
        <v/>
      </c>
      <c r="D1073" s="4" t="inlineStr">
        <is>
          <t>WT-9807CPZZ02</t>
        </is>
      </c>
      <c r="E1073" s="4" t="inlineStr">
        <is>
          <t>221F0098CP1</t>
        </is>
      </c>
      <c r="F1073" s="4" t="inlineStr">
        <is>
          <t>98系列三件套缸边浴缸龙头铬</t>
        </is>
      </c>
      <c r="G1073" s="4" t="inlineStr">
        <is>
          <t>陈巧娴</t>
        </is>
      </c>
      <c r="H1073" s="4" t="inlineStr">
        <is>
          <t>缸边浴缸</t>
        </is>
      </c>
      <c r="I1073" s="12" t="inlineStr">
        <is>
          <t>否</t>
        </is>
      </c>
      <c r="J1073" s="34" t="n">
        <v>45692</v>
      </c>
      <c r="K1073" s="34" t="n">
        <v>45692</v>
      </c>
      <c r="L1073" s="0">
        <f>DATEDIF(J1073,$L$1,"M")</f>
        <v/>
      </c>
      <c r="M1073" s="0">
        <f>IF(L1073&lt;18,"新品期",IF(L1073&lt;=36,"老品期","衰退期"))</f>
        <v/>
      </c>
      <c r="N1073" s="15" t="inlineStr">
        <is>
          <t>25年5月前胡娟娟负责</t>
        </is>
      </c>
    </row>
    <row r="1074" ht="15" customFormat="1" customHeight="1" s="36">
      <c r="A1074" s="4" t="inlineStr">
        <is>
          <t>Wintap-BR</t>
        </is>
      </c>
      <c r="B1074" s="4" t="inlineStr">
        <is>
          <t>Wintap巴西站</t>
        </is>
      </c>
      <c r="C1074" s="4">
        <f>B1074&amp;D1074</f>
        <v/>
      </c>
      <c r="D1074" s="4" t="inlineStr">
        <is>
          <t>WT-9807CPZZ02</t>
        </is>
      </c>
      <c r="E1074" s="4" t="inlineStr">
        <is>
          <t>221F0098CP1</t>
        </is>
      </c>
      <c r="F1074" s="4" t="inlineStr">
        <is>
          <t>98系列三件套缸边浴缸龙头铬</t>
        </is>
      </c>
      <c r="G1074" s="4" t="inlineStr">
        <is>
          <t>陈巧娴</t>
        </is>
      </c>
      <c r="H1074" s="4" t="inlineStr">
        <is>
          <t>缸边浴缸</t>
        </is>
      </c>
      <c r="I1074" s="12" t="inlineStr">
        <is>
          <t>否</t>
        </is>
      </c>
      <c r="J1074" s="34" t="n">
        <v>45692</v>
      </c>
      <c r="K1074" s="34" t="n">
        <v>45692</v>
      </c>
      <c r="L1074" s="0">
        <f>DATEDIF(J1074,$L$1,"M")</f>
        <v/>
      </c>
      <c r="M1074" s="0">
        <f>IF(L1074&lt;18,"新品期",IF(L1074&lt;=36,"老品期","衰退期"))</f>
        <v/>
      </c>
      <c r="N1074" s="15" t="inlineStr">
        <is>
          <t>25年5月前胡娟娟负责</t>
        </is>
      </c>
    </row>
    <row r="1075" ht="15" customFormat="1" customHeight="1" s="36">
      <c r="A1075" s="4" t="inlineStr">
        <is>
          <t>Wintap-US</t>
        </is>
      </c>
      <c r="B1075" s="4" t="inlineStr">
        <is>
          <t>Wintap美国站</t>
        </is>
      </c>
      <c r="C1075" s="4">
        <f>B1075&amp;D1075</f>
        <v/>
      </c>
      <c r="D1075" s="4" t="inlineStr">
        <is>
          <t>WT-9807CPZZ03</t>
        </is>
      </c>
      <c r="E1075" s="4" t="inlineStr">
        <is>
          <t>221F0098CP1</t>
        </is>
      </c>
      <c r="F1075" s="4" t="inlineStr">
        <is>
          <t>98系列三件套缸边浴缸龙头铬</t>
        </is>
      </c>
      <c r="G1075" s="4" t="inlineStr">
        <is>
          <t>陈巧娴</t>
        </is>
      </c>
      <c r="H1075" s="4" t="inlineStr">
        <is>
          <t>缸边浴缸</t>
        </is>
      </c>
      <c r="I1075" s="12" t="inlineStr">
        <is>
          <t>否</t>
        </is>
      </c>
      <c r="J1075" s="34" t="n">
        <v>45692</v>
      </c>
      <c r="K1075" s="34" t="n">
        <v>45692</v>
      </c>
      <c r="L1075" s="0">
        <f>DATEDIF(J1075,$L$1,"M")</f>
        <v/>
      </c>
      <c r="M1075" s="0">
        <f>IF(L1075&lt;18,"新品期",IF(L1075&lt;=36,"老品期","衰退期"))</f>
        <v/>
      </c>
      <c r="N1075" s="15" t="inlineStr">
        <is>
          <t>25年5月前胡娟娟负责</t>
        </is>
      </c>
    </row>
    <row r="1076" ht="15" customFormat="1" customHeight="1" s="36">
      <c r="A1076" s="4" t="inlineStr">
        <is>
          <t>Wintap-US</t>
        </is>
      </c>
      <c r="B1076" s="4" t="inlineStr">
        <is>
          <t>Wintap美国站</t>
        </is>
      </c>
      <c r="C1076" s="4">
        <f>B1076&amp;D1076</f>
        <v/>
      </c>
      <c r="D1076" s="4" t="inlineStr">
        <is>
          <t>WT-9807ORB</t>
        </is>
      </c>
      <c r="E1076" s="4" t="inlineStr">
        <is>
          <t>221F0098OB1</t>
        </is>
      </c>
      <c r="F1076" s="4" t="inlineStr">
        <is>
          <t>98系列三件套缸边浴缸龙头 拉丝古铜色</t>
        </is>
      </c>
      <c r="G1076" s="4" t="inlineStr">
        <is>
          <t>陈巧娴</t>
        </is>
      </c>
      <c r="H1076" s="4" t="inlineStr">
        <is>
          <t>缸边浴缸</t>
        </is>
      </c>
      <c r="I1076" s="12" t="inlineStr">
        <is>
          <t>否</t>
        </is>
      </c>
      <c r="J1076" s="34" t="n">
        <v>45478</v>
      </c>
      <c r="K1076" s="34" t="n">
        <v>45565</v>
      </c>
      <c r="L1076" s="0">
        <f>DATEDIF(J1076,$L$1,"M")</f>
        <v/>
      </c>
      <c r="M1076" s="0">
        <f>IF(L1076&lt;18,"新品期",IF(L1076&lt;=36,"老品期","衰退期"))</f>
        <v/>
      </c>
      <c r="N1076" s="15" t="inlineStr">
        <is>
          <t>25年5月前胡娟娟负责</t>
        </is>
      </c>
    </row>
    <row r="1077" ht="15" customFormat="1" customHeight="1" s="36">
      <c r="A1077" s="4" t="inlineStr">
        <is>
          <t>Wintap-US</t>
        </is>
      </c>
      <c r="B1077" s="4" t="inlineStr">
        <is>
          <t>Wintap美国站</t>
        </is>
      </c>
      <c r="C1077" s="4">
        <f>B1077&amp;D1077</f>
        <v/>
      </c>
      <c r="D1077" s="4" t="inlineStr">
        <is>
          <t>WT-9807ORB02</t>
        </is>
      </c>
      <c r="E1077" s="4" t="inlineStr">
        <is>
          <t>221F0098OB1</t>
        </is>
      </c>
      <c r="F1077" s="4" t="inlineStr">
        <is>
          <t>98系列三件套缸边浴缸龙头 拉丝古铜色</t>
        </is>
      </c>
      <c r="G1077" s="4" t="inlineStr">
        <is>
          <t>陈巧娴</t>
        </is>
      </c>
      <c r="H1077" s="4" t="inlineStr">
        <is>
          <t>缸边浴缸</t>
        </is>
      </c>
      <c r="I1077" s="12" t="inlineStr">
        <is>
          <t>否</t>
        </is>
      </c>
      <c r="J1077" s="34" t="n">
        <v>45478</v>
      </c>
      <c r="K1077" s="34" t="n">
        <v>45565</v>
      </c>
      <c r="L1077" s="0">
        <f>DATEDIF(J1077,$L$1,"M")</f>
        <v/>
      </c>
      <c r="M1077" s="0">
        <f>IF(L1077&lt;18,"新品期",IF(L1077&lt;=36,"老品期","衰退期"))</f>
        <v/>
      </c>
      <c r="N1077" s="15" t="inlineStr">
        <is>
          <t>25年5月前胡娟娟负责</t>
        </is>
      </c>
    </row>
    <row r="1078" ht="15" customFormat="1" customHeight="1" s="36">
      <c r="A1078" s="4" t="inlineStr">
        <is>
          <t>Wintap-CA</t>
        </is>
      </c>
      <c r="B1078" s="4" t="inlineStr">
        <is>
          <t>Wintap加拿大站</t>
        </is>
      </c>
      <c r="C1078" s="4">
        <f>B1078&amp;D1078</f>
        <v/>
      </c>
      <c r="D1078" s="4" t="inlineStr">
        <is>
          <t>WT-9807ORB02</t>
        </is>
      </c>
      <c r="E1078" s="4" t="inlineStr">
        <is>
          <t>221F0098OB1</t>
        </is>
      </c>
      <c r="F1078" s="4" t="inlineStr">
        <is>
          <t>98系列三件套缸边浴缸龙头 拉丝古铜色</t>
        </is>
      </c>
      <c r="G1078" s="4" t="inlineStr">
        <is>
          <t>陈巧娴</t>
        </is>
      </c>
      <c r="H1078" s="4" t="inlineStr">
        <is>
          <t>缸边浴缸</t>
        </is>
      </c>
      <c r="I1078" s="12" t="inlineStr">
        <is>
          <t>否</t>
        </is>
      </c>
      <c r="J1078" s="34" t="n">
        <v>45478</v>
      </c>
      <c r="K1078" s="34" t="n">
        <v>45565</v>
      </c>
      <c r="L1078" s="0">
        <f>DATEDIF(J1078,$L$1,"M")</f>
        <v/>
      </c>
      <c r="M1078" s="0">
        <f>IF(L1078&lt;18,"新品期",IF(L1078&lt;=36,"老品期","衰退期"))</f>
        <v/>
      </c>
      <c r="N1078" s="15" t="inlineStr">
        <is>
          <t>25年5月前胡娟娟负责</t>
        </is>
      </c>
    </row>
    <row r="1079" ht="15" customFormat="1" customHeight="1" s="36">
      <c r="A1079" s="4" t="inlineStr">
        <is>
          <t>Wintap-BR</t>
        </is>
      </c>
      <c r="B1079" s="4" t="inlineStr">
        <is>
          <t>Wintap巴西站</t>
        </is>
      </c>
      <c r="C1079" s="4">
        <f>B1079&amp;D1079</f>
        <v/>
      </c>
      <c r="D1079" s="4" t="inlineStr">
        <is>
          <t>WT-9807ORB02</t>
        </is>
      </c>
      <c r="E1079" s="4" t="inlineStr">
        <is>
          <t>221F0098OB1</t>
        </is>
      </c>
      <c r="F1079" s="4" t="inlineStr">
        <is>
          <t>98系列三件套缸边浴缸龙头 拉丝古铜色</t>
        </is>
      </c>
      <c r="G1079" s="4" t="inlineStr">
        <is>
          <t>陈巧娴</t>
        </is>
      </c>
      <c r="H1079" s="4" t="inlineStr">
        <is>
          <t>缸边浴缸</t>
        </is>
      </c>
      <c r="I1079" s="12" t="inlineStr">
        <is>
          <t>否</t>
        </is>
      </c>
      <c r="J1079" s="34" t="n">
        <v>45478</v>
      </c>
      <c r="K1079" s="34" t="n">
        <v>45565</v>
      </c>
      <c r="L1079" s="0">
        <f>DATEDIF(J1079,$L$1,"M")</f>
        <v/>
      </c>
      <c r="M1079" s="0">
        <f>IF(L1079&lt;18,"新品期",IF(L1079&lt;=36,"老品期","衰退期"))</f>
        <v/>
      </c>
      <c r="N1079" s="15" t="inlineStr">
        <is>
          <t>25年5月前胡娟娟负责</t>
        </is>
      </c>
    </row>
    <row r="1080" ht="15" customFormat="1" customHeight="1" s="36">
      <c r="A1080" s="4" t="inlineStr">
        <is>
          <t>Wintap-US</t>
        </is>
      </c>
      <c r="B1080" s="4" t="inlineStr">
        <is>
          <t>Wintap美国站</t>
        </is>
      </c>
      <c r="C1080" s="4">
        <f>B1080&amp;D1080</f>
        <v/>
      </c>
      <c r="D1080" s="4" t="inlineStr">
        <is>
          <t>WT-9807ORBZZ</t>
        </is>
      </c>
      <c r="E1080" s="4" t="inlineStr">
        <is>
          <t>221F0098OB1</t>
        </is>
      </c>
      <c r="F1080" s="4" t="inlineStr">
        <is>
          <t>98系列三件套缸边浴缸龙头 拉丝古铜色</t>
        </is>
      </c>
      <c r="G1080" s="4" t="inlineStr">
        <is>
          <t>陈巧娴</t>
        </is>
      </c>
      <c r="H1080" s="4" t="inlineStr">
        <is>
          <t>缸边浴缸</t>
        </is>
      </c>
      <c r="I1080" s="12" t="inlineStr">
        <is>
          <t>否</t>
        </is>
      </c>
      <c r="J1080" s="34" t="n">
        <v>45540</v>
      </c>
      <c r="K1080" s="34" t="n">
        <v>45540</v>
      </c>
      <c r="L1080" s="0">
        <f>DATEDIF(J1080,$L$1,"M")</f>
        <v/>
      </c>
      <c r="M1080" s="0">
        <f>IF(L1080&lt;18,"新品期",IF(L1080&lt;=36,"老品期","衰退期"))</f>
        <v/>
      </c>
      <c r="N1080" s="15" t="inlineStr">
        <is>
          <t>25年5月前胡娟娟负责</t>
        </is>
      </c>
    </row>
    <row r="1081" ht="15" customFormat="1" customHeight="1" s="36">
      <c r="A1081" s="4" t="inlineStr">
        <is>
          <t>Wintap-CA</t>
        </is>
      </c>
      <c r="B1081" s="4" t="inlineStr">
        <is>
          <t>Wintap加拿大站</t>
        </is>
      </c>
      <c r="C1081" s="4">
        <f>B1081&amp;D1081</f>
        <v/>
      </c>
      <c r="D1081" s="4" t="inlineStr">
        <is>
          <t>WT-9807ORBZZ</t>
        </is>
      </c>
      <c r="E1081" s="4" t="inlineStr">
        <is>
          <t>221F0098OB1</t>
        </is>
      </c>
      <c r="F1081" s="4" t="inlineStr">
        <is>
          <t>98系列三件套缸边浴缸龙头 拉丝古铜色</t>
        </is>
      </c>
      <c r="G1081" s="4" t="inlineStr">
        <is>
          <t>陈巧娴</t>
        </is>
      </c>
      <c r="H1081" s="4" t="inlineStr">
        <is>
          <t>缸边浴缸</t>
        </is>
      </c>
      <c r="I1081" s="12" t="inlineStr">
        <is>
          <t>否</t>
        </is>
      </c>
      <c r="J1081" s="34" t="n">
        <v>45540</v>
      </c>
      <c r="K1081" s="34" t="n">
        <v>45540</v>
      </c>
      <c r="L1081" s="0">
        <f>DATEDIF(J1081,$L$1,"M")</f>
        <v/>
      </c>
      <c r="M1081" s="0">
        <f>IF(L1081&lt;18,"新品期",IF(L1081&lt;=36,"老品期","衰退期"))</f>
        <v/>
      </c>
      <c r="N1081" s="15" t="inlineStr">
        <is>
          <t>25年5月前胡娟娟负责</t>
        </is>
      </c>
    </row>
    <row r="1082" ht="15" customFormat="1" customHeight="1" s="36">
      <c r="A1082" s="4" t="inlineStr">
        <is>
          <t>Wintap-BR</t>
        </is>
      </c>
      <c r="B1082" s="4" t="inlineStr">
        <is>
          <t>Wintap巴西站</t>
        </is>
      </c>
      <c r="C1082" s="4">
        <f>B1082&amp;D1082</f>
        <v/>
      </c>
      <c r="D1082" s="4" t="inlineStr">
        <is>
          <t>WT-9807ORBZZ</t>
        </is>
      </c>
      <c r="E1082" s="4" t="inlineStr">
        <is>
          <t>221F0098OB1</t>
        </is>
      </c>
      <c r="F1082" s="4" t="inlineStr">
        <is>
          <t>98系列三件套缸边浴缸龙头 拉丝古铜色</t>
        </is>
      </c>
      <c r="G1082" s="4" t="inlineStr">
        <is>
          <t>陈巧娴</t>
        </is>
      </c>
      <c r="H1082" s="4" t="inlineStr">
        <is>
          <t>缸边浴缸</t>
        </is>
      </c>
      <c r="I1082" s="12" t="inlineStr">
        <is>
          <t>否</t>
        </is>
      </c>
      <c r="J1082" s="34" t="n">
        <v>45540</v>
      </c>
      <c r="K1082" s="34" t="n">
        <v>45540</v>
      </c>
      <c r="L1082" s="0">
        <f>DATEDIF(J1082,$L$1,"M")</f>
        <v/>
      </c>
      <c r="M1082" s="0">
        <f>IF(L1082&lt;18,"新品期",IF(L1082&lt;=36,"老品期","衰退期"))</f>
        <v/>
      </c>
      <c r="N1082" s="15" t="inlineStr">
        <is>
          <t>25年5月前胡娟娟负责</t>
        </is>
      </c>
    </row>
    <row r="1083" ht="15" customFormat="1" customHeight="1" s="36">
      <c r="A1083" s="4" t="inlineStr">
        <is>
          <t>Wintap-US</t>
        </is>
      </c>
      <c r="B1083" s="4" t="inlineStr">
        <is>
          <t>Wintap美国站</t>
        </is>
      </c>
      <c r="C1083" s="4">
        <f>B1083&amp;D1083</f>
        <v/>
      </c>
      <c r="D1083" s="4" t="inlineStr">
        <is>
          <t>WT-9807ORBZZ02</t>
        </is>
      </c>
      <c r="E1083" s="4" t="inlineStr">
        <is>
          <t>221F0098OB1</t>
        </is>
      </c>
      <c r="F1083" s="4" t="inlineStr">
        <is>
          <t>98系列三件套缸边浴缸龙头 拉丝古铜色</t>
        </is>
      </c>
      <c r="G1083" s="4" t="inlineStr">
        <is>
          <t>陈巧娴</t>
        </is>
      </c>
      <c r="H1083" s="4" t="inlineStr">
        <is>
          <t>缸边浴缸</t>
        </is>
      </c>
      <c r="I1083" s="12" t="inlineStr">
        <is>
          <t>否</t>
        </is>
      </c>
      <c r="J1083" s="34" t="n">
        <v>45540</v>
      </c>
      <c r="K1083" s="34" t="n">
        <v>45540</v>
      </c>
      <c r="L1083" s="0">
        <f>DATEDIF(J1083,$L$1,"M")</f>
        <v/>
      </c>
      <c r="M1083" s="0">
        <f>IF(L1083&lt;18,"新品期",IF(L1083&lt;=36,"老品期","衰退期"))</f>
        <v/>
      </c>
      <c r="N1083" s="15" t="inlineStr">
        <is>
          <t>25年5月前胡娟娟负责</t>
        </is>
      </c>
    </row>
    <row r="1084" ht="15" customFormat="1" customHeight="1" s="36">
      <c r="A1084" s="4" t="inlineStr">
        <is>
          <t>Wintap-CA</t>
        </is>
      </c>
      <c r="B1084" s="4" t="inlineStr">
        <is>
          <t>Wintap加拿大站</t>
        </is>
      </c>
      <c r="C1084" s="4">
        <f>B1084&amp;D1084</f>
        <v/>
      </c>
      <c r="D1084" s="4" t="inlineStr">
        <is>
          <t>WT-9807ORBZZ02</t>
        </is>
      </c>
      <c r="E1084" s="4" t="inlineStr">
        <is>
          <t>221F0098OB1</t>
        </is>
      </c>
      <c r="F1084" s="4" t="inlineStr">
        <is>
          <t>98系列三件套缸边浴缸龙头 拉丝古铜色</t>
        </is>
      </c>
      <c r="G1084" s="4" t="inlineStr">
        <is>
          <t>陈巧娴</t>
        </is>
      </c>
      <c r="H1084" s="4" t="inlineStr">
        <is>
          <t>缸边浴缸</t>
        </is>
      </c>
      <c r="I1084" s="12" t="inlineStr">
        <is>
          <t>否</t>
        </is>
      </c>
      <c r="J1084" s="34" t="n">
        <v>45540</v>
      </c>
      <c r="K1084" s="34" t="n">
        <v>45540</v>
      </c>
      <c r="L1084" s="0">
        <f>DATEDIF(J1084,$L$1,"M")</f>
        <v/>
      </c>
      <c r="M1084" s="0">
        <f>IF(L1084&lt;18,"新品期",IF(L1084&lt;=36,"老品期","衰退期"))</f>
        <v/>
      </c>
      <c r="N1084" s="15" t="inlineStr">
        <is>
          <t>25年5月前胡娟娟负责</t>
        </is>
      </c>
    </row>
    <row r="1085" ht="15" customFormat="1" customHeight="1" s="36">
      <c r="A1085" s="4" t="inlineStr">
        <is>
          <t>Wintap-BR</t>
        </is>
      </c>
      <c r="B1085" s="4" t="inlineStr">
        <is>
          <t>Wintap巴西站</t>
        </is>
      </c>
      <c r="C1085" s="4">
        <f>B1085&amp;D1085</f>
        <v/>
      </c>
      <c r="D1085" s="4" t="inlineStr">
        <is>
          <t>WT-9807ORBZZ02</t>
        </is>
      </c>
      <c r="E1085" s="4" t="inlineStr">
        <is>
          <t>221F0098OB1</t>
        </is>
      </c>
      <c r="F1085" s="4" t="inlineStr">
        <is>
          <t>98系列三件套缸边浴缸龙头 拉丝古铜色</t>
        </is>
      </c>
      <c r="G1085" s="4" t="inlineStr">
        <is>
          <t>陈巧娴</t>
        </is>
      </c>
      <c r="H1085" s="4" t="inlineStr">
        <is>
          <t>缸边浴缸</t>
        </is>
      </c>
      <c r="I1085" s="12" t="inlineStr">
        <is>
          <t>否</t>
        </is>
      </c>
      <c r="J1085" s="34" t="n">
        <v>45540</v>
      </c>
      <c r="K1085" s="34" t="n">
        <v>45540</v>
      </c>
      <c r="L1085" s="0">
        <f>DATEDIF(J1085,$L$1,"M")</f>
        <v/>
      </c>
      <c r="M1085" s="0">
        <f>IF(L1085&lt;18,"新品期",IF(L1085&lt;=36,"老品期","衰退期"))</f>
        <v/>
      </c>
      <c r="N1085" s="15" t="inlineStr">
        <is>
          <t>25年5月前胡娟娟负责</t>
        </is>
      </c>
    </row>
    <row r="1086" ht="15" customFormat="1" customHeight="1" s="36">
      <c r="A1086" s="4" t="inlineStr">
        <is>
          <t>Wintap-US</t>
        </is>
      </c>
      <c r="B1086" s="4" t="inlineStr">
        <is>
          <t>Wintap美国站</t>
        </is>
      </c>
      <c r="C1086" s="4">
        <f>B1086&amp;D1086</f>
        <v/>
      </c>
      <c r="D1086" s="4" t="inlineStr">
        <is>
          <t>WT-9807RGBK</t>
        </is>
      </c>
      <c r="E1086" s="4" t="inlineStr">
        <is>
          <t>221F0098RB1</t>
        </is>
      </c>
      <c r="F1086" s="4" t="inlineStr">
        <is>
          <t>98系列三件套缸边浴缸龙头拉丝玫瑰金+黑色</t>
        </is>
      </c>
      <c r="G1086" s="4" t="inlineStr">
        <is>
          <t>陈巧娴</t>
        </is>
      </c>
      <c r="H1086" s="4" t="inlineStr">
        <is>
          <t>缸边浴缸</t>
        </is>
      </c>
      <c r="I1086" s="22" t="inlineStr">
        <is>
          <t>是</t>
        </is>
      </c>
      <c r="J1086" s="34" t="n">
        <v>45294</v>
      </c>
      <c r="K1086" s="34" t="n">
        <v>45294</v>
      </c>
      <c r="L1086" s="0">
        <f>DATEDIF(J1086,$L$1,"M")</f>
        <v/>
      </c>
      <c r="M1086" s="0">
        <f>IF(L1086&lt;18,"新品期",IF(L1086&lt;=36,"老品期","衰退期"))</f>
        <v/>
      </c>
      <c r="N1086" s="15" t="inlineStr">
        <is>
          <t>25年5月前胡娟娟负责</t>
        </is>
      </c>
    </row>
    <row r="1087" ht="15" customFormat="1" customHeight="1" s="36">
      <c r="A1087" s="4" t="inlineStr">
        <is>
          <t>Wintap-CA</t>
        </is>
      </c>
      <c r="B1087" s="4" t="inlineStr">
        <is>
          <t>Wintap加拿大站</t>
        </is>
      </c>
      <c r="C1087" s="4">
        <f>B1087&amp;D1087</f>
        <v/>
      </c>
      <c r="D1087" s="4" t="inlineStr">
        <is>
          <t>WT-9807RGBK</t>
        </is>
      </c>
      <c r="E1087" s="4" t="inlineStr">
        <is>
          <t>221F0098RB1</t>
        </is>
      </c>
      <c r="F1087" s="4" t="inlineStr">
        <is>
          <t>98系列三件套缸边浴缸龙头拉丝玫瑰金+黑色</t>
        </is>
      </c>
      <c r="G1087" s="4" t="inlineStr">
        <is>
          <t>陈巧娴</t>
        </is>
      </c>
      <c r="H1087" s="4" t="inlineStr">
        <is>
          <t>缸边浴缸</t>
        </is>
      </c>
      <c r="I1087" s="22" t="inlineStr">
        <is>
          <t>是</t>
        </is>
      </c>
      <c r="J1087" s="34" t="n">
        <v>45294</v>
      </c>
      <c r="K1087" s="34" t="n">
        <v>45294</v>
      </c>
      <c r="L1087" s="0">
        <f>DATEDIF(J1087,$L$1,"M")</f>
        <v/>
      </c>
      <c r="M1087" s="0">
        <f>IF(L1087&lt;18,"新品期",IF(L1087&lt;=36,"老品期","衰退期"))</f>
        <v/>
      </c>
      <c r="N1087" s="15" t="inlineStr">
        <is>
          <t>25年5月前胡娟娟负责</t>
        </is>
      </c>
    </row>
    <row r="1088" ht="15" customFormat="1" customHeight="1" s="36">
      <c r="A1088" s="4" t="inlineStr">
        <is>
          <t>Wintap-BR</t>
        </is>
      </c>
      <c r="B1088" s="4" t="inlineStr">
        <is>
          <t>Wintap巴西站</t>
        </is>
      </c>
      <c r="C1088" s="4">
        <f>B1088&amp;D1088</f>
        <v/>
      </c>
      <c r="D1088" s="4" t="inlineStr">
        <is>
          <t>WT-9807RGBK</t>
        </is>
      </c>
      <c r="E1088" s="4" t="inlineStr">
        <is>
          <t>221F0098RB1</t>
        </is>
      </c>
      <c r="F1088" s="4" t="inlineStr">
        <is>
          <t>98系列三件套缸边浴缸龙头拉丝玫瑰金+黑色</t>
        </is>
      </c>
      <c r="G1088" s="4" t="inlineStr">
        <is>
          <t>陈巧娴</t>
        </is>
      </c>
      <c r="H1088" s="4" t="inlineStr">
        <is>
          <t>缸边浴缸</t>
        </is>
      </c>
      <c r="I1088" s="22" t="inlineStr">
        <is>
          <t>是</t>
        </is>
      </c>
      <c r="J1088" s="34" t="n">
        <v>45294</v>
      </c>
      <c r="K1088" s="34" t="n">
        <v>45294</v>
      </c>
      <c r="L1088" s="0">
        <f>DATEDIF(J1088,$L$1,"M")</f>
        <v/>
      </c>
      <c r="M1088" s="0">
        <f>IF(L1088&lt;18,"新品期",IF(L1088&lt;=36,"老品期","衰退期"))</f>
        <v/>
      </c>
      <c r="N1088" s="15" t="inlineStr">
        <is>
          <t>25年5月前胡娟娟负责</t>
        </is>
      </c>
    </row>
    <row r="1089" ht="15" customFormat="1" customHeight="1" s="36">
      <c r="A1089" s="4" t="inlineStr">
        <is>
          <t>Wintap-US</t>
        </is>
      </c>
      <c r="B1089" s="4" t="inlineStr">
        <is>
          <t>Wintap美国站</t>
        </is>
      </c>
      <c r="C1089" s="4">
        <f>B1089&amp;D1089</f>
        <v/>
      </c>
      <c r="D1089" s="4" t="inlineStr">
        <is>
          <t>WT-9808BG</t>
        </is>
      </c>
      <c r="E1089" s="4" t="inlineStr">
        <is>
          <t>222F0098BG1</t>
        </is>
      </c>
      <c r="F1089" s="4" t="inlineStr">
        <is>
          <t>98系列四件套缸边浴缸龙头拉丝钛金封油</t>
        </is>
      </c>
      <c r="G1089" s="4" t="inlineStr">
        <is>
          <t>陈巧娴</t>
        </is>
      </c>
      <c r="H1089" s="4" t="inlineStr">
        <is>
          <t>缸边浴缸</t>
        </is>
      </c>
      <c r="I1089" s="12" t="inlineStr">
        <is>
          <t>否</t>
        </is>
      </c>
      <c r="J1089" s="34" t="n">
        <v>45223</v>
      </c>
      <c r="K1089" s="34" t="n">
        <v>45223</v>
      </c>
      <c r="L1089" s="0">
        <f>DATEDIF(J1089,$L$1,"M")</f>
        <v/>
      </c>
      <c r="M1089" s="0">
        <f>IF(L1089&lt;18,"新品期",IF(L1089&lt;=36,"老品期","衰退期"))</f>
        <v/>
      </c>
      <c r="N1089" s="15" t="inlineStr">
        <is>
          <t>25年5月前胡娟娟负责</t>
        </is>
      </c>
    </row>
    <row r="1090" ht="15" customFormat="1" customHeight="1" s="36">
      <c r="A1090" s="4" t="inlineStr">
        <is>
          <t>Wintap-CA</t>
        </is>
      </c>
      <c r="B1090" s="4" t="inlineStr">
        <is>
          <t>Wintap加拿大站</t>
        </is>
      </c>
      <c r="C1090" s="4">
        <f>B1090&amp;D1090</f>
        <v/>
      </c>
      <c r="D1090" s="4" t="inlineStr">
        <is>
          <t>WT-9808BG</t>
        </is>
      </c>
      <c r="E1090" s="4" t="inlineStr">
        <is>
          <t>222F0098BG1</t>
        </is>
      </c>
      <c r="F1090" s="4" t="inlineStr">
        <is>
          <t>98系列四件套缸边浴缸龙头拉丝钛金封油</t>
        </is>
      </c>
      <c r="G1090" s="4" t="inlineStr">
        <is>
          <t>陈巧娴</t>
        </is>
      </c>
      <c r="H1090" s="4" t="inlineStr">
        <is>
          <t>缸边浴缸</t>
        </is>
      </c>
      <c r="I1090" s="12" t="inlineStr">
        <is>
          <t>否</t>
        </is>
      </c>
      <c r="J1090" s="34" t="n">
        <v>45223</v>
      </c>
      <c r="K1090" s="34" t="n">
        <v>45223</v>
      </c>
      <c r="L1090" s="0">
        <f>DATEDIF(J1090,$L$1,"M")</f>
        <v/>
      </c>
      <c r="M1090" s="0">
        <f>IF(L1090&lt;18,"新品期",IF(L1090&lt;=36,"老品期","衰退期"))</f>
        <v/>
      </c>
      <c r="N1090" s="15" t="inlineStr">
        <is>
          <t>25年5月前胡娟娟负责</t>
        </is>
      </c>
    </row>
    <row r="1091" ht="15" customFormat="1" customHeight="1" s="36">
      <c r="A1091" s="4" t="inlineStr">
        <is>
          <t>Wintap-MX</t>
        </is>
      </c>
      <c r="B1091" s="4" t="inlineStr">
        <is>
          <t>Wintap墨西哥站</t>
        </is>
      </c>
      <c r="C1091" s="4">
        <f>B1091&amp;D1091</f>
        <v/>
      </c>
      <c r="D1091" s="4" t="inlineStr">
        <is>
          <t>WT-9808BG</t>
        </is>
      </c>
      <c r="E1091" s="4" t="inlineStr">
        <is>
          <t>222F0098BG1</t>
        </is>
      </c>
      <c r="F1091" s="4" t="inlineStr">
        <is>
          <t>98系列四件套缸边浴缸龙头拉丝钛金封油</t>
        </is>
      </c>
      <c r="G1091" s="4" t="inlineStr">
        <is>
          <t>陈巧娴</t>
        </is>
      </c>
      <c r="H1091" s="4" t="inlineStr">
        <is>
          <t>缸边浴缸</t>
        </is>
      </c>
      <c r="I1091" s="12" t="inlineStr">
        <is>
          <t>否</t>
        </is>
      </c>
      <c r="J1091" s="34" t="n">
        <v>45223</v>
      </c>
      <c r="K1091" s="34" t="n">
        <v>45223</v>
      </c>
      <c r="L1091" s="0">
        <f>DATEDIF(J1091,$L$1,"M")</f>
        <v/>
      </c>
      <c r="M1091" s="0">
        <f>IF(L1091&lt;18,"新品期",IF(L1091&lt;=36,"老品期","衰退期"))</f>
        <v/>
      </c>
      <c r="N1091" s="15" t="inlineStr">
        <is>
          <t>25年5月前胡娟娟负责</t>
        </is>
      </c>
    </row>
    <row r="1092" ht="15" customFormat="1" customHeight="1" s="36">
      <c r="A1092" s="4" t="inlineStr">
        <is>
          <t>Wintap-US</t>
        </is>
      </c>
      <c r="B1092" s="4" t="inlineStr">
        <is>
          <t>Wintap美国站</t>
        </is>
      </c>
      <c r="C1092" s="4">
        <f>B1092&amp;D1092</f>
        <v/>
      </c>
      <c r="D1092" s="4" t="inlineStr">
        <is>
          <t>WT-9808BG02</t>
        </is>
      </c>
      <c r="E1092" s="4" t="inlineStr">
        <is>
          <t>222F0098BG1</t>
        </is>
      </c>
      <c r="F1092" s="4" t="inlineStr">
        <is>
          <t>98系列四件套缸边浴缸龙头拉丝钛金封油</t>
        </is>
      </c>
      <c r="G1092" s="4" t="inlineStr">
        <is>
          <t>陈巧娴</t>
        </is>
      </c>
      <c r="H1092" s="4" t="inlineStr">
        <is>
          <t>缸边浴缸</t>
        </is>
      </c>
      <c r="I1092" s="12" t="inlineStr">
        <is>
          <t>否</t>
        </is>
      </c>
      <c r="J1092" s="34" t="n">
        <v>45223</v>
      </c>
      <c r="K1092" s="34" t="n">
        <v>45223</v>
      </c>
      <c r="L1092" s="0">
        <f>DATEDIF(J1092,$L$1,"M")</f>
        <v/>
      </c>
      <c r="M1092" s="0">
        <f>IF(L1092&lt;18,"新品期",IF(L1092&lt;=36,"老品期","衰退期"))</f>
        <v/>
      </c>
      <c r="N1092" s="15" t="inlineStr">
        <is>
          <t>25年5月前胡娟娟负责</t>
        </is>
      </c>
    </row>
    <row r="1093" ht="15" customFormat="1" customHeight="1" s="36">
      <c r="A1093" s="4" t="inlineStr">
        <is>
          <t>Wintap-US</t>
        </is>
      </c>
      <c r="B1093" s="4" t="inlineStr">
        <is>
          <t>Wintap美国站</t>
        </is>
      </c>
      <c r="C1093" s="4">
        <f>B1093&amp;D1093</f>
        <v/>
      </c>
      <c r="D1093" s="4" t="inlineStr">
        <is>
          <t>WT-9808BG03</t>
        </is>
      </c>
      <c r="E1093" s="4" t="inlineStr">
        <is>
          <t>222F0098BG1</t>
        </is>
      </c>
      <c r="F1093" s="4" t="inlineStr">
        <is>
          <t>98系列四件套缸边浴缸龙头拉丝钛金封油</t>
        </is>
      </c>
      <c r="G1093" s="4" t="inlineStr">
        <is>
          <t>陈巧娴</t>
        </is>
      </c>
      <c r="H1093" s="4" t="inlineStr">
        <is>
          <t>缸边浴缸</t>
        </is>
      </c>
      <c r="I1093" s="12" t="inlineStr">
        <is>
          <t>否</t>
        </is>
      </c>
      <c r="J1093" s="34" t="n">
        <v>45223</v>
      </c>
      <c r="K1093" s="34" t="n">
        <v>45223</v>
      </c>
      <c r="L1093" s="0">
        <f>DATEDIF(J1093,$L$1,"M")</f>
        <v/>
      </c>
      <c r="M1093" s="0">
        <f>IF(L1093&lt;18,"新品期",IF(L1093&lt;=36,"老品期","衰退期"))</f>
        <v/>
      </c>
      <c r="N1093" s="15" t="inlineStr">
        <is>
          <t>25年5月前胡娟娟负责</t>
        </is>
      </c>
    </row>
    <row r="1094" ht="15" customFormat="1" customHeight="1" s="36">
      <c r="A1094" s="4" t="inlineStr">
        <is>
          <t>Wintap-US</t>
        </is>
      </c>
      <c r="B1094" s="4" t="inlineStr">
        <is>
          <t>Wintap美国站</t>
        </is>
      </c>
      <c r="C1094" s="4">
        <f>B1094&amp;D1094</f>
        <v/>
      </c>
      <c r="D1094" s="4" t="inlineStr">
        <is>
          <t>WT-9808BG04</t>
        </is>
      </c>
      <c r="E1094" s="4" t="inlineStr">
        <is>
          <t>222F0098BG1</t>
        </is>
      </c>
      <c r="F1094" s="4" t="inlineStr">
        <is>
          <t>98系列四件套缸边浴缸龙头拉丝钛金封油</t>
        </is>
      </c>
      <c r="G1094" s="4" t="inlineStr">
        <is>
          <t>陈巧娴</t>
        </is>
      </c>
      <c r="H1094" s="4" t="inlineStr">
        <is>
          <t>缸边浴缸</t>
        </is>
      </c>
      <c r="I1094" s="12" t="n"/>
      <c r="J1094" s="34" t="n">
        <v>45223</v>
      </c>
      <c r="K1094" s="34" t="n">
        <v>45223</v>
      </c>
      <c r="L1094" s="0">
        <f>DATEDIF(J1094,$L$1,"M")</f>
        <v/>
      </c>
      <c r="M1094" s="0">
        <f>IF(L1094&lt;18,"新品期",IF(L1094&lt;=36,"老品期","衰退期"))</f>
        <v/>
      </c>
      <c r="N1094" s="15" t="inlineStr">
        <is>
          <t>25年5月前胡娟娟负责</t>
        </is>
      </c>
    </row>
    <row r="1095" ht="15" customFormat="1" customHeight="1" s="36">
      <c r="A1095" s="4" t="inlineStr">
        <is>
          <t>Wintap-US</t>
        </is>
      </c>
      <c r="B1095" s="4" t="inlineStr">
        <is>
          <t>Wintap美国站</t>
        </is>
      </c>
      <c r="C1095" s="4">
        <f>B1095&amp;D1095</f>
        <v/>
      </c>
      <c r="D1095" s="4" t="inlineStr">
        <is>
          <t>WT-9808BGZZ</t>
        </is>
      </c>
      <c r="E1095" s="4" t="inlineStr">
        <is>
          <t>222F0098BG1</t>
        </is>
      </c>
      <c r="F1095" s="4" t="inlineStr">
        <is>
          <t>98系列四件套缸边浴缸龙头拉丝钛金封油</t>
        </is>
      </c>
      <c r="G1095" s="4" t="inlineStr">
        <is>
          <t>陈巧娴</t>
        </is>
      </c>
      <c r="H1095" s="4" t="inlineStr">
        <is>
          <t>缸边浴缸</t>
        </is>
      </c>
      <c r="I1095" s="12" t="inlineStr">
        <is>
          <t>否</t>
        </is>
      </c>
      <c r="J1095" s="34" t="n">
        <v>45223</v>
      </c>
      <c r="K1095" s="34" t="n">
        <v>45223</v>
      </c>
      <c r="L1095" s="0">
        <f>DATEDIF(J1095,$L$1,"M")</f>
        <v/>
      </c>
      <c r="M1095" s="0">
        <f>IF(L1095&lt;18,"新品期",IF(L1095&lt;=36,"老品期","衰退期"))</f>
        <v/>
      </c>
      <c r="N1095" s="15" t="inlineStr">
        <is>
          <t>25年5月前胡娟娟负责</t>
        </is>
      </c>
    </row>
    <row r="1096" ht="15" customFormat="1" customHeight="1" s="36">
      <c r="A1096" s="4" t="inlineStr">
        <is>
          <t>Wintap-CA</t>
        </is>
      </c>
      <c r="B1096" s="4" t="inlineStr">
        <is>
          <t>Wintap加拿大站</t>
        </is>
      </c>
      <c r="C1096" s="4">
        <f>B1096&amp;D1096</f>
        <v/>
      </c>
      <c r="D1096" s="4" t="inlineStr">
        <is>
          <t>WT-9808BGZZ</t>
        </is>
      </c>
      <c r="E1096" s="4" t="inlineStr">
        <is>
          <t>222F0098BG1</t>
        </is>
      </c>
      <c r="F1096" s="4" t="inlineStr">
        <is>
          <t>98系列四件套缸边浴缸龙头拉丝钛金封油</t>
        </is>
      </c>
      <c r="G1096" s="4" t="inlineStr">
        <is>
          <t>陈巧娴</t>
        </is>
      </c>
      <c r="H1096" s="4" t="inlineStr">
        <is>
          <t>缸边浴缸</t>
        </is>
      </c>
      <c r="I1096" s="12" t="inlineStr">
        <is>
          <t>否</t>
        </is>
      </c>
      <c r="J1096" s="34" t="n">
        <v>45223</v>
      </c>
      <c r="K1096" s="34" t="n">
        <v>45223</v>
      </c>
      <c r="L1096" s="0">
        <f>DATEDIF(J1096,$L$1,"M")</f>
        <v/>
      </c>
      <c r="M1096" s="0">
        <f>IF(L1096&lt;18,"新品期",IF(L1096&lt;=36,"老品期","衰退期"))</f>
        <v/>
      </c>
      <c r="N1096" s="15" t="inlineStr">
        <is>
          <t>25年5月前胡娟娟负责</t>
        </is>
      </c>
    </row>
    <row r="1097" ht="15" customFormat="1" customHeight="1" s="36">
      <c r="A1097" s="4" t="inlineStr">
        <is>
          <t>Wintap-BR</t>
        </is>
      </c>
      <c r="B1097" s="4" t="inlineStr">
        <is>
          <t>Wintap巴西站</t>
        </is>
      </c>
      <c r="C1097" s="4">
        <f>B1097&amp;D1097</f>
        <v/>
      </c>
      <c r="D1097" s="4" t="inlineStr">
        <is>
          <t>WT-9808BGZZ</t>
        </is>
      </c>
      <c r="E1097" s="4" t="inlineStr">
        <is>
          <t>222F0098BG1</t>
        </is>
      </c>
      <c r="F1097" s="4" t="inlineStr">
        <is>
          <t>98系列四件套缸边浴缸龙头拉丝钛金封油</t>
        </is>
      </c>
      <c r="G1097" s="4" t="inlineStr">
        <is>
          <t>陈巧娴</t>
        </is>
      </c>
      <c r="H1097" s="4" t="inlineStr">
        <is>
          <t>缸边浴缸</t>
        </is>
      </c>
      <c r="I1097" s="12" t="inlineStr">
        <is>
          <t>否</t>
        </is>
      </c>
      <c r="J1097" s="34" t="n">
        <v>45223</v>
      </c>
      <c r="K1097" s="34" t="n">
        <v>45223</v>
      </c>
      <c r="L1097" s="0">
        <f>DATEDIF(J1097,$L$1,"M")</f>
        <v/>
      </c>
      <c r="M1097" s="0">
        <f>IF(L1097&lt;18,"新品期",IF(L1097&lt;=36,"老品期","衰退期"))</f>
        <v/>
      </c>
      <c r="N1097" s="15" t="inlineStr">
        <is>
          <t>25年5月前胡娟娟负责</t>
        </is>
      </c>
    </row>
    <row r="1098" ht="15" customFormat="1" customHeight="1" s="36">
      <c r="A1098" s="4" t="inlineStr">
        <is>
          <t>Wintap-US</t>
        </is>
      </c>
      <c r="B1098" s="4" t="inlineStr">
        <is>
          <t>Wintap美国站</t>
        </is>
      </c>
      <c r="C1098" s="4">
        <f>B1098&amp;D1098</f>
        <v/>
      </c>
      <c r="D1098" s="4" t="inlineStr">
        <is>
          <t>WT-9808BGZZ02</t>
        </is>
      </c>
      <c r="E1098" s="4" t="inlineStr">
        <is>
          <t>222F0098BG1</t>
        </is>
      </c>
      <c r="F1098" s="4" t="inlineStr">
        <is>
          <t>98系列四件套缸边浴缸龙头拉丝钛金封油</t>
        </is>
      </c>
      <c r="G1098" s="4" t="inlineStr">
        <is>
          <t>陈巧娴</t>
        </is>
      </c>
      <c r="H1098" s="4" t="inlineStr">
        <is>
          <t>缸边浴缸</t>
        </is>
      </c>
      <c r="I1098" s="12" t="inlineStr">
        <is>
          <t>否</t>
        </is>
      </c>
      <c r="J1098" s="34" t="n">
        <v>45223</v>
      </c>
      <c r="K1098" s="34" t="n">
        <v>45223</v>
      </c>
      <c r="L1098" s="0">
        <f>DATEDIF(J1098,$L$1,"M")</f>
        <v/>
      </c>
      <c r="M1098" s="0">
        <f>IF(L1098&lt;18,"新品期",IF(L1098&lt;=36,"老品期","衰退期"))</f>
        <v/>
      </c>
      <c r="N1098" s="15" t="inlineStr">
        <is>
          <t>25年5月前胡娟娟负责</t>
        </is>
      </c>
    </row>
    <row r="1099" ht="15" customFormat="1" customHeight="1" s="36">
      <c r="A1099" s="4" t="inlineStr">
        <is>
          <t>Wintap-CA</t>
        </is>
      </c>
      <c r="B1099" s="4" t="inlineStr">
        <is>
          <t>Wintap加拿大站</t>
        </is>
      </c>
      <c r="C1099" s="4">
        <f>B1099&amp;D1099</f>
        <v/>
      </c>
      <c r="D1099" s="4" t="inlineStr">
        <is>
          <t>WT-9808BGZZ02</t>
        </is>
      </c>
      <c r="E1099" s="4" t="inlineStr">
        <is>
          <t>222F0098BG1</t>
        </is>
      </c>
      <c r="F1099" s="4" t="inlineStr">
        <is>
          <t>98系列四件套缸边浴缸龙头拉丝钛金封油</t>
        </is>
      </c>
      <c r="G1099" s="4" t="inlineStr">
        <is>
          <t>陈巧娴</t>
        </is>
      </c>
      <c r="H1099" s="4" t="inlineStr">
        <is>
          <t>缸边浴缸</t>
        </is>
      </c>
      <c r="I1099" s="12" t="inlineStr">
        <is>
          <t>否</t>
        </is>
      </c>
      <c r="J1099" s="34" t="n">
        <v>45223</v>
      </c>
      <c r="K1099" s="34" t="n">
        <v>45223</v>
      </c>
      <c r="L1099" s="0">
        <f>DATEDIF(J1099,$L$1,"M")</f>
        <v/>
      </c>
      <c r="M1099" s="0">
        <f>IF(L1099&lt;18,"新品期",IF(L1099&lt;=36,"老品期","衰退期"))</f>
        <v/>
      </c>
      <c r="N1099" s="15" t="inlineStr">
        <is>
          <t>25年5月前胡娟娟负责</t>
        </is>
      </c>
    </row>
    <row r="1100" ht="15" customFormat="1" customHeight="1" s="36">
      <c r="A1100" s="4" t="inlineStr">
        <is>
          <t>Wintap-BR</t>
        </is>
      </c>
      <c r="B1100" s="4" t="inlineStr">
        <is>
          <t>Wintap巴西站</t>
        </is>
      </c>
      <c r="C1100" s="4">
        <f>B1100&amp;D1100</f>
        <v/>
      </c>
      <c r="D1100" s="4" t="inlineStr">
        <is>
          <t>WT-9808BGZZ02</t>
        </is>
      </c>
      <c r="E1100" s="4" t="inlineStr">
        <is>
          <t>222F0098BG1</t>
        </is>
      </c>
      <c r="F1100" s="4" t="inlineStr">
        <is>
          <t>98系列四件套缸边浴缸龙头拉丝钛金封油</t>
        </is>
      </c>
      <c r="G1100" s="4" t="inlineStr">
        <is>
          <t>陈巧娴</t>
        </is>
      </c>
      <c r="H1100" s="4" t="inlineStr">
        <is>
          <t>缸边浴缸</t>
        </is>
      </c>
      <c r="I1100" s="12" t="inlineStr">
        <is>
          <t>否</t>
        </is>
      </c>
      <c r="J1100" s="34" t="n">
        <v>45223</v>
      </c>
      <c r="K1100" s="34" t="n">
        <v>45223</v>
      </c>
      <c r="L1100" s="0">
        <f>DATEDIF(J1100,$L$1,"M")</f>
        <v/>
      </c>
      <c r="M1100" s="0">
        <f>IF(L1100&lt;18,"新品期",IF(L1100&lt;=36,"老品期","衰退期"))</f>
        <v/>
      </c>
      <c r="N1100" s="15" t="inlineStr">
        <is>
          <t>25年5月前胡娟娟负责</t>
        </is>
      </c>
    </row>
    <row r="1101" ht="15" customFormat="1" customHeight="1" s="36">
      <c r="A1101" s="4" t="inlineStr">
        <is>
          <t>Wintap-US</t>
        </is>
      </c>
      <c r="B1101" s="4" t="inlineStr">
        <is>
          <t>Wintap美国站</t>
        </is>
      </c>
      <c r="C1101" s="4">
        <f>B1101&amp;D1101</f>
        <v/>
      </c>
      <c r="D1101" s="4" t="inlineStr">
        <is>
          <t>WT-9808BK</t>
        </is>
      </c>
      <c r="E1101" s="4" t="inlineStr">
        <is>
          <t>222F0098BK1</t>
        </is>
      </c>
      <c r="F1101" s="4" t="inlineStr">
        <is>
          <t>98系列四件套缸边浴缸龙头电泳黑</t>
        </is>
      </c>
      <c r="G1101" s="4" t="inlineStr">
        <is>
          <t>陈巧娴</t>
        </is>
      </c>
      <c r="H1101" s="4" t="inlineStr">
        <is>
          <t>缸边浴缸</t>
        </is>
      </c>
      <c r="I1101" s="12" t="inlineStr">
        <is>
          <t>否</t>
        </is>
      </c>
      <c r="J1101" s="34" t="n">
        <v>45223</v>
      </c>
      <c r="K1101" s="34" t="n">
        <v>45223</v>
      </c>
      <c r="L1101" s="0">
        <f>DATEDIF(J1101,$L$1,"M")</f>
        <v/>
      </c>
      <c r="M1101" s="0">
        <f>IF(L1101&lt;18,"新品期",IF(L1101&lt;=36,"老品期","衰退期"))</f>
        <v/>
      </c>
      <c r="N1101" s="15" t="inlineStr">
        <is>
          <t>25年5月前胡娟娟负责</t>
        </is>
      </c>
    </row>
    <row r="1102" ht="15" customFormat="1" customHeight="1" s="36">
      <c r="A1102" s="4" t="inlineStr">
        <is>
          <t>Wintap-US</t>
        </is>
      </c>
      <c r="B1102" s="4" t="inlineStr">
        <is>
          <t>Wintap美国站</t>
        </is>
      </c>
      <c r="C1102" s="4">
        <f>B1102&amp;D1102</f>
        <v/>
      </c>
      <c r="D1102" s="4" t="inlineStr">
        <is>
          <t>WT-9808BK02</t>
        </is>
      </c>
      <c r="E1102" s="4" t="inlineStr">
        <is>
          <t>222F0098BK1</t>
        </is>
      </c>
      <c r="F1102" s="4" t="inlineStr">
        <is>
          <t>98系列四件套缸边浴缸龙头电泳黑</t>
        </is>
      </c>
      <c r="G1102" s="4" t="inlineStr">
        <is>
          <t>陈巧娴</t>
        </is>
      </c>
      <c r="H1102" s="4" t="inlineStr">
        <is>
          <t>缸边浴缸</t>
        </is>
      </c>
      <c r="I1102" s="12" t="inlineStr">
        <is>
          <t>否</t>
        </is>
      </c>
      <c r="J1102" s="34" t="n">
        <v>45223</v>
      </c>
      <c r="K1102" s="34" t="n">
        <v>45223</v>
      </c>
      <c r="L1102" s="0">
        <f>DATEDIF(J1102,$L$1,"M")</f>
        <v/>
      </c>
      <c r="M1102" s="0">
        <f>IF(L1102&lt;18,"新品期",IF(L1102&lt;=36,"老品期","衰退期"))</f>
        <v/>
      </c>
      <c r="N1102" s="15" t="inlineStr">
        <is>
          <t>25年5月前胡娟娟负责</t>
        </is>
      </c>
    </row>
    <row r="1103" ht="15" customFormat="1" customHeight="1" s="36">
      <c r="A1103" s="4" t="inlineStr">
        <is>
          <t>Wintap-US</t>
        </is>
      </c>
      <c r="B1103" s="4" t="inlineStr">
        <is>
          <t>Wintap美国站</t>
        </is>
      </c>
      <c r="C1103" s="4">
        <f>B1103&amp;D1103</f>
        <v/>
      </c>
      <c r="D1103" s="4" t="inlineStr">
        <is>
          <t>WT-9808BK03</t>
        </is>
      </c>
      <c r="E1103" s="4" t="inlineStr">
        <is>
          <t>222F0098BK1</t>
        </is>
      </c>
      <c r="F1103" s="4" t="inlineStr">
        <is>
          <t>98系列四件套缸边浴缸龙头电泳黑</t>
        </is>
      </c>
      <c r="G1103" s="4" t="inlineStr">
        <is>
          <t>陈巧娴</t>
        </is>
      </c>
      <c r="H1103" s="4" t="inlineStr">
        <is>
          <t>缸边浴缸</t>
        </is>
      </c>
      <c r="I1103" s="12" t="inlineStr">
        <is>
          <t>否</t>
        </is>
      </c>
      <c r="J1103" s="34" t="n">
        <v>45223</v>
      </c>
      <c r="K1103" s="34" t="n">
        <v>45223</v>
      </c>
      <c r="L1103" s="0">
        <f>DATEDIF(J1103,$L$1,"M")</f>
        <v/>
      </c>
      <c r="M1103" s="0">
        <f>IF(L1103&lt;18,"新品期",IF(L1103&lt;=36,"老品期","衰退期"))</f>
        <v/>
      </c>
      <c r="N1103" s="15" t="inlineStr">
        <is>
          <t>25年5月前胡娟娟负责</t>
        </is>
      </c>
    </row>
    <row r="1104" ht="15" customFormat="1" customHeight="1" s="36">
      <c r="A1104" s="4" t="inlineStr">
        <is>
          <t>Wintap-US</t>
        </is>
      </c>
      <c r="B1104" s="4" t="inlineStr">
        <is>
          <t>Wintap美国站</t>
        </is>
      </c>
      <c r="C1104" s="4">
        <f>B1104&amp;D1104</f>
        <v/>
      </c>
      <c r="D1104" s="4" t="inlineStr">
        <is>
          <t>WT-9808BK04</t>
        </is>
      </c>
      <c r="E1104" s="4" t="inlineStr">
        <is>
          <t>222F0098BK1</t>
        </is>
      </c>
      <c r="F1104" s="4" t="inlineStr">
        <is>
          <t>98系列四件套缸边浴缸龙头电泳黑</t>
        </is>
      </c>
      <c r="G1104" s="4" t="inlineStr">
        <is>
          <t>陈巧娴</t>
        </is>
      </c>
      <c r="H1104" s="4" t="inlineStr">
        <is>
          <t>缸边浴缸</t>
        </is>
      </c>
      <c r="I1104" s="12" t="n"/>
      <c r="J1104" s="34" t="n">
        <v>45223</v>
      </c>
      <c r="K1104" s="34" t="n">
        <v>45223</v>
      </c>
      <c r="L1104" s="0">
        <f>DATEDIF(J1104,$L$1,"M")</f>
        <v/>
      </c>
      <c r="M1104" s="0">
        <f>IF(L1104&lt;18,"新品期",IF(L1104&lt;=36,"老品期","衰退期"))</f>
        <v/>
      </c>
      <c r="N1104" s="15" t="inlineStr">
        <is>
          <t>25年5月前胡娟娟负责</t>
        </is>
      </c>
    </row>
    <row r="1105" ht="15" customFormat="1" customHeight="1" s="36">
      <c r="A1105" s="4" t="inlineStr">
        <is>
          <t>Wintap-US</t>
        </is>
      </c>
      <c r="B1105" s="4" t="inlineStr">
        <is>
          <t>Wintap美国站</t>
        </is>
      </c>
      <c r="C1105" s="4">
        <f>B1105&amp;D1105</f>
        <v/>
      </c>
      <c r="D1105" s="4" t="inlineStr">
        <is>
          <t>WT-9808BKZZ</t>
        </is>
      </c>
      <c r="E1105" s="4" t="inlineStr">
        <is>
          <t>222F0098BK1</t>
        </is>
      </c>
      <c r="F1105" s="4" t="inlineStr">
        <is>
          <t>98系列四件套缸边浴缸龙头电泳黑</t>
        </is>
      </c>
      <c r="G1105" s="4" t="inlineStr">
        <is>
          <t>陈巧娴</t>
        </is>
      </c>
      <c r="H1105" s="4" t="inlineStr">
        <is>
          <t>缸边浴缸</t>
        </is>
      </c>
      <c r="I1105" s="12" t="inlineStr">
        <is>
          <t>否</t>
        </is>
      </c>
      <c r="J1105" s="34" t="n">
        <v>45223</v>
      </c>
      <c r="K1105" s="34" t="n">
        <v>45223</v>
      </c>
      <c r="L1105" s="0">
        <f>DATEDIF(J1105,$L$1,"M")</f>
        <v/>
      </c>
      <c r="M1105" s="0">
        <f>IF(L1105&lt;18,"新品期",IF(L1105&lt;=36,"老品期","衰退期"))</f>
        <v/>
      </c>
      <c r="N1105" s="15" t="inlineStr">
        <is>
          <t>25年5月前胡娟娟负责</t>
        </is>
      </c>
    </row>
    <row r="1106" ht="15" customFormat="1" customHeight="1" s="36">
      <c r="A1106" s="4" t="inlineStr">
        <is>
          <t>Wintap-BR</t>
        </is>
      </c>
      <c r="B1106" s="4" t="inlineStr">
        <is>
          <t>Wintap巴西站</t>
        </is>
      </c>
      <c r="C1106" s="4">
        <f>B1106&amp;D1106</f>
        <v/>
      </c>
      <c r="D1106" s="4" t="inlineStr">
        <is>
          <t>WT-9808BKZZ</t>
        </is>
      </c>
      <c r="E1106" s="4" t="inlineStr">
        <is>
          <t>222F0098BK1</t>
        </is>
      </c>
      <c r="F1106" s="4" t="inlineStr">
        <is>
          <t>98系列四件套缸边浴缸龙头电泳黑</t>
        </is>
      </c>
      <c r="G1106" s="4" t="inlineStr">
        <is>
          <t>陈巧娴</t>
        </is>
      </c>
      <c r="H1106" s="4" t="inlineStr">
        <is>
          <t>缸边浴缸</t>
        </is>
      </c>
      <c r="I1106" s="12" t="inlineStr">
        <is>
          <t>否</t>
        </is>
      </c>
      <c r="J1106" s="34" t="n">
        <v>45223</v>
      </c>
      <c r="K1106" s="34" t="n">
        <v>45223</v>
      </c>
      <c r="L1106" s="0">
        <f>DATEDIF(J1106,$L$1,"M")</f>
        <v/>
      </c>
      <c r="M1106" s="0">
        <f>IF(L1106&lt;18,"新品期",IF(L1106&lt;=36,"老品期","衰退期"))</f>
        <v/>
      </c>
      <c r="N1106" s="15" t="inlineStr">
        <is>
          <t>25年5月前胡娟娟负责</t>
        </is>
      </c>
    </row>
    <row r="1107" ht="15" customFormat="1" customHeight="1" s="36">
      <c r="A1107" s="4" t="inlineStr">
        <is>
          <t>Wintap-US</t>
        </is>
      </c>
      <c r="B1107" s="4" t="inlineStr">
        <is>
          <t>Wintap美国站</t>
        </is>
      </c>
      <c r="C1107" s="4">
        <f>B1107&amp;D1107</f>
        <v/>
      </c>
      <c r="D1107" s="4" t="inlineStr">
        <is>
          <t>WT-9808BN</t>
        </is>
      </c>
      <c r="E1107" s="4" t="inlineStr">
        <is>
          <t>222F0098BN1</t>
        </is>
      </c>
      <c r="F1107" s="4" t="inlineStr">
        <is>
          <t>98系列四件套缸边浴缸龙头拉丝封油</t>
        </is>
      </c>
      <c r="G1107" s="4" t="inlineStr">
        <is>
          <t>陈巧娴</t>
        </is>
      </c>
      <c r="H1107" s="4" t="inlineStr">
        <is>
          <t>缸边浴缸</t>
        </is>
      </c>
      <c r="I1107" s="12" t="inlineStr">
        <is>
          <t>否</t>
        </is>
      </c>
      <c r="J1107" s="34" t="n">
        <v>45223</v>
      </c>
      <c r="K1107" s="34" t="n">
        <v>45223</v>
      </c>
      <c r="L1107" s="0">
        <f>DATEDIF(J1107,$L$1,"M")</f>
        <v/>
      </c>
      <c r="M1107" s="0">
        <f>IF(L1107&lt;18,"新品期",IF(L1107&lt;=36,"老品期","衰退期"))</f>
        <v/>
      </c>
      <c r="N1107" s="15" t="inlineStr">
        <is>
          <t>25年5月前胡娟娟负责</t>
        </is>
      </c>
    </row>
    <row r="1108" ht="15" customFormat="1" customHeight="1" s="36">
      <c r="A1108" s="4" t="inlineStr">
        <is>
          <t>Wintap-CA</t>
        </is>
      </c>
      <c r="B1108" s="4" t="inlineStr">
        <is>
          <t>Wintap加拿大站</t>
        </is>
      </c>
      <c r="C1108" s="4">
        <f>B1108&amp;D1108</f>
        <v/>
      </c>
      <c r="D1108" s="4" t="inlineStr">
        <is>
          <t>WT-9808BN</t>
        </is>
      </c>
      <c r="E1108" s="4" t="inlineStr">
        <is>
          <t>222F0098BN1</t>
        </is>
      </c>
      <c r="F1108" s="4" t="inlineStr">
        <is>
          <t>98系列四件套缸边浴缸龙头拉丝封油</t>
        </is>
      </c>
      <c r="G1108" s="4" t="inlineStr">
        <is>
          <t>陈巧娴</t>
        </is>
      </c>
      <c r="H1108" s="4" t="inlineStr">
        <is>
          <t>缸边浴缸</t>
        </is>
      </c>
      <c r="I1108" s="12" t="inlineStr">
        <is>
          <t>否</t>
        </is>
      </c>
      <c r="J1108" s="34" t="n">
        <v>45223</v>
      </c>
      <c r="K1108" s="34" t="n">
        <v>45223</v>
      </c>
      <c r="L1108" s="0">
        <f>DATEDIF(J1108,$L$1,"M")</f>
        <v/>
      </c>
      <c r="M1108" s="0">
        <f>IF(L1108&lt;18,"新品期",IF(L1108&lt;=36,"老品期","衰退期"))</f>
        <v/>
      </c>
      <c r="N1108" s="15" t="inlineStr">
        <is>
          <t>25年5月前胡娟娟负责</t>
        </is>
      </c>
    </row>
    <row r="1109" ht="15" customFormat="1" customHeight="1" s="36">
      <c r="A1109" s="4" t="inlineStr">
        <is>
          <t>Wintap-BR</t>
        </is>
      </c>
      <c r="B1109" s="4" t="inlineStr">
        <is>
          <t>Wintap巴西站</t>
        </is>
      </c>
      <c r="C1109" s="4">
        <f>B1109&amp;D1109</f>
        <v/>
      </c>
      <c r="D1109" s="4" t="inlineStr">
        <is>
          <t>WT-9808BN</t>
        </is>
      </c>
      <c r="E1109" s="4" t="inlineStr">
        <is>
          <t>222F0098BN1</t>
        </is>
      </c>
      <c r="F1109" s="4" t="inlineStr">
        <is>
          <t>98系列四件套缸边浴缸龙头拉丝封油</t>
        </is>
      </c>
      <c r="G1109" s="4" t="inlineStr">
        <is>
          <t>陈巧娴</t>
        </is>
      </c>
      <c r="H1109" s="4" t="inlineStr">
        <is>
          <t>缸边浴缸</t>
        </is>
      </c>
      <c r="I1109" s="12" t="inlineStr">
        <is>
          <t>否</t>
        </is>
      </c>
      <c r="J1109" s="34" t="n">
        <v>45223</v>
      </c>
      <c r="K1109" s="34" t="n">
        <v>45223</v>
      </c>
      <c r="L1109" s="0">
        <f>DATEDIF(J1109,$L$1,"M")</f>
        <v/>
      </c>
      <c r="M1109" s="0">
        <f>IF(L1109&lt;18,"新品期",IF(L1109&lt;=36,"老品期","衰退期"))</f>
        <v/>
      </c>
      <c r="N1109" s="15" t="inlineStr">
        <is>
          <t>25年5月前胡娟娟负责</t>
        </is>
      </c>
    </row>
    <row r="1110" ht="15" customFormat="1" customHeight="1" s="36">
      <c r="A1110" s="4" t="inlineStr">
        <is>
          <t>Wintap-US</t>
        </is>
      </c>
      <c r="B1110" s="4" t="inlineStr">
        <is>
          <t>Wintap美国站</t>
        </is>
      </c>
      <c r="C1110" s="4">
        <f>B1110&amp;D1110</f>
        <v/>
      </c>
      <c r="D1110" s="4" t="inlineStr">
        <is>
          <t>WT-9808BN02</t>
        </is>
      </c>
      <c r="E1110" s="4" t="inlineStr">
        <is>
          <t>222F0098BN1</t>
        </is>
      </c>
      <c r="F1110" s="4" t="inlineStr">
        <is>
          <t>98系列四件套缸边浴缸龙头拉丝封油</t>
        </is>
      </c>
      <c r="G1110" s="4" t="inlineStr">
        <is>
          <t>陈巧娴</t>
        </is>
      </c>
      <c r="H1110" s="4" t="inlineStr">
        <is>
          <t>缸边浴缸</t>
        </is>
      </c>
      <c r="I1110" s="12" t="inlineStr">
        <is>
          <t>否</t>
        </is>
      </c>
      <c r="J1110" s="34" t="n">
        <v>45223</v>
      </c>
      <c r="K1110" s="34" t="n">
        <v>45223</v>
      </c>
      <c r="L1110" s="0">
        <f>DATEDIF(J1110,$L$1,"M")</f>
        <v/>
      </c>
      <c r="M1110" s="0">
        <f>IF(L1110&lt;18,"新品期",IF(L1110&lt;=36,"老品期","衰退期"))</f>
        <v/>
      </c>
      <c r="N1110" s="15" t="inlineStr">
        <is>
          <t>25年5月前胡娟娟负责</t>
        </is>
      </c>
    </row>
    <row r="1111" ht="15" customFormat="1" customHeight="1" s="36">
      <c r="A1111" s="4" t="inlineStr">
        <is>
          <t>Wintap-US</t>
        </is>
      </c>
      <c r="B1111" s="4" t="inlineStr">
        <is>
          <t>Wintap美国站</t>
        </is>
      </c>
      <c r="C1111" s="4">
        <f>B1111&amp;D1111</f>
        <v/>
      </c>
      <c r="D1111" s="4" t="inlineStr">
        <is>
          <t>WT-9808BN03</t>
        </is>
      </c>
      <c r="E1111" s="4" t="inlineStr">
        <is>
          <t>222F0098BN1</t>
        </is>
      </c>
      <c r="F1111" s="4" t="inlineStr">
        <is>
          <t>98系列四件套缸边浴缸龙头拉丝封油</t>
        </is>
      </c>
      <c r="G1111" s="4" t="inlineStr">
        <is>
          <t>陈巧娴</t>
        </is>
      </c>
      <c r="H1111" s="4" t="inlineStr">
        <is>
          <t>缸边浴缸</t>
        </is>
      </c>
      <c r="I1111" s="12" t="inlineStr">
        <is>
          <t>否</t>
        </is>
      </c>
      <c r="J1111" s="34" t="n">
        <v>45223</v>
      </c>
      <c r="K1111" s="34" t="n">
        <v>45223</v>
      </c>
      <c r="L1111" s="0">
        <f>DATEDIF(J1111,$L$1,"M")</f>
        <v/>
      </c>
      <c r="M1111" s="0">
        <f>IF(L1111&lt;18,"新品期",IF(L1111&lt;=36,"老品期","衰退期"))</f>
        <v/>
      </c>
      <c r="N1111" s="15" t="inlineStr">
        <is>
          <t>25年5月前胡娟娟负责</t>
        </is>
      </c>
    </row>
    <row r="1112" ht="15" customFormat="1" customHeight="1" s="36">
      <c r="A1112" s="4" t="inlineStr">
        <is>
          <t>Wintap-US</t>
        </is>
      </c>
      <c r="B1112" s="4" t="inlineStr">
        <is>
          <t>Wintap美国站</t>
        </is>
      </c>
      <c r="C1112" s="4">
        <f>B1112&amp;D1112</f>
        <v/>
      </c>
      <c r="D1112" s="4" t="inlineStr">
        <is>
          <t>WT-9808BN04</t>
        </is>
      </c>
      <c r="E1112" s="4" t="inlineStr">
        <is>
          <t>222F0098BN1</t>
        </is>
      </c>
      <c r="F1112" s="4" t="inlineStr">
        <is>
          <t>98系列四件套缸边浴缸龙头拉丝封油</t>
        </is>
      </c>
      <c r="G1112" s="4" t="inlineStr">
        <is>
          <t>陈巧娴</t>
        </is>
      </c>
      <c r="H1112" s="4" t="inlineStr">
        <is>
          <t>缸边浴缸</t>
        </is>
      </c>
      <c r="I1112" s="12" t="inlineStr">
        <is>
          <t>否</t>
        </is>
      </c>
      <c r="J1112" s="34" t="n">
        <v>45223</v>
      </c>
      <c r="K1112" s="34" t="n">
        <v>45223</v>
      </c>
      <c r="L1112" s="0">
        <f>DATEDIF(J1112,$L$1,"M")</f>
        <v/>
      </c>
      <c r="M1112" s="0">
        <f>IF(L1112&lt;18,"新品期",IF(L1112&lt;=36,"老品期","衰退期"))</f>
        <v/>
      </c>
      <c r="N1112" s="15" t="inlineStr">
        <is>
          <t>25年5月前胡娟娟负责</t>
        </is>
      </c>
    </row>
    <row r="1113" ht="15" customFormat="1" customHeight="1" s="36">
      <c r="A1113" s="4" t="inlineStr">
        <is>
          <t>Wintap-CA</t>
        </is>
      </c>
      <c r="B1113" s="4" t="inlineStr">
        <is>
          <t>Wintap加拿大站</t>
        </is>
      </c>
      <c r="C1113" s="4">
        <f>B1113&amp;D1113</f>
        <v/>
      </c>
      <c r="D1113" s="4" t="inlineStr">
        <is>
          <t>WT-9808BNZZ</t>
        </is>
      </c>
      <c r="E1113" s="4" t="inlineStr">
        <is>
          <t>222F0098BN1</t>
        </is>
      </c>
      <c r="F1113" s="4" t="inlineStr">
        <is>
          <t>98系列四件套缸边浴缸龙头拉丝封油</t>
        </is>
      </c>
      <c r="G1113" s="4" t="inlineStr">
        <is>
          <t>陈巧娴</t>
        </is>
      </c>
      <c r="H1113" s="4" t="inlineStr">
        <is>
          <t>缸边浴缸</t>
        </is>
      </c>
      <c r="I1113" s="12" t="inlineStr">
        <is>
          <t>否</t>
        </is>
      </c>
      <c r="J1113" s="34" t="n">
        <v>45223</v>
      </c>
      <c r="K1113" s="34" t="n">
        <v>45223</v>
      </c>
      <c r="L1113" s="0">
        <f>DATEDIF(J1113,$L$1,"M")</f>
        <v/>
      </c>
      <c r="M1113" s="0">
        <f>IF(L1113&lt;18,"新品期",IF(L1113&lt;=36,"老品期","衰退期"))</f>
        <v/>
      </c>
      <c r="N1113" s="15" t="inlineStr">
        <is>
          <t>25年5月前胡娟娟负责</t>
        </is>
      </c>
    </row>
    <row r="1114" ht="15" customFormat="1" customHeight="1" s="36">
      <c r="A1114" s="4" t="inlineStr">
        <is>
          <t>Wintap-BR</t>
        </is>
      </c>
      <c r="B1114" s="4" t="inlineStr">
        <is>
          <t>Wintap巴西站</t>
        </is>
      </c>
      <c r="C1114" s="4">
        <f>B1114&amp;D1114</f>
        <v/>
      </c>
      <c r="D1114" s="4" t="inlineStr">
        <is>
          <t>WT-9808BNZZ</t>
        </is>
      </c>
      <c r="E1114" s="4" t="inlineStr">
        <is>
          <t>222F0098BN1</t>
        </is>
      </c>
      <c r="F1114" s="4" t="inlineStr">
        <is>
          <t>98系列四件套缸边浴缸龙头拉丝封油</t>
        </is>
      </c>
      <c r="G1114" s="4" t="inlineStr">
        <is>
          <t>陈巧娴</t>
        </is>
      </c>
      <c r="H1114" s="4" t="inlineStr">
        <is>
          <t>缸边浴缸</t>
        </is>
      </c>
      <c r="I1114" s="12" t="inlineStr">
        <is>
          <t>否</t>
        </is>
      </c>
      <c r="J1114" s="34" t="n">
        <v>45223</v>
      </c>
      <c r="K1114" s="34" t="n">
        <v>45223</v>
      </c>
      <c r="L1114" s="0">
        <f>DATEDIF(J1114,$L$1,"M")</f>
        <v/>
      </c>
      <c r="M1114" s="0">
        <f>IF(L1114&lt;18,"新品期",IF(L1114&lt;=36,"老品期","衰退期"))</f>
        <v/>
      </c>
      <c r="N1114" s="15" t="inlineStr">
        <is>
          <t>25年5月前胡娟娟负责</t>
        </is>
      </c>
    </row>
    <row r="1115" ht="15" customFormat="1" customHeight="1" s="36">
      <c r="A1115" s="4" t="inlineStr">
        <is>
          <t>Wintap-US</t>
        </is>
      </c>
      <c r="B1115" s="4" t="inlineStr">
        <is>
          <t>Wintap美国站</t>
        </is>
      </c>
      <c r="C1115" s="4">
        <f>B1115&amp;D1115</f>
        <v/>
      </c>
      <c r="D1115" s="4" t="inlineStr">
        <is>
          <t>WT-9808BNZZ02</t>
        </is>
      </c>
      <c r="E1115" s="4" t="inlineStr">
        <is>
          <t>222F0098BN1</t>
        </is>
      </c>
      <c r="F1115" s="4" t="inlineStr">
        <is>
          <t>98系列四件套缸边浴缸龙头拉丝封油</t>
        </is>
      </c>
      <c r="G1115" s="4" t="inlineStr">
        <is>
          <t>陈巧娴</t>
        </is>
      </c>
      <c r="H1115" s="4" t="inlineStr">
        <is>
          <t>缸边浴缸</t>
        </is>
      </c>
      <c r="I1115" s="12" t="inlineStr">
        <is>
          <t>否</t>
        </is>
      </c>
      <c r="J1115" s="34" t="n">
        <v>45223</v>
      </c>
      <c r="K1115" s="34" t="n">
        <v>45223</v>
      </c>
      <c r="L1115" s="0">
        <f>DATEDIF(J1115,$L$1,"M")</f>
        <v/>
      </c>
      <c r="M1115" s="0">
        <f>IF(L1115&lt;18,"新品期",IF(L1115&lt;=36,"老品期","衰退期"))</f>
        <v/>
      </c>
      <c r="N1115" s="15" t="inlineStr">
        <is>
          <t>25年5月前胡娟娟负责</t>
        </is>
      </c>
    </row>
    <row r="1116" ht="15" customFormat="1" customHeight="1" s="36">
      <c r="A1116" s="4" t="inlineStr">
        <is>
          <t>Wintap-CA</t>
        </is>
      </c>
      <c r="B1116" s="4" t="inlineStr">
        <is>
          <t>Wintap加拿大站</t>
        </is>
      </c>
      <c r="C1116" s="4">
        <f>B1116&amp;D1116</f>
        <v/>
      </c>
      <c r="D1116" s="4" t="inlineStr">
        <is>
          <t>WT-9808BNZZ02</t>
        </is>
      </c>
      <c r="E1116" s="4" t="inlineStr">
        <is>
          <t>222F0098BN1</t>
        </is>
      </c>
      <c r="F1116" s="4" t="inlineStr">
        <is>
          <t>98系列四件套缸边浴缸龙头拉丝封油</t>
        </is>
      </c>
      <c r="G1116" s="4" t="inlineStr">
        <is>
          <t>陈巧娴</t>
        </is>
      </c>
      <c r="H1116" s="4" t="inlineStr">
        <is>
          <t>缸边浴缸</t>
        </is>
      </c>
      <c r="I1116" s="12" t="inlineStr">
        <is>
          <t>否</t>
        </is>
      </c>
      <c r="J1116" s="34" t="n">
        <v>45223</v>
      </c>
      <c r="K1116" s="34" t="n">
        <v>45223</v>
      </c>
      <c r="L1116" s="0">
        <f>DATEDIF(J1116,$L$1,"M")</f>
        <v/>
      </c>
      <c r="M1116" s="0">
        <f>IF(L1116&lt;18,"新品期",IF(L1116&lt;=36,"老品期","衰退期"))</f>
        <v/>
      </c>
      <c r="N1116" s="15" t="inlineStr">
        <is>
          <t>25年5月前胡娟娟负责</t>
        </is>
      </c>
    </row>
    <row r="1117" ht="15" customFormat="1" customHeight="1" s="36">
      <c r="A1117" s="4" t="inlineStr">
        <is>
          <t>Wintap-BR</t>
        </is>
      </c>
      <c r="B1117" s="4" t="inlineStr">
        <is>
          <t>Wintap巴西站</t>
        </is>
      </c>
      <c r="C1117" s="4">
        <f>B1117&amp;D1117</f>
        <v/>
      </c>
      <c r="D1117" s="4" t="inlineStr">
        <is>
          <t>WT-9808BNZZ02</t>
        </is>
      </c>
      <c r="E1117" s="4" t="inlineStr">
        <is>
          <t>222F0098BN1</t>
        </is>
      </c>
      <c r="F1117" s="4" t="inlineStr">
        <is>
          <t>98系列四件套缸边浴缸龙头拉丝封油</t>
        </is>
      </c>
      <c r="G1117" s="4" t="inlineStr">
        <is>
          <t>陈巧娴</t>
        </is>
      </c>
      <c r="H1117" s="4" t="inlineStr">
        <is>
          <t>缸边浴缸</t>
        </is>
      </c>
      <c r="I1117" s="12" t="inlineStr">
        <is>
          <t>否</t>
        </is>
      </c>
      <c r="J1117" s="34" t="n">
        <v>45223</v>
      </c>
      <c r="K1117" s="34" t="n">
        <v>45223</v>
      </c>
      <c r="L1117" s="0">
        <f>DATEDIF(J1117,$L$1,"M")</f>
        <v/>
      </c>
      <c r="M1117" s="0">
        <f>IF(L1117&lt;18,"新品期",IF(L1117&lt;=36,"老品期","衰退期"))</f>
        <v/>
      </c>
      <c r="N1117" s="15" t="inlineStr">
        <is>
          <t>25年5月前胡娟娟负责</t>
        </is>
      </c>
    </row>
    <row r="1118" ht="15" customFormat="1" customHeight="1" s="36">
      <c r="A1118" s="4" t="inlineStr">
        <is>
          <t>Wintap-US</t>
        </is>
      </c>
      <c r="B1118" s="4" t="inlineStr">
        <is>
          <t>Wintap美国站</t>
        </is>
      </c>
      <c r="C1118" s="4">
        <f>B1118&amp;D1118</f>
        <v/>
      </c>
      <c r="D1118" s="4" t="inlineStr">
        <is>
          <t>WT-9808CP</t>
        </is>
      </c>
      <c r="E1118" s="4" t="inlineStr">
        <is>
          <t>222F0098CP1</t>
        </is>
      </c>
      <c r="F1118" s="4" t="inlineStr">
        <is>
          <t>98系列四件套缸边浴缸龙头铬</t>
        </is>
      </c>
      <c r="G1118" s="4" t="inlineStr">
        <is>
          <t>陈巧娴</t>
        </is>
      </c>
      <c r="H1118" s="4" t="inlineStr">
        <is>
          <t>缸边浴缸</t>
        </is>
      </c>
      <c r="I1118" s="12" t="inlineStr">
        <is>
          <t>否</t>
        </is>
      </c>
      <c r="J1118" s="34" t="n">
        <v>45223</v>
      </c>
      <c r="K1118" s="34" t="n">
        <v>45223</v>
      </c>
      <c r="L1118" s="0">
        <f>DATEDIF(J1118,$L$1,"M")</f>
        <v/>
      </c>
      <c r="M1118" s="0">
        <f>IF(L1118&lt;18,"新品期",IF(L1118&lt;=36,"老品期","衰退期"))</f>
        <v/>
      </c>
      <c r="N1118" s="15" t="inlineStr">
        <is>
          <t>25年5月前胡娟娟负责</t>
        </is>
      </c>
    </row>
    <row r="1119" ht="15" customFormat="1" customHeight="1" s="36">
      <c r="A1119" s="4" t="inlineStr">
        <is>
          <t>Wintap-CA</t>
        </is>
      </c>
      <c r="B1119" s="4" t="inlineStr">
        <is>
          <t>Wintap加拿大站</t>
        </is>
      </c>
      <c r="C1119" s="4">
        <f>B1119&amp;D1119</f>
        <v/>
      </c>
      <c r="D1119" s="4" t="inlineStr">
        <is>
          <t>WT-9808CP</t>
        </is>
      </c>
      <c r="E1119" s="4" t="inlineStr">
        <is>
          <t>222F0098CP1</t>
        </is>
      </c>
      <c r="F1119" s="4" t="inlineStr">
        <is>
          <t>98系列四件套缸边浴缸龙头铬</t>
        </is>
      </c>
      <c r="G1119" s="4" t="inlineStr">
        <is>
          <t>陈巧娴</t>
        </is>
      </c>
      <c r="H1119" s="4" t="inlineStr">
        <is>
          <t>缸边浴缸</t>
        </is>
      </c>
      <c r="I1119" s="12" t="inlineStr">
        <is>
          <t>否</t>
        </is>
      </c>
      <c r="J1119" s="34" t="n">
        <v>45223</v>
      </c>
      <c r="K1119" s="34" t="n">
        <v>45223</v>
      </c>
      <c r="L1119" s="0">
        <f>DATEDIF(J1119,$L$1,"M")</f>
        <v/>
      </c>
      <c r="M1119" s="0">
        <f>IF(L1119&lt;18,"新品期",IF(L1119&lt;=36,"老品期","衰退期"))</f>
        <v/>
      </c>
      <c r="N1119" s="15" t="inlineStr">
        <is>
          <t>25年5月前胡娟娟负责</t>
        </is>
      </c>
    </row>
    <row r="1120" ht="15" customFormat="1" customHeight="1" s="36">
      <c r="A1120" s="4" t="inlineStr">
        <is>
          <t>Wintap-US</t>
        </is>
      </c>
      <c r="B1120" s="4" t="inlineStr">
        <is>
          <t>Wintap美国站</t>
        </is>
      </c>
      <c r="C1120" s="4">
        <f>B1120&amp;D1120</f>
        <v/>
      </c>
      <c r="D1120" s="4" t="inlineStr">
        <is>
          <t>WT-9808CP02</t>
        </is>
      </c>
      <c r="E1120" s="4" t="inlineStr">
        <is>
          <t>222F0098CP1</t>
        </is>
      </c>
      <c r="F1120" s="4" t="inlineStr">
        <is>
          <t>98系列四件套缸边浴缸龙头铬</t>
        </is>
      </c>
      <c r="G1120" s="4" t="inlineStr">
        <is>
          <t>陈巧娴</t>
        </is>
      </c>
      <c r="H1120" s="4" t="inlineStr">
        <is>
          <t>缸边浴缸</t>
        </is>
      </c>
      <c r="I1120" s="12" t="inlineStr">
        <is>
          <t>否</t>
        </is>
      </c>
      <c r="J1120" s="34" t="n">
        <v>45223</v>
      </c>
      <c r="K1120" s="34" t="n">
        <v>45223</v>
      </c>
      <c r="L1120" s="0">
        <f>DATEDIF(J1120,$L$1,"M")</f>
        <v/>
      </c>
      <c r="M1120" s="0">
        <f>IF(L1120&lt;18,"新品期",IF(L1120&lt;=36,"老品期","衰退期"))</f>
        <v/>
      </c>
      <c r="N1120" s="15" t="inlineStr">
        <is>
          <t>25年5月前胡娟娟负责</t>
        </is>
      </c>
    </row>
    <row r="1121" ht="15" customFormat="1" customHeight="1" s="36">
      <c r="A1121" s="4" t="inlineStr">
        <is>
          <t>Wintap-US</t>
        </is>
      </c>
      <c r="B1121" s="4" t="inlineStr">
        <is>
          <t>Wintap美国站</t>
        </is>
      </c>
      <c r="C1121" s="4">
        <f>B1121&amp;D1121</f>
        <v/>
      </c>
      <c r="D1121" s="4" t="inlineStr">
        <is>
          <t>WT-9808CP03</t>
        </is>
      </c>
      <c r="E1121" s="4" t="inlineStr">
        <is>
          <t>222F0098CP1</t>
        </is>
      </c>
      <c r="F1121" s="4" t="inlineStr">
        <is>
          <t>98系列四件套缸边浴缸龙头铬</t>
        </is>
      </c>
      <c r="G1121" s="4" t="inlineStr">
        <is>
          <t>陈巧娴</t>
        </is>
      </c>
      <c r="H1121" s="4" t="inlineStr">
        <is>
          <t>缸边浴缸</t>
        </is>
      </c>
      <c r="I1121" s="12" t="inlineStr">
        <is>
          <t>否</t>
        </is>
      </c>
      <c r="J1121" s="34" t="n">
        <v>45223</v>
      </c>
      <c r="K1121" s="34" t="n">
        <v>45223</v>
      </c>
      <c r="L1121" s="0">
        <f>DATEDIF(J1121,$L$1,"M")</f>
        <v/>
      </c>
      <c r="M1121" s="0">
        <f>IF(L1121&lt;18,"新品期",IF(L1121&lt;=36,"老品期","衰退期"))</f>
        <v/>
      </c>
      <c r="N1121" s="15" t="inlineStr">
        <is>
          <t>25年5月前胡娟娟负责</t>
        </is>
      </c>
    </row>
    <row r="1122" ht="15" customFormat="1" customHeight="1" s="36">
      <c r="A1122" s="4" t="inlineStr">
        <is>
          <t>Wintap-US</t>
        </is>
      </c>
      <c r="B1122" s="4" t="inlineStr">
        <is>
          <t>Wintap美国站</t>
        </is>
      </c>
      <c r="C1122" s="4">
        <f>B1122&amp;D1122</f>
        <v/>
      </c>
      <c r="D1122" s="4" t="inlineStr">
        <is>
          <t>WT-9808CP04</t>
        </is>
      </c>
      <c r="E1122" s="4" t="inlineStr">
        <is>
          <t>222F0098CP1</t>
        </is>
      </c>
      <c r="F1122" s="4" t="inlineStr">
        <is>
          <t>98系列四件套缸边浴缸龙头铬</t>
        </is>
      </c>
      <c r="G1122" s="4" t="inlineStr">
        <is>
          <t>陈巧娴</t>
        </is>
      </c>
      <c r="H1122" s="4" t="inlineStr">
        <is>
          <t>缸边浴缸</t>
        </is>
      </c>
      <c r="I1122" s="12" t="inlineStr">
        <is>
          <t>否</t>
        </is>
      </c>
      <c r="J1122" s="34" t="n">
        <v>45223</v>
      </c>
      <c r="K1122" s="34" t="n">
        <v>45223</v>
      </c>
      <c r="L1122" s="0">
        <f>DATEDIF(J1122,$L$1,"M")</f>
        <v/>
      </c>
      <c r="M1122" s="0">
        <f>IF(L1122&lt;18,"新品期",IF(L1122&lt;=36,"老品期","衰退期"))</f>
        <v/>
      </c>
      <c r="N1122" s="15" t="inlineStr">
        <is>
          <t>25年5月前胡娟娟负责</t>
        </is>
      </c>
    </row>
    <row r="1123" ht="15" customFormat="1" customHeight="1" s="36">
      <c r="A1123" s="4" t="inlineStr">
        <is>
          <t>Wintap-US</t>
        </is>
      </c>
      <c r="B1123" s="4" t="inlineStr">
        <is>
          <t>Wintap美国站</t>
        </is>
      </c>
      <c r="C1123" s="4">
        <f>B1123&amp;D1123</f>
        <v/>
      </c>
      <c r="D1123" s="4" t="inlineStr">
        <is>
          <t>WT-9808CPZZ</t>
        </is>
      </c>
      <c r="E1123" s="4" t="inlineStr">
        <is>
          <t>222F0098CP1</t>
        </is>
      </c>
      <c r="F1123" s="4" t="inlineStr">
        <is>
          <t>98系列四件套缸边浴缸龙头铬</t>
        </is>
      </c>
      <c r="G1123" s="4" t="inlineStr">
        <is>
          <t>陈巧娴</t>
        </is>
      </c>
      <c r="H1123" s="4" t="inlineStr">
        <is>
          <t>缸边浴缸</t>
        </is>
      </c>
      <c r="I1123" s="12" t="inlineStr">
        <is>
          <t>否</t>
        </is>
      </c>
      <c r="J1123" s="34" t="n">
        <v>45223</v>
      </c>
      <c r="K1123" s="34" t="n">
        <v>45223</v>
      </c>
      <c r="L1123" s="0">
        <f>DATEDIF(J1123,$L$1,"M")</f>
        <v/>
      </c>
      <c r="M1123" s="0">
        <f>IF(L1123&lt;18,"新品期",IF(L1123&lt;=36,"老品期","衰退期"))</f>
        <v/>
      </c>
      <c r="N1123" s="15" t="inlineStr">
        <is>
          <t>25年5月前胡娟娟负责</t>
        </is>
      </c>
    </row>
    <row r="1124" ht="15" customFormat="1" customHeight="1" s="36">
      <c r="A1124" s="4" t="inlineStr">
        <is>
          <t>Wintap-CA</t>
        </is>
      </c>
      <c r="B1124" s="4" t="inlineStr">
        <is>
          <t>Wintap加拿大站</t>
        </is>
      </c>
      <c r="C1124" s="4">
        <f>B1124&amp;D1124</f>
        <v/>
      </c>
      <c r="D1124" s="4" t="inlineStr">
        <is>
          <t>WT-9808CPZZ</t>
        </is>
      </c>
      <c r="E1124" s="4" t="inlineStr">
        <is>
          <t>222F0098CP1</t>
        </is>
      </c>
      <c r="F1124" s="4" t="inlineStr">
        <is>
          <t>98系列四件套缸边浴缸龙头铬</t>
        </is>
      </c>
      <c r="G1124" s="4" t="inlineStr">
        <is>
          <t>陈巧娴</t>
        </is>
      </c>
      <c r="H1124" s="4" t="inlineStr">
        <is>
          <t>缸边浴缸</t>
        </is>
      </c>
      <c r="I1124" s="12" t="inlineStr">
        <is>
          <t>否</t>
        </is>
      </c>
      <c r="J1124" s="34" t="n">
        <v>45223</v>
      </c>
      <c r="K1124" s="34" t="n">
        <v>45223</v>
      </c>
      <c r="L1124" s="0">
        <f>DATEDIF(J1124,$L$1,"M")</f>
        <v/>
      </c>
      <c r="M1124" s="0">
        <f>IF(L1124&lt;18,"新品期",IF(L1124&lt;=36,"老品期","衰退期"))</f>
        <v/>
      </c>
      <c r="N1124" s="15" t="inlineStr">
        <is>
          <t>25年5月前胡娟娟负责</t>
        </is>
      </c>
    </row>
    <row r="1125" ht="15" customFormat="1" customHeight="1" s="36">
      <c r="A1125" s="4" t="inlineStr">
        <is>
          <t>Wintap-BR</t>
        </is>
      </c>
      <c r="B1125" s="4" t="inlineStr">
        <is>
          <t>Wintap巴西站</t>
        </is>
      </c>
      <c r="C1125" s="4">
        <f>B1125&amp;D1125</f>
        <v/>
      </c>
      <c r="D1125" s="4" t="inlineStr">
        <is>
          <t>WT-9808CPZZ</t>
        </is>
      </c>
      <c r="E1125" s="4" t="inlineStr">
        <is>
          <t>222F0098CP1</t>
        </is>
      </c>
      <c r="F1125" s="4" t="inlineStr">
        <is>
          <t>98系列四件套缸边浴缸龙头铬</t>
        </is>
      </c>
      <c r="G1125" s="4" t="inlineStr">
        <is>
          <t>陈巧娴</t>
        </is>
      </c>
      <c r="H1125" s="4" t="inlineStr">
        <is>
          <t>缸边浴缸</t>
        </is>
      </c>
      <c r="I1125" s="12" t="inlineStr">
        <is>
          <t>否</t>
        </is>
      </c>
      <c r="J1125" s="34" t="n">
        <v>45223</v>
      </c>
      <c r="K1125" s="34" t="n">
        <v>45223</v>
      </c>
      <c r="L1125" s="0">
        <f>DATEDIF(J1125,$L$1,"M")</f>
        <v/>
      </c>
      <c r="M1125" s="0">
        <f>IF(L1125&lt;18,"新品期",IF(L1125&lt;=36,"老品期","衰退期"))</f>
        <v/>
      </c>
      <c r="N1125" s="15" t="inlineStr">
        <is>
          <t>25年5月前胡娟娟负责</t>
        </is>
      </c>
    </row>
    <row r="1126" ht="15" customFormat="1" customHeight="1" s="36">
      <c r="A1126" s="4" t="inlineStr">
        <is>
          <t>Wintap-US</t>
        </is>
      </c>
      <c r="B1126" s="4" t="inlineStr">
        <is>
          <t>Wintap美国站</t>
        </is>
      </c>
      <c r="C1126" s="4">
        <f>B1126&amp;D1126</f>
        <v/>
      </c>
      <c r="D1126" s="4" t="inlineStr">
        <is>
          <t>WT-9808CPZZ02</t>
        </is>
      </c>
      <c r="E1126" s="4" t="inlineStr">
        <is>
          <t>222F0098CP1</t>
        </is>
      </c>
      <c r="F1126" s="4" t="inlineStr">
        <is>
          <t>98系列四件套缸边浴缸龙头铬</t>
        </is>
      </c>
      <c r="G1126" s="4" t="inlineStr">
        <is>
          <t>陈巧娴</t>
        </is>
      </c>
      <c r="H1126" s="4" t="inlineStr">
        <is>
          <t>缸边浴缸</t>
        </is>
      </c>
      <c r="I1126" s="12" t="inlineStr">
        <is>
          <t>否</t>
        </is>
      </c>
      <c r="J1126" s="34" t="n">
        <v>45223</v>
      </c>
      <c r="K1126" s="34" t="n">
        <v>45223</v>
      </c>
      <c r="L1126" s="0">
        <f>DATEDIF(J1126,$L$1,"M")</f>
        <v/>
      </c>
      <c r="M1126" s="0">
        <f>IF(L1126&lt;18,"新品期",IF(L1126&lt;=36,"老品期","衰退期"))</f>
        <v/>
      </c>
      <c r="N1126" s="15" t="inlineStr">
        <is>
          <t>25年5月前胡娟娟负责</t>
        </is>
      </c>
    </row>
    <row r="1127" ht="15" customFormat="1" customHeight="1" s="36">
      <c r="A1127" s="4" t="inlineStr">
        <is>
          <t>Wintap-CA</t>
        </is>
      </c>
      <c r="B1127" s="4" t="inlineStr">
        <is>
          <t>Wintap加拿大站</t>
        </is>
      </c>
      <c r="C1127" s="4">
        <f>B1127&amp;D1127</f>
        <v/>
      </c>
      <c r="D1127" s="4" t="inlineStr">
        <is>
          <t>WT-9808CPZZ02</t>
        </is>
      </c>
      <c r="E1127" s="4" t="inlineStr">
        <is>
          <t>222F0098CP1</t>
        </is>
      </c>
      <c r="F1127" s="4" t="inlineStr">
        <is>
          <t>98系列四件套缸边浴缸龙头铬</t>
        </is>
      </c>
      <c r="G1127" s="4" t="inlineStr">
        <is>
          <t>陈巧娴</t>
        </is>
      </c>
      <c r="H1127" s="4" t="inlineStr">
        <is>
          <t>缸边浴缸</t>
        </is>
      </c>
      <c r="I1127" s="12" t="inlineStr">
        <is>
          <t>否</t>
        </is>
      </c>
      <c r="J1127" s="34" t="n">
        <v>45223</v>
      </c>
      <c r="K1127" s="34" t="n">
        <v>45223</v>
      </c>
      <c r="L1127" s="0">
        <f>DATEDIF(J1127,$L$1,"M")</f>
        <v/>
      </c>
      <c r="M1127" s="0">
        <f>IF(L1127&lt;18,"新品期",IF(L1127&lt;=36,"老品期","衰退期"))</f>
        <v/>
      </c>
      <c r="N1127" s="15" t="inlineStr">
        <is>
          <t>25年5月前胡娟娟负责</t>
        </is>
      </c>
    </row>
    <row r="1128" ht="15" customFormat="1" customHeight="1" s="36">
      <c r="A1128" s="4" t="inlineStr">
        <is>
          <t>Wintap-BR</t>
        </is>
      </c>
      <c r="B1128" s="4" t="inlineStr">
        <is>
          <t>Wintap巴西站</t>
        </is>
      </c>
      <c r="C1128" s="4">
        <f>B1128&amp;D1128</f>
        <v/>
      </c>
      <c r="D1128" s="4" t="inlineStr">
        <is>
          <t>WT-9808CPZZ02</t>
        </is>
      </c>
      <c r="E1128" s="4" t="inlineStr">
        <is>
          <t>222F0098CP1</t>
        </is>
      </c>
      <c r="F1128" s="4" t="inlineStr">
        <is>
          <t>98系列四件套缸边浴缸龙头铬</t>
        </is>
      </c>
      <c r="G1128" s="4" t="inlineStr">
        <is>
          <t>陈巧娴</t>
        </is>
      </c>
      <c r="H1128" s="4" t="inlineStr">
        <is>
          <t>缸边浴缸</t>
        </is>
      </c>
      <c r="I1128" s="12" t="inlineStr">
        <is>
          <t>否</t>
        </is>
      </c>
      <c r="J1128" s="34" t="n">
        <v>45223</v>
      </c>
      <c r="K1128" s="34" t="n">
        <v>45223</v>
      </c>
      <c r="L1128" s="0">
        <f>DATEDIF(J1128,$L$1,"M")</f>
        <v/>
      </c>
      <c r="M1128" s="0">
        <f>IF(L1128&lt;18,"新品期",IF(L1128&lt;=36,"老品期","衰退期"))</f>
        <v/>
      </c>
      <c r="N1128" s="15" t="inlineStr">
        <is>
          <t>25年5月前胡娟娟负责</t>
        </is>
      </c>
    </row>
    <row r="1129" ht="15" customFormat="1" customHeight="1" s="36">
      <c r="A1129" s="4" t="inlineStr">
        <is>
          <t>Wintap-US</t>
        </is>
      </c>
      <c r="B1129" s="4" t="inlineStr">
        <is>
          <t>Wintap美国站</t>
        </is>
      </c>
      <c r="C1129" s="4">
        <f>B1129&amp;D1129</f>
        <v/>
      </c>
      <c r="D1129" s="4" t="inlineStr">
        <is>
          <t>WT-9808ORB</t>
        </is>
      </c>
      <c r="E1129" s="4" t="inlineStr">
        <is>
          <t>222F0098OB1</t>
        </is>
      </c>
      <c r="F1129" s="4" t="inlineStr">
        <is>
          <t>98系列四件套缸边浴缸龙头 拉丝古铜色</t>
        </is>
      </c>
      <c r="G1129" s="4" t="inlineStr">
        <is>
          <t>陈巧娴</t>
        </is>
      </c>
      <c r="H1129" s="4" t="inlineStr">
        <is>
          <t>缸边浴缸</t>
        </is>
      </c>
      <c r="I1129" s="12" t="inlineStr">
        <is>
          <t>否</t>
        </is>
      </c>
      <c r="J1129" s="34" t="n">
        <v>45223</v>
      </c>
      <c r="K1129" s="34" t="n">
        <v>45223</v>
      </c>
      <c r="L1129" s="0">
        <f>DATEDIF(J1129,$L$1,"M")</f>
        <v/>
      </c>
      <c r="M1129" s="0">
        <f>IF(L1129&lt;18,"新品期",IF(L1129&lt;=36,"老品期","衰退期"))</f>
        <v/>
      </c>
      <c r="N1129" s="15" t="inlineStr">
        <is>
          <t>25年5月前胡娟娟负责</t>
        </is>
      </c>
    </row>
    <row r="1130" ht="15" customFormat="1" customHeight="1" s="36">
      <c r="A1130" s="4" t="inlineStr">
        <is>
          <t>Wintap-US</t>
        </is>
      </c>
      <c r="B1130" s="4" t="inlineStr">
        <is>
          <t>Wintap美国站</t>
        </is>
      </c>
      <c r="C1130" s="4">
        <f>B1130&amp;D1130</f>
        <v/>
      </c>
      <c r="D1130" s="4" t="inlineStr">
        <is>
          <t>WT-9808ORB02</t>
        </is>
      </c>
      <c r="E1130" s="4" t="inlineStr">
        <is>
          <t>222F0098OB1</t>
        </is>
      </c>
      <c r="F1130" s="4" t="inlineStr">
        <is>
          <t>98系列四件套缸边浴缸龙头 拉丝古铜色</t>
        </is>
      </c>
      <c r="G1130" s="4" t="inlineStr">
        <is>
          <t>陈巧娴</t>
        </is>
      </c>
      <c r="H1130" s="4" t="inlineStr">
        <is>
          <t>缸边浴缸</t>
        </is>
      </c>
      <c r="I1130" s="12" t="inlineStr">
        <is>
          <t>否</t>
        </is>
      </c>
      <c r="J1130" s="34" t="n">
        <v>45223</v>
      </c>
      <c r="K1130" s="34" t="n">
        <v>45223</v>
      </c>
      <c r="L1130" s="0">
        <f>DATEDIF(J1130,$L$1,"M")</f>
        <v/>
      </c>
      <c r="M1130" s="0">
        <f>IF(L1130&lt;18,"新品期",IF(L1130&lt;=36,"老品期","衰退期"))</f>
        <v/>
      </c>
      <c r="N1130" s="15" t="inlineStr">
        <is>
          <t>25年5月前胡娟娟负责</t>
        </is>
      </c>
    </row>
    <row r="1131" ht="15" customFormat="1" customHeight="1" s="36">
      <c r="A1131" s="4" t="inlineStr">
        <is>
          <t>Wintap-BR</t>
        </is>
      </c>
      <c r="B1131" s="4" t="inlineStr">
        <is>
          <t>Wintap巴西站</t>
        </is>
      </c>
      <c r="C1131" s="4">
        <f>B1131&amp;D1131</f>
        <v/>
      </c>
      <c r="D1131" s="4" t="inlineStr">
        <is>
          <t>WT-9808ORB02</t>
        </is>
      </c>
      <c r="E1131" s="4" t="inlineStr">
        <is>
          <t>222F0098OB1</t>
        </is>
      </c>
      <c r="F1131" s="4" t="inlineStr">
        <is>
          <t>98系列四件套缸边浴缸龙头 拉丝古铜色</t>
        </is>
      </c>
      <c r="G1131" s="4" t="inlineStr">
        <is>
          <t>陈巧娴</t>
        </is>
      </c>
      <c r="H1131" s="4" t="inlineStr">
        <is>
          <t>缸边浴缸</t>
        </is>
      </c>
      <c r="I1131" s="12" t="inlineStr">
        <is>
          <t>否</t>
        </is>
      </c>
      <c r="J1131" s="34" t="n">
        <v>45223</v>
      </c>
      <c r="K1131" s="34" t="n">
        <v>45223</v>
      </c>
      <c r="L1131" s="0">
        <f>DATEDIF(J1131,$L$1,"M")</f>
        <v/>
      </c>
      <c r="M1131" s="0">
        <f>IF(L1131&lt;18,"新品期",IF(L1131&lt;=36,"老品期","衰退期"))</f>
        <v/>
      </c>
      <c r="N1131" s="15" t="inlineStr">
        <is>
          <t>25年5月前胡娟娟负责</t>
        </is>
      </c>
    </row>
    <row r="1132" ht="15" customFormat="1" customHeight="1" s="36">
      <c r="A1132" s="4" t="inlineStr">
        <is>
          <t>Wintap-US</t>
        </is>
      </c>
      <c r="B1132" s="4" t="inlineStr">
        <is>
          <t>Wintap美国站</t>
        </is>
      </c>
      <c r="C1132" s="4">
        <f>B1132&amp;D1132</f>
        <v/>
      </c>
      <c r="D1132" s="4" t="inlineStr">
        <is>
          <t>WT-9808ORB03</t>
        </is>
      </c>
      <c r="E1132" s="4" t="inlineStr">
        <is>
          <t>222F0098OB1</t>
        </is>
      </c>
      <c r="F1132" s="4" t="inlineStr">
        <is>
          <t>98系列四件套缸边浴缸龙头 拉丝古铜色</t>
        </is>
      </c>
      <c r="G1132" s="4" t="inlineStr">
        <is>
          <t>陈巧娴</t>
        </is>
      </c>
      <c r="H1132" s="4" t="inlineStr">
        <is>
          <t>缸边浴缸</t>
        </is>
      </c>
      <c r="I1132" s="12" t="inlineStr">
        <is>
          <t>否</t>
        </is>
      </c>
      <c r="J1132" s="34" t="n">
        <v>45223</v>
      </c>
      <c r="K1132" s="34" t="n">
        <v>45223</v>
      </c>
      <c r="L1132" s="0">
        <f>DATEDIF(J1132,$L$1,"M")</f>
        <v/>
      </c>
      <c r="M1132" s="0">
        <f>IF(L1132&lt;18,"新品期",IF(L1132&lt;=36,"老品期","衰退期"))</f>
        <v/>
      </c>
      <c r="N1132" s="15" t="inlineStr">
        <is>
          <t>25年5月前胡娟娟负责</t>
        </is>
      </c>
    </row>
    <row r="1133" ht="15" customFormat="1" customHeight="1" s="36">
      <c r="A1133" s="4" t="inlineStr">
        <is>
          <t>Wintap-US</t>
        </is>
      </c>
      <c r="B1133" s="4" t="inlineStr">
        <is>
          <t>Wintap美国站</t>
        </is>
      </c>
      <c r="C1133" s="4">
        <f>B1133&amp;D1133</f>
        <v/>
      </c>
      <c r="D1133" s="4" t="inlineStr">
        <is>
          <t>WT-9808ORB04</t>
        </is>
      </c>
      <c r="E1133" s="4" t="inlineStr">
        <is>
          <t>222F0098OB1</t>
        </is>
      </c>
      <c r="F1133" s="4" t="inlineStr">
        <is>
          <t>98系列四件套缸边浴缸龙头 拉丝古铜色</t>
        </is>
      </c>
      <c r="G1133" s="4" t="inlineStr">
        <is>
          <t>陈巧娴</t>
        </is>
      </c>
      <c r="H1133" s="4" t="inlineStr">
        <is>
          <t>缸边浴缸</t>
        </is>
      </c>
      <c r="I1133" s="12" t="inlineStr">
        <is>
          <t>否</t>
        </is>
      </c>
      <c r="J1133" s="34" t="n">
        <v>45223</v>
      </c>
      <c r="K1133" s="34" t="n">
        <v>45223</v>
      </c>
      <c r="L1133" s="0">
        <f>DATEDIF(J1133,$L$1,"M")</f>
        <v/>
      </c>
      <c r="M1133" s="0">
        <f>IF(L1133&lt;18,"新品期",IF(L1133&lt;=36,"老品期","衰退期"))</f>
        <v/>
      </c>
      <c r="N1133" s="15" t="inlineStr">
        <is>
          <t>25年5月前胡娟娟负责</t>
        </is>
      </c>
    </row>
    <row r="1134" ht="15" customFormat="1" customHeight="1" s="36">
      <c r="A1134" s="4" t="inlineStr">
        <is>
          <t>Wintap-US</t>
        </is>
      </c>
      <c r="B1134" s="4" t="inlineStr">
        <is>
          <t>Wintap美国站</t>
        </is>
      </c>
      <c r="C1134" s="4">
        <f>B1134&amp;D1134</f>
        <v/>
      </c>
      <c r="D1134" s="4" t="inlineStr">
        <is>
          <t>WT-9808ORBZZ</t>
        </is>
      </c>
      <c r="E1134" s="4" t="inlineStr">
        <is>
          <t>222F0098OB1</t>
        </is>
      </c>
      <c r="F1134" s="4" t="inlineStr">
        <is>
          <t>98系列四件套缸边浴缸龙头 拉丝古铜色</t>
        </is>
      </c>
      <c r="G1134" s="4" t="inlineStr">
        <is>
          <t>陈巧娴</t>
        </is>
      </c>
      <c r="H1134" s="4" t="inlineStr">
        <is>
          <t>缸边浴缸</t>
        </is>
      </c>
      <c r="I1134" s="12" t="inlineStr">
        <is>
          <t>否</t>
        </is>
      </c>
      <c r="J1134" s="34" t="n">
        <v>45223</v>
      </c>
      <c r="K1134" s="34" t="n">
        <v>45223</v>
      </c>
      <c r="L1134" s="0">
        <f>DATEDIF(J1134,$L$1,"M")</f>
        <v/>
      </c>
      <c r="M1134" s="0">
        <f>IF(L1134&lt;18,"新品期",IF(L1134&lt;=36,"老品期","衰退期"))</f>
        <v/>
      </c>
      <c r="N1134" s="15" t="inlineStr">
        <is>
          <t>25年5月前胡娟娟负责</t>
        </is>
      </c>
    </row>
    <row r="1135" ht="15" customFormat="1" customHeight="1" s="36">
      <c r="A1135" s="4" t="inlineStr">
        <is>
          <t>Wintap-BR</t>
        </is>
      </c>
      <c r="B1135" s="4" t="inlineStr">
        <is>
          <t>Wintap巴西站</t>
        </is>
      </c>
      <c r="C1135" s="4">
        <f>B1135&amp;D1135</f>
        <v/>
      </c>
      <c r="D1135" s="4" t="inlineStr">
        <is>
          <t>WT-9808ORBZZ</t>
        </is>
      </c>
      <c r="E1135" s="4" t="inlineStr">
        <is>
          <t>222F0098OB1</t>
        </is>
      </c>
      <c r="F1135" s="4" t="inlineStr">
        <is>
          <t>98系列四件套缸边浴缸龙头 拉丝古铜色</t>
        </is>
      </c>
      <c r="G1135" s="4" t="inlineStr">
        <is>
          <t>陈巧娴</t>
        </is>
      </c>
      <c r="H1135" s="4" t="inlineStr">
        <is>
          <t>缸边浴缸</t>
        </is>
      </c>
      <c r="I1135" s="12" t="inlineStr">
        <is>
          <t>否</t>
        </is>
      </c>
      <c r="J1135" s="34" t="n">
        <v>45223</v>
      </c>
      <c r="K1135" s="34" t="n">
        <v>45223</v>
      </c>
      <c r="L1135" s="0">
        <f>DATEDIF(J1135,$L$1,"M")</f>
        <v/>
      </c>
      <c r="M1135" s="0">
        <f>IF(L1135&lt;18,"新品期",IF(L1135&lt;=36,"老品期","衰退期"))</f>
        <v/>
      </c>
      <c r="N1135" s="15" t="inlineStr">
        <is>
          <t>25年5月前胡娟娟负责</t>
        </is>
      </c>
    </row>
    <row r="1136" ht="15" customFormat="1" customHeight="1" s="36">
      <c r="A1136" s="4" t="inlineStr">
        <is>
          <t>Wintap-US</t>
        </is>
      </c>
      <c r="B1136" s="4" t="inlineStr">
        <is>
          <t>Wintap美国站</t>
        </is>
      </c>
      <c r="C1136" s="4">
        <f>B1136&amp;D1136</f>
        <v/>
      </c>
      <c r="D1136" s="4" t="inlineStr">
        <is>
          <t>WT-9808RGBK</t>
        </is>
      </c>
      <c r="E1136" s="4" t="inlineStr">
        <is>
          <t>222F0098RB1</t>
        </is>
      </c>
      <c r="F1136" s="4" t="inlineStr">
        <is>
          <t>98系列四件套缸边浴缸龙头拉丝玫瑰金+黑色</t>
        </is>
      </c>
      <c r="G1136" s="4" t="inlineStr">
        <is>
          <t>陈巧娴</t>
        </is>
      </c>
      <c r="H1136" s="4" t="inlineStr">
        <is>
          <t>缸边浴缸</t>
        </is>
      </c>
      <c r="I1136" s="22" t="inlineStr">
        <is>
          <t>是</t>
        </is>
      </c>
      <c r="J1136" s="34" t="n">
        <v>45223</v>
      </c>
      <c r="K1136" s="34" t="n">
        <v>45223</v>
      </c>
      <c r="L1136" s="0">
        <f>DATEDIF(J1136,$L$1,"M")</f>
        <v/>
      </c>
      <c r="M1136" s="0">
        <f>IF(L1136&lt;18,"新品期",IF(L1136&lt;=36,"老品期","衰退期"))</f>
        <v/>
      </c>
      <c r="N1136" s="15" t="inlineStr">
        <is>
          <t>25年5月前胡娟娟负责</t>
        </is>
      </c>
    </row>
    <row r="1137" ht="15" customFormat="1" customHeight="1" s="36">
      <c r="A1137" s="4" t="inlineStr">
        <is>
          <t>Wintap-US</t>
        </is>
      </c>
      <c r="B1137" s="4" t="inlineStr">
        <is>
          <t>Wintap美国站</t>
        </is>
      </c>
      <c r="C1137" s="4">
        <f>B1137&amp;D1137</f>
        <v/>
      </c>
      <c r="D1137" s="4" t="inlineStr">
        <is>
          <t>WT-9808RGBK03</t>
        </is>
      </c>
      <c r="E1137" s="4" t="inlineStr">
        <is>
          <t>222F0098RB1</t>
        </is>
      </c>
      <c r="F1137" s="4" t="inlineStr">
        <is>
          <t>98系列四件套缸边浴缸龙头拉丝玫瑰金+黑色</t>
        </is>
      </c>
      <c r="G1137" s="4" t="inlineStr">
        <is>
          <t>陈巧娴</t>
        </is>
      </c>
      <c r="H1137" s="4" t="inlineStr">
        <is>
          <t>缸边浴缸</t>
        </is>
      </c>
      <c r="I1137" s="22" t="inlineStr">
        <is>
          <t>是</t>
        </is>
      </c>
      <c r="J1137" s="34" t="n">
        <v>45223</v>
      </c>
      <c r="K1137" s="34" t="n">
        <v>45223</v>
      </c>
      <c r="L1137" s="0">
        <f>DATEDIF(J1137,$L$1,"M")</f>
        <v/>
      </c>
      <c r="M1137" s="0">
        <f>IF(L1137&lt;18,"新品期",IF(L1137&lt;=36,"老品期","衰退期"))</f>
        <v/>
      </c>
      <c r="N1137" s="15" t="inlineStr">
        <is>
          <t>25年5月前胡娟娟负责</t>
        </is>
      </c>
    </row>
    <row r="1138" ht="15" customFormat="1" customHeight="1" s="36">
      <c r="A1138" s="4" t="inlineStr">
        <is>
          <t>Wintap-US</t>
        </is>
      </c>
      <c r="B1138" s="4" t="inlineStr">
        <is>
          <t>Wintap美国站</t>
        </is>
      </c>
      <c r="C1138" s="4">
        <f>B1138&amp;D1138</f>
        <v/>
      </c>
      <c r="D1138" s="4" t="inlineStr">
        <is>
          <t>WT-9808RGBK04</t>
        </is>
      </c>
      <c r="E1138" s="4" t="inlineStr">
        <is>
          <t>222F0098RB1</t>
        </is>
      </c>
      <c r="F1138" s="4" t="inlineStr">
        <is>
          <t>98系列四件套缸边浴缸龙头拉丝玫瑰金+黑色</t>
        </is>
      </c>
      <c r="G1138" s="4" t="inlineStr">
        <is>
          <t>陈巧娴</t>
        </is>
      </c>
      <c r="H1138" s="4" t="inlineStr">
        <is>
          <t>缸边浴缸</t>
        </is>
      </c>
      <c r="I1138" s="22" t="inlineStr">
        <is>
          <t>是</t>
        </is>
      </c>
      <c r="J1138" s="34" t="n">
        <v>45223</v>
      </c>
      <c r="K1138" s="34" t="n">
        <v>45223</v>
      </c>
      <c r="L1138" s="0">
        <f>DATEDIF(J1138,$L$1,"M")</f>
        <v/>
      </c>
      <c r="M1138" s="0">
        <f>IF(L1138&lt;18,"新品期",IF(L1138&lt;=36,"老品期","衰退期"))</f>
        <v/>
      </c>
      <c r="N1138" s="15" t="inlineStr">
        <is>
          <t>25年5月前胡娟娟负责</t>
        </is>
      </c>
    </row>
    <row r="1139" ht="15" customFormat="1" customHeight="1" s="36">
      <c r="A1139" s="4" t="inlineStr">
        <is>
          <t>Wintap-US</t>
        </is>
      </c>
      <c r="B1139" s="4" t="inlineStr">
        <is>
          <t>Wintap美国站</t>
        </is>
      </c>
      <c r="C1139" s="4">
        <f>B1139&amp;D1139</f>
        <v/>
      </c>
      <c r="D1139" s="4" t="inlineStr">
        <is>
          <t>WT-9808RGBKZZ02</t>
        </is>
      </c>
      <c r="E1139" s="4" t="inlineStr">
        <is>
          <t>222F0098RB1</t>
        </is>
      </c>
      <c r="F1139" s="4" t="inlineStr">
        <is>
          <t>98系列四件套缸边浴缸龙头拉丝玫瑰金+黑色</t>
        </is>
      </c>
      <c r="G1139" s="4" t="inlineStr">
        <is>
          <t>陈巧娴</t>
        </is>
      </c>
      <c r="H1139" s="4" t="inlineStr">
        <is>
          <t>缸边浴缸</t>
        </is>
      </c>
      <c r="I1139" s="22" t="inlineStr">
        <is>
          <t>是</t>
        </is>
      </c>
      <c r="J1139" s="34" t="n">
        <v>45223</v>
      </c>
      <c r="K1139" s="34" t="n">
        <v>45223</v>
      </c>
      <c r="L1139" s="0">
        <f>DATEDIF(J1139,$L$1,"M")</f>
        <v/>
      </c>
      <c r="M1139" s="0">
        <f>IF(L1139&lt;18,"新品期",IF(L1139&lt;=36,"老品期","衰退期"))</f>
        <v/>
      </c>
      <c r="N1139" s="15" t="inlineStr">
        <is>
          <t>25年5月前胡娟娟负责</t>
        </is>
      </c>
    </row>
    <row r="1140" ht="15" customFormat="1" customHeight="1" s="36">
      <c r="A1140" s="4" t="inlineStr">
        <is>
          <t>Wintap-CA</t>
        </is>
      </c>
      <c r="B1140" s="4" t="inlineStr">
        <is>
          <t>Wintap加拿大站</t>
        </is>
      </c>
      <c r="C1140" s="4">
        <f>B1140&amp;D1140</f>
        <v/>
      </c>
      <c r="D1140" s="4" t="inlineStr">
        <is>
          <t>WT-9808RGBKZZ02</t>
        </is>
      </c>
      <c r="E1140" s="4" t="inlineStr">
        <is>
          <t>222F0098RB1</t>
        </is>
      </c>
      <c r="F1140" s="4" t="inlineStr">
        <is>
          <t>98系列四件套缸边浴缸龙头拉丝玫瑰金+黑色</t>
        </is>
      </c>
      <c r="G1140" s="4" t="inlineStr">
        <is>
          <t>陈巧娴</t>
        </is>
      </c>
      <c r="H1140" s="4" t="inlineStr">
        <is>
          <t>缸边浴缸</t>
        </is>
      </c>
      <c r="I1140" s="22" t="inlineStr">
        <is>
          <t>是</t>
        </is>
      </c>
      <c r="J1140" s="34" t="n">
        <v>45223</v>
      </c>
      <c r="K1140" s="34" t="n">
        <v>45223</v>
      </c>
      <c r="L1140" s="0">
        <f>DATEDIF(J1140,$L$1,"M")</f>
        <v/>
      </c>
      <c r="M1140" s="0">
        <f>IF(L1140&lt;18,"新品期",IF(L1140&lt;=36,"老品期","衰退期"))</f>
        <v/>
      </c>
      <c r="N1140" s="15" t="inlineStr">
        <is>
          <t>25年5月前胡娟娟负责</t>
        </is>
      </c>
    </row>
    <row r="1141" ht="15" customFormat="1" customHeight="1" s="36">
      <c r="A1141" s="4" t="inlineStr">
        <is>
          <t>Wintap-BR</t>
        </is>
      </c>
      <c r="B1141" s="4" t="inlineStr">
        <is>
          <t>Wintap巴西站</t>
        </is>
      </c>
      <c r="C1141" s="4">
        <f>B1141&amp;D1141</f>
        <v/>
      </c>
      <c r="D1141" s="4" t="inlineStr">
        <is>
          <t>WT-9808RGBKZZ02</t>
        </is>
      </c>
      <c r="E1141" s="4" t="inlineStr">
        <is>
          <t>222F0098RB1</t>
        </is>
      </c>
      <c r="F1141" s="4" t="inlineStr">
        <is>
          <t>98系列四件套缸边浴缸龙头拉丝玫瑰金+黑色</t>
        </is>
      </c>
      <c r="G1141" s="4" t="inlineStr">
        <is>
          <t>陈巧娴</t>
        </is>
      </c>
      <c r="H1141" s="4" t="inlineStr">
        <is>
          <t>缸边浴缸</t>
        </is>
      </c>
      <c r="I1141" s="22" t="inlineStr">
        <is>
          <t>是</t>
        </is>
      </c>
      <c r="J1141" s="34" t="n">
        <v>45223</v>
      </c>
      <c r="K1141" s="34" t="n">
        <v>45223</v>
      </c>
      <c r="L1141" s="0">
        <f>DATEDIF(J1141,$L$1,"M")</f>
        <v/>
      </c>
      <c r="M1141" s="0">
        <f>IF(L1141&lt;18,"新品期",IF(L1141&lt;=36,"老品期","衰退期"))</f>
        <v/>
      </c>
      <c r="N1141" s="15" t="inlineStr">
        <is>
          <t>25年5月前胡娟娟负责</t>
        </is>
      </c>
    </row>
    <row r="1142" ht="15" customFormat="1" customHeight="1" s="36">
      <c r="A1142" s="4" t="inlineStr">
        <is>
          <t>Wintap-US</t>
        </is>
      </c>
      <c r="B1142" s="4" t="inlineStr">
        <is>
          <t>Wintap美国站</t>
        </is>
      </c>
      <c r="C1142" s="4">
        <f>B1142&amp;D1142</f>
        <v/>
      </c>
      <c r="D1142" s="4" t="inlineStr">
        <is>
          <t>WT-9809BG</t>
        </is>
      </c>
      <c r="E1142" s="4" t="inlineStr">
        <is>
          <t>223F0098BG1</t>
        </is>
      </c>
      <c r="F1142" s="4" t="inlineStr">
        <is>
          <t>89系列五件套缸边浴缸龙头 拉丝钛金封油</t>
        </is>
      </c>
      <c r="G1142" s="4" t="inlineStr">
        <is>
          <t>陈巧娴</t>
        </is>
      </c>
      <c r="H1142" s="4" t="inlineStr">
        <is>
          <t>缸边浴缸</t>
        </is>
      </c>
      <c r="I1142" s="12" t="inlineStr">
        <is>
          <t>否</t>
        </is>
      </c>
      <c r="J1142" s="34" t="n">
        <v>45557</v>
      </c>
      <c r="K1142" s="34" t="n">
        <v>45557</v>
      </c>
      <c r="L1142" s="0">
        <f>DATEDIF(J1142,$L$1,"M")</f>
        <v/>
      </c>
      <c r="M1142" s="0">
        <f>IF(L1142&lt;18,"新品期",IF(L1142&lt;=36,"老品期","衰退期"))</f>
        <v/>
      </c>
      <c r="N1142" s="15" t="inlineStr">
        <is>
          <t>25年5月前胡娟娟负责</t>
        </is>
      </c>
    </row>
    <row r="1143" ht="15" customFormat="1" customHeight="1" s="36">
      <c r="A1143" s="4" t="inlineStr">
        <is>
          <t>Wintap-CA</t>
        </is>
      </c>
      <c r="B1143" s="4" t="inlineStr">
        <is>
          <t>Wintap加拿大站</t>
        </is>
      </c>
      <c r="C1143" s="4">
        <f>B1143&amp;D1143</f>
        <v/>
      </c>
      <c r="D1143" s="4" t="inlineStr">
        <is>
          <t>WT-9809BG</t>
        </is>
      </c>
      <c r="E1143" s="4" t="inlineStr">
        <is>
          <t>223F0098BG1</t>
        </is>
      </c>
      <c r="F1143" s="4" t="inlineStr">
        <is>
          <t>89系列五件套缸边浴缸龙头 拉丝钛金封油</t>
        </is>
      </c>
      <c r="G1143" s="4" t="inlineStr">
        <is>
          <t>陈巧娴</t>
        </is>
      </c>
      <c r="H1143" s="4" t="inlineStr">
        <is>
          <t>缸边浴缸</t>
        </is>
      </c>
      <c r="I1143" s="12" t="inlineStr">
        <is>
          <t>否</t>
        </is>
      </c>
      <c r="J1143" s="34" t="n">
        <v>45557</v>
      </c>
      <c r="K1143" s="34" t="n">
        <v>45557</v>
      </c>
      <c r="L1143" s="0">
        <f>DATEDIF(J1143,$L$1,"M")</f>
        <v/>
      </c>
      <c r="M1143" s="0">
        <f>IF(L1143&lt;18,"新品期",IF(L1143&lt;=36,"老品期","衰退期"))</f>
        <v/>
      </c>
      <c r="N1143" s="15" t="inlineStr">
        <is>
          <t>25年5月前胡娟娟负责</t>
        </is>
      </c>
    </row>
    <row r="1144" ht="15" customFormat="1" customHeight="1" s="36">
      <c r="A1144" s="4" t="inlineStr">
        <is>
          <t>Wintap-US</t>
        </is>
      </c>
      <c r="B1144" s="4" t="inlineStr">
        <is>
          <t>Wintap美国站</t>
        </is>
      </c>
      <c r="C1144" s="4">
        <f>B1144&amp;D1144</f>
        <v/>
      </c>
      <c r="D1144" s="4" t="inlineStr">
        <is>
          <t>WT-9809BG02</t>
        </is>
      </c>
      <c r="E1144" s="4" t="inlineStr">
        <is>
          <t>223F0098BG1</t>
        </is>
      </c>
      <c r="F1144" s="4" t="inlineStr">
        <is>
          <t>89系列五件套缸边浴缸龙头 拉丝钛金封油</t>
        </is>
      </c>
      <c r="G1144" s="4" t="inlineStr">
        <is>
          <t>陈巧娴</t>
        </is>
      </c>
      <c r="H1144" s="4" t="inlineStr">
        <is>
          <t>缸边浴缸</t>
        </is>
      </c>
      <c r="I1144" s="12" t="inlineStr">
        <is>
          <t>否</t>
        </is>
      </c>
      <c r="J1144" s="34" t="n">
        <v>45557</v>
      </c>
      <c r="K1144" s="34" t="n">
        <v>45557</v>
      </c>
      <c r="L1144" s="0">
        <f>DATEDIF(J1144,$L$1,"M")</f>
        <v/>
      </c>
      <c r="M1144" s="0">
        <f>IF(L1144&lt;18,"新品期",IF(L1144&lt;=36,"老品期","衰退期"))</f>
        <v/>
      </c>
      <c r="N1144" s="15" t="inlineStr">
        <is>
          <t>25年5月前胡娟娟负责</t>
        </is>
      </c>
    </row>
    <row r="1145" ht="15" customFormat="1" customHeight="1" s="36">
      <c r="A1145" s="4" t="inlineStr">
        <is>
          <t>Wintap-US</t>
        </is>
      </c>
      <c r="B1145" s="4" t="inlineStr">
        <is>
          <t>Wintap美国站</t>
        </is>
      </c>
      <c r="C1145" s="4">
        <f>B1145&amp;D1145</f>
        <v/>
      </c>
      <c r="D1145" s="4" t="inlineStr">
        <is>
          <t>WT-9809BG03</t>
        </is>
      </c>
      <c r="E1145" s="4" t="inlineStr">
        <is>
          <t>223F0098BG1</t>
        </is>
      </c>
      <c r="F1145" s="4" t="inlineStr">
        <is>
          <t>89系列五件套缸边浴缸龙头 拉丝钛金封油</t>
        </is>
      </c>
      <c r="G1145" s="4" t="inlineStr">
        <is>
          <t>陈巧娴</t>
        </is>
      </c>
      <c r="H1145" s="4" t="inlineStr">
        <is>
          <t>缸边浴缸</t>
        </is>
      </c>
      <c r="I1145" s="12" t="inlineStr">
        <is>
          <t>否</t>
        </is>
      </c>
      <c r="J1145" s="34" t="n">
        <v>45557</v>
      </c>
      <c r="K1145" s="34" t="n">
        <v>45557</v>
      </c>
      <c r="L1145" s="0">
        <f>DATEDIF(J1145,$L$1,"M")</f>
        <v/>
      </c>
      <c r="M1145" s="0">
        <f>IF(L1145&lt;18,"新品期",IF(L1145&lt;=36,"老品期","衰退期"))</f>
        <v/>
      </c>
      <c r="N1145" s="15" t="inlineStr">
        <is>
          <t>25年5月前胡娟娟负责</t>
        </is>
      </c>
    </row>
    <row r="1146" ht="15" customFormat="1" customHeight="1" s="36">
      <c r="A1146" s="4" t="inlineStr">
        <is>
          <t>Wintap-US</t>
        </is>
      </c>
      <c r="B1146" s="4" t="inlineStr">
        <is>
          <t>Wintap美国站</t>
        </is>
      </c>
      <c r="C1146" s="4">
        <f>B1146&amp;D1146</f>
        <v/>
      </c>
      <c r="D1146" s="4" t="inlineStr">
        <is>
          <t>WT-9809BG04</t>
        </is>
      </c>
      <c r="E1146" s="4" t="inlineStr">
        <is>
          <t>223F0098BG1</t>
        </is>
      </c>
      <c r="F1146" s="4" t="inlineStr">
        <is>
          <t>89系列五件套缸边浴缸龙头 拉丝钛金封油</t>
        </is>
      </c>
      <c r="G1146" s="4" t="inlineStr">
        <is>
          <t>陈巧娴</t>
        </is>
      </c>
      <c r="H1146" s="4" t="inlineStr">
        <is>
          <t>缸边浴缸</t>
        </is>
      </c>
      <c r="I1146" s="12" t="inlineStr">
        <is>
          <t>否</t>
        </is>
      </c>
      <c r="J1146" s="34" t="n">
        <v>45557</v>
      </c>
      <c r="K1146" s="34" t="n">
        <v>45557</v>
      </c>
      <c r="L1146" s="0">
        <f>DATEDIF(J1146,$L$1,"M")</f>
        <v/>
      </c>
      <c r="M1146" s="0">
        <f>IF(L1146&lt;18,"新品期",IF(L1146&lt;=36,"老品期","衰退期"))</f>
        <v/>
      </c>
      <c r="N1146" s="15" t="inlineStr">
        <is>
          <t>25年5月前胡娟娟负责</t>
        </is>
      </c>
    </row>
    <row r="1147" ht="15" customFormat="1" customHeight="1" s="36">
      <c r="A1147" s="4" t="inlineStr">
        <is>
          <t>Wintap-US</t>
        </is>
      </c>
      <c r="B1147" s="4" t="inlineStr">
        <is>
          <t>Wintap美国站</t>
        </is>
      </c>
      <c r="C1147" s="4">
        <f>B1147&amp;D1147</f>
        <v/>
      </c>
      <c r="D1147" s="4" t="inlineStr">
        <is>
          <t>WT-9809BGZZ</t>
        </is>
      </c>
      <c r="E1147" s="4" t="inlineStr">
        <is>
          <t>223F0098BG1</t>
        </is>
      </c>
      <c r="F1147" s="4" t="inlineStr">
        <is>
          <t>89系列五件套缸边浴缸龙头 拉丝钛金封油</t>
        </is>
      </c>
      <c r="G1147" s="4" t="inlineStr">
        <is>
          <t>陈巧娴</t>
        </is>
      </c>
      <c r="H1147" s="4" t="inlineStr">
        <is>
          <t>缸边浴缸</t>
        </is>
      </c>
      <c r="I1147" s="12" t="inlineStr">
        <is>
          <t>否</t>
        </is>
      </c>
      <c r="J1147" s="34" t="n">
        <v>45557</v>
      </c>
      <c r="K1147" s="34" t="n">
        <v>45557</v>
      </c>
      <c r="L1147" s="0">
        <f>DATEDIF(J1147,$L$1,"M")</f>
        <v/>
      </c>
      <c r="M1147" s="0">
        <f>IF(L1147&lt;18,"新品期",IF(L1147&lt;=36,"老品期","衰退期"))</f>
        <v/>
      </c>
      <c r="N1147" s="15" t="inlineStr">
        <is>
          <t>25年5月前胡娟娟负责</t>
        </is>
      </c>
    </row>
    <row r="1148" ht="15" customFormat="1" customHeight="1" s="36">
      <c r="A1148" s="4" t="inlineStr">
        <is>
          <t>Wintap-US</t>
        </is>
      </c>
      <c r="B1148" s="4" t="inlineStr">
        <is>
          <t>Wintap美国站</t>
        </is>
      </c>
      <c r="C1148" s="4">
        <f>B1148&amp;D1148</f>
        <v/>
      </c>
      <c r="D1148" s="4" t="inlineStr">
        <is>
          <t>WT-9809BK</t>
        </is>
      </c>
      <c r="E1148" s="4" t="inlineStr">
        <is>
          <t>223F0098BK1</t>
        </is>
      </c>
      <c r="F1148" s="4" t="inlineStr">
        <is>
          <t>89系列五件套缸边浴缸龙头 电泳黑</t>
        </is>
      </c>
      <c r="G1148" s="4" t="inlineStr">
        <is>
          <t>陈巧娴</t>
        </is>
      </c>
      <c r="H1148" s="4" t="inlineStr">
        <is>
          <t>缸边浴缸</t>
        </is>
      </c>
      <c r="I1148" s="12" t="inlineStr">
        <is>
          <t>否</t>
        </is>
      </c>
      <c r="J1148" s="34" t="n">
        <v>45557</v>
      </c>
      <c r="K1148" s="34" t="n">
        <v>45557</v>
      </c>
      <c r="L1148" s="0">
        <f>DATEDIF(J1148,$L$1,"M")</f>
        <v/>
      </c>
      <c r="M1148" s="0">
        <f>IF(L1148&lt;18,"新品期",IF(L1148&lt;=36,"老品期","衰退期"))</f>
        <v/>
      </c>
      <c r="N1148" s="15" t="inlineStr">
        <is>
          <t>25年5月前胡娟娟负责</t>
        </is>
      </c>
    </row>
    <row r="1149" ht="15" customFormat="1" customHeight="1" s="36">
      <c r="A1149" s="4" t="inlineStr">
        <is>
          <t>Wintap-US</t>
        </is>
      </c>
      <c r="B1149" s="4" t="inlineStr">
        <is>
          <t>Wintap美国站</t>
        </is>
      </c>
      <c r="C1149" s="4">
        <f>B1149&amp;D1149</f>
        <v/>
      </c>
      <c r="D1149" s="4" t="inlineStr">
        <is>
          <t>WT-9809BK02</t>
        </is>
      </c>
      <c r="E1149" s="4" t="inlineStr">
        <is>
          <t>223F0098BK1</t>
        </is>
      </c>
      <c r="F1149" s="4" t="inlineStr">
        <is>
          <t>89系列五件套缸边浴缸龙头 电泳黑</t>
        </is>
      </c>
      <c r="G1149" s="4" t="inlineStr">
        <is>
          <t>陈巧娴</t>
        </is>
      </c>
      <c r="H1149" s="4" t="inlineStr">
        <is>
          <t>缸边浴缸</t>
        </is>
      </c>
      <c r="I1149" s="12" t="inlineStr">
        <is>
          <t>否</t>
        </is>
      </c>
      <c r="J1149" s="34" t="n">
        <v>45557</v>
      </c>
      <c r="K1149" s="34" t="n">
        <v>45557</v>
      </c>
      <c r="L1149" s="0">
        <f>DATEDIF(J1149,$L$1,"M")</f>
        <v/>
      </c>
      <c r="M1149" s="0">
        <f>IF(L1149&lt;18,"新品期",IF(L1149&lt;=36,"老品期","衰退期"))</f>
        <v/>
      </c>
      <c r="N1149" s="15" t="inlineStr">
        <is>
          <t>25年5月前胡娟娟负责</t>
        </is>
      </c>
    </row>
    <row r="1150" ht="15" customFormat="1" customHeight="1" s="36">
      <c r="A1150" s="4" t="inlineStr">
        <is>
          <t>Wintap-US</t>
        </is>
      </c>
      <c r="B1150" s="4" t="inlineStr">
        <is>
          <t>Wintap美国站</t>
        </is>
      </c>
      <c r="C1150" s="4">
        <f>B1150&amp;D1150</f>
        <v/>
      </c>
      <c r="D1150" s="4" t="inlineStr">
        <is>
          <t>WT-9809BK03</t>
        </is>
      </c>
      <c r="E1150" s="4" t="inlineStr">
        <is>
          <t>223F0098BK1</t>
        </is>
      </c>
      <c r="F1150" s="4" t="inlineStr">
        <is>
          <t>89系列五件套缸边浴缸龙头 电泳黑</t>
        </is>
      </c>
      <c r="G1150" s="4" t="inlineStr">
        <is>
          <t>陈巧娴</t>
        </is>
      </c>
      <c r="H1150" s="4" t="inlineStr">
        <is>
          <t>缸边浴缸</t>
        </is>
      </c>
      <c r="I1150" s="12" t="inlineStr">
        <is>
          <t>否</t>
        </is>
      </c>
      <c r="J1150" s="34" t="n">
        <v>45557</v>
      </c>
      <c r="K1150" s="34" t="n">
        <v>45557</v>
      </c>
      <c r="L1150" s="0">
        <f>DATEDIF(J1150,$L$1,"M")</f>
        <v/>
      </c>
      <c r="M1150" s="0">
        <f>IF(L1150&lt;18,"新品期",IF(L1150&lt;=36,"老品期","衰退期"))</f>
        <v/>
      </c>
      <c r="N1150" s="15" t="inlineStr">
        <is>
          <t>25年5月前胡娟娟负责</t>
        </is>
      </c>
    </row>
    <row r="1151" ht="15" customFormat="1" customHeight="1" s="36">
      <c r="A1151" s="4" t="inlineStr">
        <is>
          <t>Wintap-US</t>
        </is>
      </c>
      <c r="B1151" s="4" t="inlineStr">
        <is>
          <t>Wintap美国站</t>
        </is>
      </c>
      <c r="C1151" s="4">
        <f>B1151&amp;D1151</f>
        <v/>
      </c>
      <c r="D1151" s="4" t="inlineStr">
        <is>
          <t>WT-9809BK04</t>
        </is>
      </c>
      <c r="E1151" s="4" t="inlineStr">
        <is>
          <t>223F0098BK1</t>
        </is>
      </c>
      <c r="F1151" s="4" t="inlineStr">
        <is>
          <t>89系列五件套缸边浴缸龙头 电泳黑</t>
        </is>
      </c>
      <c r="G1151" s="4" t="inlineStr">
        <is>
          <t>陈巧娴</t>
        </is>
      </c>
      <c r="H1151" s="4" t="inlineStr">
        <is>
          <t>缸边浴缸</t>
        </is>
      </c>
      <c r="I1151" s="12" t="inlineStr">
        <is>
          <t>否</t>
        </is>
      </c>
      <c r="J1151" s="34" t="n">
        <v>45557</v>
      </c>
      <c r="K1151" s="34" t="n">
        <v>45557</v>
      </c>
      <c r="L1151" s="0">
        <f>DATEDIF(J1151,$L$1,"M")</f>
        <v/>
      </c>
      <c r="M1151" s="0">
        <f>IF(L1151&lt;18,"新品期",IF(L1151&lt;=36,"老品期","衰退期"))</f>
        <v/>
      </c>
      <c r="N1151" s="15" t="inlineStr">
        <is>
          <t>25年5月前胡娟娟负责</t>
        </is>
      </c>
    </row>
    <row r="1152" ht="15" customFormat="1" customHeight="1" s="36">
      <c r="A1152" s="4" t="inlineStr">
        <is>
          <t>Wintap-US</t>
        </is>
      </c>
      <c r="B1152" s="4" t="inlineStr">
        <is>
          <t>Wintap美国站</t>
        </is>
      </c>
      <c r="C1152" s="4">
        <f>B1152&amp;D1152</f>
        <v/>
      </c>
      <c r="D1152" s="4" t="inlineStr">
        <is>
          <t>WT-9809BKZZ</t>
        </is>
      </c>
      <c r="E1152" s="4" t="inlineStr">
        <is>
          <t>223F0098BK1</t>
        </is>
      </c>
      <c r="F1152" s="4" t="inlineStr">
        <is>
          <t>89系列五件套缸边浴缸龙头 电泳黑</t>
        </is>
      </c>
      <c r="G1152" s="4" t="inlineStr">
        <is>
          <t>陈巧娴</t>
        </is>
      </c>
      <c r="H1152" s="4" t="inlineStr">
        <is>
          <t>缸边浴缸</t>
        </is>
      </c>
      <c r="I1152" s="12" t="inlineStr">
        <is>
          <t>否</t>
        </is>
      </c>
      <c r="J1152" s="34" t="n">
        <v>45557</v>
      </c>
      <c r="K1152" s="34" t="n">
        <v>45557</v>
      </c>
      <c r="L1152" s="0">
        <f>DATEDIF(J1152,$L$1,"M")</f>
        <v/>
      </c>
      <c r="M1152" s="0">
        <f>IF(L1152&lt;18,"新品期",IF(L1152&lt;=36,"老品期","衰退期"))</f>
        <v/>
      </c>
      <c r="N1152" s="15" t="inlineStr">
        <is>
          <t>25年5月前胡娟娟负责</t>
        </is>
      </c>
    </row>
    <row r="1153" ht="15" customFormat="1" customHeight="1" s="36">
      <c r="A1153" s="4" t="inlineStr">
        <is>
          <t>Wintap-US</t>
        </is>
      </c>
      <c r="B1153" s="4" t="inlineStr">
        <is>
          <t>Wintap美国站</t>
        </is>
      </c>
      <c r="C1153" s="4">
        <f>B1153&amp;D1153</f>
        <v/>
      </c>
      <c r="D1153" s="4" t="inlineStr">
        <is>
          <t>WT-9809BKZZ02</t>
        </is>
      </c>
      <c r="E1153" s="4" t="inlineStr">
        <is>
          <t>223F0098BK1</t>
        </is>
      </c>
      <c r="F1153" s="4" t="inlineStr">
        <is>
          <t>89系列五件套缸边浴缸龙头 电泳黑</t>
        </is>
      </c>
      <c r="G1153" s="4" t="inlineStr">
        <is>
          <t>陈巧娴</t>
        </is>
      </c>
      <c r="H1153" s="4" t="inlineStr">
        <is>
          <t>缸边浴缸</t>
        </is>
      </c>
      <c r="I1153" s="12" t="inlineStr">
        <is>
          <t>否</t>
        </is>
      </c>
      <c r="J1153" s="34" t="n">
        <v>45557</v>
      </c>
      <c r="K1153" s="34" t="n">
        <v>45557</v>
      </c>
      <c r="L1153" s="0">
        <f>DATEDIF(J1153,$L$1,"M")</f>
        <v/>
      </c>
      <c r="M1153" s="0">
        <f>IF(L1153&lt;18,"新品期",IF(L1153&lt;=36,"老品期","衰退期"))</f>
        <v/>
      </c>
      <c r="N1153" s="15" t="inlineStr">
        <is>
          <t>25年5月前胡娟娟负责</t>
        </is>
      </c>
    </row>
    <row r="1154" ht="15" customFormat="1" customHeight="1" s="36">
      <c r="A1154" s="4" t="inlineStr">
        <is>
          <t>Wintap-CA</t>
        </is>
      </c>
      <c r="B1154" s="4" t="inlineStr">
        <is>
          <t>Wintap加拿大站</t>
        </is>
      </c>
      <c r="C1154" s="4">
        <f>B1154&amp;D1154</f>
        <v/>
      </c>
      <c r="D1154" s="4" t="inlineStr">
        <is>
          <t>WT-9809BKZZ02</t>
        </is>
      </c>
      <c r="E1154" s="4" t="inlineStr">
        <is>
          <t>223F0098BK1</t>
        </is>
      </c>
      <c r="F1154" s="4" t="inlineStr">
        <is>
          <t>89系列五件套缸边浴缸龙头 电泳黑</t>
        </is>
      </c>
      <c r="G1154" s="4" t="inlineStr">
        <is>
          <t>陈巧娴</t>
        </is>
      </c>
      <c r="H1154" s="4" t="inlineStr">
        <is>
          <t>缸边浴缸</t>
        </is>
      </c>
      <c r="I1154" s="12" t="inlineStr">
        <is>
          <t>否</t>
        </is>
      </c>
      <c r="J1154" s="34" t="n">
        <v>45557</v>
      </c>
      <c r="K1154" s="34" t="n">
        <v>45557</v>
      </c>
      <c r="L1154" s="0">
        <f>DATEDIF(J1154,$L$1,"M")</f>
        <v/>
      </c>
      <c r="M1154" s="0">
        <f>IF(L1154&lt;18,"新品期",IF(L1154&lt;=36,"老品期","衰退期"))</f>
        <v/>
      </c>
      <c r="N1154" s="15" t="inlineStr">
        <is>
          <t>25年5月前胡娟娟负责</t>
        </is>
      </c>
    </row>
    <row r="1155" ht="15" customFormat="1" customHeight="1" s="36">
      <c r="A1155" s="4" t="inlineStr">
        <is>
          <t>Wintap-BR</t>
        </is>
      </c>
      <c r="B1155" s="4" t="inlineStr">
        <is>
          <t>Wintap巴西站</t>
        </is>
      </c>
      <c r="C1155" s="4">
        <f>B1155&amp;D1155</f>
        <v/>
      </c>
      <c r="D1155" s="4" t="inlineStr">
        <is>
          <t>WT-9809BKZZ02</t>
        </is>
      </c>
      <c r="E1155" s="4" t="inlineStr">
        <is>
          <t>223F0098BK1</t>
        </is>
      </c>
      <c r="F1155" s="4" t="inlineStr">
        <is>
          <t>89系列五件套缸边浴缸龙头 电泳黑</t>
        </is>
      </c>
      <c r="G1155" s="4" t="inlineStr">
        <is>
          <t>陈巧娴</t>
        </is>
      </c>
      <c r="H1155" s="4" t="inlineStr">
        <is>
          <t>缸边浴缸</t>
        </is>
      </c>
      <c r="I1155" s="12" t="inlineStr">
        <is>
          <t>否</t>
        </is>
      </c>
      <c r="J1155" s="34" t="n">
        <v>45557</v>
      </c>
      <c r="K1155" s="34" t="n">
        <v>45557</v>
      </c>
      <c r="L1155" s="0">
        <f>DATEDIF(J1155,$L$1,"M")</f>
        <v/>
      </c>
      <c r="M1155" s="0">
        <f>IF(L1155&lt;18,"新品期",IF(L1155&lt;=36,"老品期","衰退期"))</f>
        <v/>
      </c>
      <c r="N1155" s="15" t="inlineStr">
        <is>
          <t>25年5月前胡娟娟负责</t>
        </is>
      </c>
    </row>
    <row r="1156" ht="15" customFormat="1" customHeight="1" s="36">
      <c r="A1156" s="4" t="inlineStr">
        <is>
          <t>Wintap-US</t>
        </is>
      </c>
      <c r="B1156" s="4" t="inlineStr">
        <is>
          <t>Wintap美国站</t>
        </is>
      </c>
      <c r="C1156" s="4">
        <f>B1156&amp;D1156</f>
        <v/>
      </c>
      <c r="D1156" s="4" t="inlineStr">
        <is>
          <t>WT-9809BN</t>
        </is>
      </c>
      <c r="E1156" s="4" t="inlineStr">
        <is>
          <t>223F0098BN1</t>
        </is>
      </c>
      <c r="F1156" s="4" t="inlineStr">
        <is>
          <t>89系列五件套缸边浴缸龙头拉丝封油</t>
        </is>
      </c>
      <c r="G1156" s="4" t="inlineStr">
        <is>
          <t>陈巧娴</t>
        </is>
      </c>
      <c r="H1156" s="4" t="inlineStr">
        <is>
          <t>缸边浴缸</t>
        </is>
      </c>
      <c r="I1156" s="12" t="inlineStr">
        <is>
          <t>否</t>
        </is>
      </c>
      <c r="J1156" s="34" t="n">
        <v>45557</v>
      </c>
      <c r="K1156" s="34" t="n">
        <v>45557</v>
      </c>
      <c r="L1156" s="0">
        <f>DATEDIF(J1156,$L$1,"M")</f>
        <v/>
      </c>
      <c r="M1156" s="0">
        <f>IF(L1156&lt;18,"新品期",IF(L1156&lt;=36,"老品期","衰退期"))</f>
        <v/>
      </c>
      <c r="N1156" s="15" t="inlineStr">
        <is>
          <t>25年5月前胡娟娟负责</t>
        </is>
      </c>
    </row>
    <row r="1157" ht="15" customFormat="1" customHeight="1" s="36">
      <c r="A1157" s="4" t="inlineStr">
        <is>
          <t>Wintap-US</t>
        </is>
      </c>
      <c r="B1157" s="4" t="inlineStr">
        <is>
          <t>Wintap美国站</t>
        </is>
      </c>
      <c r="C1157" s="4">
        <f>B1157&amp;D1157</f>
        <v/>
      </c>
      <c r="D1157" s="4" t="inlineStr">
        <is>
          <t>WT-9809BN02</t>
        </is>
      </c>
      <c r="E1157" s="4" t="inlineStr">
        <is>
          <t>223F0098BN1</t>
        </is>
      </c>
      <c r="F1157" s="4" t="inlineStr">
        <is>
          <t>89系列五件套缸边浴缸龙头拉丝封油</t>
        </is>
      </c>
      <c r="G1157" s="4" t="inlineStr">
        <is>
          <t>陈巧娴</t>
        </is>
      </c>
      <c r="H1157" s="4" t="inlineStr">
        <is>
          <t>缸边浴缸</t>
        </is>
      </c>
      <c r="I1157" s="12" t="inlineStr">
        <is>
          <t>否</t>
        </is>
      </c>
      <c r="J1157" s="34" t="n">
        <v>45557</v>
      </c>
      <c r="K1157" s="34" t="n">
        <v>45557</v>
      </c>
      <c r="L1157" s="0">
        <f>DATEDIF(J1157,$L$1,"M")</f>
        <v/>
      </c>
      <c r="M1157" s="0">
        <f>IF(L1157&lt;18,"新品期",IF(L1157&lt;=36,"老品期","衰退期"))</f>
        <v/>
      </c>
      <c r="N1157" s="15" t="inlineStr">
        <is>
          <t>25年5月前胡娟娟负责</t>
        </is>
      </c>
    </row>
    <row r="1158" ht="15" customFormat="1" customHeight="1" s="36">
      <c r="A1158" s="4" t="inlineStr">
        <is>
          <t>Wintap-US</t>
        </is>
      </c>
      <c r="B1158" s="4" t="inlineStr">
        <is>
          <t>Wintap美国站</t>
        </is>
      </c>
      <c r="C1158" s="4">
        <f>B1158&amp;D1158</f>
        <v/>
      </c>
      <c r="D1158" s="4" t="inlineStr">
        <is>
          <t>WT-9809BN03</t>
        </is>
      </c>
      <c r="E1158" s="4" t="inlineStr">
        <is>
          <t>223F0098BN1</t>
        </is>
      </c>
      <c r="F1158" s="4" t="inlineStr">
        <is>
          <t>89系列五件套缸边浴缸龙头拉丝封油</t>
        </is>
      </c>
      <c r="G1158" s="4" t="inlineStr">
        <is>
          <t>陈巧娴</t>
        </is>
      </c>
      <c r="H1158" s="4" t="inlineStr">
        <is>
          <t>缸边浴缸</t>
        </is>
      </c>
      <c r="I1158" s="12" t="inlineStr">
        <is>
          <t>否</t>
        </is>
      </c>
      <c r="J1158" s="34" t="n">
        <v>45557</v>
      </c>
      <c r="K1158" s="34" t="n">
        <v>45557</v>
      </c>
      <c r="L1158" s="0">
        <f>DATEDIF(J1158,$L$1,"M")</f>
        <v/>
      </c>
      <c r="M1158" s="0">
        <f>IF(L1158&lt;18,"新品期",IF(L1158&lt;=36,"老品期","衰退期"))</f>
        <v/>
      </c>
      <c r="N1158" s="15" t="inlineStr">
        <is>
          <t>25年5月前胡娟娟负责</t>
        </is>
      </c>
    </row>
    <row r="1159" ht="15" customFormat="1" customHeight="1" s="36">
      <c r="A1159" s="4" t="inlineStr">
        <is>
          <t>Wintap-US</t>
        </is>
      </c>
      <c r="B1159" s="4" t="inlineStr">
        <is>
          <t>Wintap美国站</t>
        </is>
      </c>
      <c r="C1159" s="4">
        <f>B1159&amp;D1159</f>
        <v/>
      </c>
      <c r="D1159" s="4" t="inlineStr">
        <is>
          <t>WT-9809BN04</t>
        </is>
      </c>
      <c r="E1159" s="4" t="inlineStr">
        <is>
          <t>223F0098BN1</t>
        </is>
      </c>
      <c r="F1159" s="4" t="inlineStr">
        <is>
          <t>89系列五件套缸边浴缸龙头拉丝封油</t>
        </is>
      </c>
      <c r="G1159" s="4" t="inlineStr">
        <is>
          <t>陈巧娴</t>
        </is>
      </c>
      <c r="H1159" s="4" t="inlineStr">
        <is>
          <t>缸边浴缸</t>
        </is>
      </c>
      <c r="I1159" s="12" t="inlineStr">
        <is>
          <t>否</t>
        </is>
      </c>
      <c r="J1159" s="34" t="n">
        <v>45557</v>
      </c>
      <c r="K1159" s="34" t="n">
        <v>45557</v>
      </c>
      <c r="L1159" s="0">
        <f>DATEDIF(J1159,$L$1,"M")</f>
        <v/>
      </c>
      <c r="M1159" s="0">
        <f>IF(L1159&lt;18,"新品期",IF(L1159&lt;=36,"老品期","衰退期"))</f>
        <v/>
      </c>
      <c r="N1159" s="15" t="inlineStr">
        <is>
          <t>25年5月前胡娟娟负责</t>
        </is>
      </c>
    </row>
    <row r="1160" ht="15" customFormat="1" customHeight="1" s="36">
      <c r="A1160" s="4" t="inlineStr">
        <is>
          <t>Wintap-US</t>
        </is>
      </c>
      <c r="B1160" s="4" t="inlineStr">
        <is>
          <t>Wintap美国站</t>
        </is>
      </c>
      <c r="C1160" s="4">
        <f>B1160&amp;D1160</f>
        <v/>
      </c>
      <c r="D1160" s="4" t="inlineStr">
        <is>
          <t>WT-9809BNZZ</t>
        </is>
      </c>
      <c r="E1160" s="4" t="inlineStr">
        <is>
          <t>223F0098BN1</t>
        </is>
      </c>
      <c r="F1160" s="4" t="inlineStr">
        <is>
          <t>89系列五件套缸边浴缸龙头拉丝封油</t>
        </is>
      </c>
      <c r="G1160" s="4" t="inlineStr">
        <is>
          <t>陈巧娴</t>
        </is>
      </c>
      <c r="H1160" s="4" t="inlineStr">
        <is>
          <t>缸边浴缸</t>
        </is>
      </c>
      <c r="I1160" s="12" t="inlineStr">
        <is>
          <t>否</t>
        </is>
      </c>
      <c r="J1160" s="34" t="n">
        <v>45557</v>
      </c>
      <c r="K1160" s="34" t="n">
        <v>45557</v>
      </c>
      <c r="L1160" s="0">
        <f>DATEDIF(J1160,$L$1,"M")</f>
        <v/>
      </c>
      <c r="M1160" s="0">
        <f>IF(L1160&lt;18,"新品期",IF(L1160&lt;=36,"老品期","衰退期"))</f>
        <v/>
      </c>
      <c r="N1160" s="15" t="inlineStr">
        <is>
          <t>25年5月前胡娟娟负责</t>
        </is>
      </c>
    </row>
    <row r="1161" ht="15" customFormat="1" customHeight="1" s="36">
      <c r="A1161" s="4" t="inlineStr">
        <is>
          <t>Wintap-US</t>
        </is>
      </c>
      <c r="B1161" s="4" t="inlineStr">
        <is>
          <t>Wintap美国站</t>
        </is>
      </c>
      <c r="C1161" s="4">
        <f>B1161&amp;D1161</f>
        <v/>
      </c>
      <c r="D1161" s="4" t="inlineStr">
        <is>
          <t>WT-9809BNZZ02</t>
        </is>
      </c>
      <c r="E1161" s="4" t="inlineStr">
        <is>
          <t>223F0098BN1</t>
        </is>
      </c>
      <c r="F1161" s="4" t="inlineStr">
        <is>
          <t>89系列五件套缸边浴缸龙头拉丝封油</t>
        </is>
      </c>
      <c r="G1161" s="4" t="inlineStr">
        <is>
          <t>陈巧娴</t>
        </is>
      </c>
      <c r="H1161" s="4" t="inlineStr">
        <is>
          <t>缸边浴缸</t>
        </is>
      </c>
      <c r="I1161" s="12" t="inlineStr">
        <is>
          <t>否</t>
        </is>
      </c>
      <c r="J1161" s="34" t="n">
        <v>45557</v>
      </c>
      <c r="K1161" s="34" t="n">
        <v>45557</v>
      </c>
      <c r="L1161" s="0">
        <f>DATEDIF(J1161,$L$1,"M")</f>
        <v/>
      </c>
      <c r="M1161" s="0">
        <f>IF(L1161&lt;18,"新品期",IF(L1161&lt;=36,"老品期","衰退期"))</f>
        <v/>
      </c>
      <c r="N1161" s="15" t="inlineStr">
        <is>
          <t>25年5月前胡娟娟负责</t>
        </is>
      </c>
    </row>
    <row r="1162" ht="15" customFormat="1" customHeight="1" s="36">
      <c r="A1162" s="4" t="inlineStr">
        <is>
          <t>Wintap-CA</t>
        </is>
      </c>
      <c r="B1162" s="4" t="inlineStr">
        <is>
          <t>Wintap加拿大站</t>
        </is>
      </c>
      <c r="C1162" s="4">
        <f>B1162&amp;D1162</f>
        <v/>
      </c>
      <c r="D1162" s="4" t="inlineStr">
        <is>
          <t>WT-9809BNZZ02</t>
        </is>
      </c>
      <c r="E1162" s="4" t="inlineStr">
        <is>
          <t>223F0098BN1</t>
        </is>
      </c>
      <c r="F1162" s="4" t="inlineStr">
        <is>
          <t>89系列五件套缸边浴缸龙头拉丝封油</t>
        </is>
      </c>
      <c r="G1162" s="4" t="inlineStr">
        <is>
          <t>陈巧娴</t>
        </is>
      </c>
      <c r="H1162" s="4" t="inlineStr">
        <is>
          <t>缸边浴缸</t>
        </is>
      </c>
      <c r="I1162" s="12" t="inlineStr">
        <is>
          <t>否</t>
        </is>
      </c>
      <c r="J1162" s="34" t="n">
        <v>45557</v>
      </c>
      <c r="K1162" s="34" t="n">
        <v>45557</v>
      </c>
      <c r="L1162" s="0">
        <f>DATEDIF(J1162,$L$1,"M")</f>
        <v/>
      </c>
      <c r="M1162" s="0">
        <f>IF(L1162&lt;18,"新品期",IF(L1162&lt;=36,"老品期","衰退期"))</f>
        <v/>
      </c>
      <c r="N1162" s="15" t="inlineStr">
        <is>
          <t>25年5月前胡娟娟负责</t>
        </is>
      </c>
    </row>
    <row r="1163" ht="15" customFormat="1" customHeight="1" s="36">
      <c r="A1163" s="4" t="inlineStr">
        <is>
          <t>Wintap-BR</t>
        </is>
      </c>
      <c r="B1163" s="4" t="inlineStr">
        <is>
          <t>Wintap巴西站</t>
        </is>
      </c>
      <c r="C1163" s="4">
        <f>B1163&amp;D1163</f>
        <v/>
      </c>
      <c r="D1163" s="4" t="inlineStr">
        <is>
          <t>WT-9809BNZZ02</t>
        </is>
      </c>
      <c r="E1163" s="4" t="inlineStr">
        <is>
          <t>223F0098BN1</t>
        </is>
      </c>
      <c r="F1163" s="4" t="inlineStr">
        <is>
          <t>89系列五件套缸边浴缸龙头拉丝封油</t>
        </is>
      </c>
      <c r="G1163" s="4" t="inlineStr">
        <is>
          <t>陈巧娴</t>
        </is>
      </c>
      <c r="H1163" s="4" t="inlineStr">
        <is>
          <t>缸边浴缸</t>
        </is>
      </c>
      <c r="I1163" s="12" t="inlineStr">
        <is>
          <t>否</t>
        </is>
      </c>
      <c r="J1163" s="34" t="n">
        <v>45557</v>
      </c>
      <c r="K1163" s="34" t="n">
        <v>45557</v>
      </c>
      <c r="L1163" s="0">
        <f>DATEDIF(J1163,$L$1,"M")</f>
        <v/>
      </c>
      <c r="M1163" s="0">
        <f>IF(L1163&lt;18,"新品期",IF(L1163&lt;=36,"老品期","衰退期"))</f>
        <v/>
      </c>
      <c r="N1163" s="15" t="inlineStr">
        <is>
          <t>25年5月前胡娟娟负责</t>
        </is>
      </c>
    </row>
    <row r="1164" ht="15" customFormat="1" customHeight="1" s="36">
      <c r="A1164" s="4" t="inlineStr">
        <is>
          <t>Wintap-US</t>
        </is>
      </c>
      <c r="B1164" s="4" t="inlineStr">
        <is>
          <t>Wintap美国站</t>
        </is>
      </c>
      <c r="C1164" s="4">
        <f>B1164&amp;D1164</f>
        <v/>
      </c>
      <c r="D1164" s="4" t="inlineStr">
        <is>
          <t>WT-9809CP</t>
        </is>
      </c>
      <c r="E1164" s="4" t="inlineStr">
        <is>
          <t>223F0098CP1</t>
        </is>
      </c>
      <c r="F1164" s="4" t="inlineStr">
        <is>
          <t>89系列五件套缸边浴缸龙头 铬</t>
        </is>
      </c>
      <c r="G1164" s="4" t="inlineStr">
        <is>
          <t>陈巧娴</t>
        </is>
      </c>
      <c r="H1164" s="4" t="inlineStr">
        <is>
          <t>缸边浴缸</t>
        </is>
      </c>
      <c r="I1164" s="12" t="inlineStr">
        <is>
          <t>否</t>
        </is>
      </c>
      <c r="J1164" s="34" t="n">
        <v>45557</v>
      </c>
      <c r="K1164" s="34" t="n">
        <v>45557</v>
      </c>
      <c r="L1164" s="0">
        <f>DATEDIF(J1164,$L$1,"M")</f>
        <v/>
      </c>
      <c r="M1164" s="0">
        <f>IF(L1164&lt;18,"新品期",IF(L1164&lt;=36,"老品期","衰退期"))</f>
        <v/>
      </c>
      <c r="N1164" s="15" t="inlineStr">
        <is>
          <t>25年5月前胡娟娟负责</t>
        </is>
      </c>
    </row>
    <row r="1165" ht="15" customFormat="1" customHeight="1" s="36">
      <c r="A1165" s="4" t="inlineStr">
        <is>
          <t>Wintap-US</t>
        </is>
      </c>
      <c r="B1165" s="4" t="inlineStr">
        <is>
          <t>Wintap美国站</t>
        </is>
      </c>
      <c r="C1165" s="4">
        <f>B1165&amp;D1165</f>
        <v/>
      </c>
      <c r="D1165" s="4" t="inlineStr">
        <is>
          <t>WT-9809CP02</t>
        </is>
      </c>
      <c r="E1165" s="4" t="inlineStr">
        <is>
          <t>223F0098CP1</t>
        </is>
      </c>
      <c r="F1165" s="4" t="inlineStr">
        <is>
          <t>89系列五件套缸边浴缸龙头 铬</t>
        </is>
      </c>
      <c r="G1165" s="4" t="inlineStr">
        <is>
          <t>陈巧娴</t>
        </is>
      </c>
      <c r="H1165" s="4" t="inlineStr">
        <is>
          <t>缸边浴缸</t>
        </is>
      </c>
      <c r="I1165" s="12" t="inlineStr">
        <is>
          <t>否</t>
        </is>
      </c>
      <c r="J1165" s="34" t="n">
        <v>45557</v>
      </c>
      <c r="K1165" s="34" t="n">
        <v>45557</v>
      </c>
      <c r="L1165" s="0">
        <f>DATEDIF(J1165,$L$1,"M")</f>
        <v/>
      </c>
      <c r="M1165" s="0">
        <f>IF(L1165&lt;18,"新品期",IF(L1165&lt;=36,"老品期","衰退期"))</f>
        <v/>
      </c>
      <c r="N1165" s="15" t="inlineStr">
        <is>
          <t>25年5月前胡娟娟负责</t>
        </is>
      </c>
    </row>
    <row r="1166" ht="15" customFormat="1" customHeight="1" s="36">
      <c r="A1166" s="4" t="inlineStr">
        <is>
          <t>Wintap-US</t>
        </is>
      </c>
      <c r="B1166" s="4" t="inlineStr">
        <is>
          <t>Wintap美国站</t>
        </is>
      </c>
      <c r="C1166" s="4">
        <f>B1166&amp;D1166</f>
        <v/>
      </c>
      <c r="D1166" s="4" t="inlineStr">
        <is>
          <t>WT-9809CP03</t>
        </is>
      </c>
      <c r="E1166" s="4" t="inlineStr">
        <is>
          <t>223F0098CP1</t>
        </is>
      </c>
      <c r="F1166" s="4" t="inlineStr">
        <is>
          <t>89系列五件套缸边浴缸龙头 铬</t>
        </is>
      </c>
      <c r="G1166" s="4" t="inlineStr">
        <is>
          <t>陈巧娴</t>
        </is>
      </c>
      <c r="H1166" s="4" t="inlineStr">
        <is>
          <t>缸边浴缸</t>
        </is>
      </c>
      <c r="I1166" s="12" t="inlineStr">
        <is>
          <t>否</t>
        </is>
      </c>
      <c r="J1166" s="34" t="n">
        <v>45557</v>
      </c>
      <c r="K1166" s="34" t="n">
        <v>45557</v>
      </c>
      <c r="L1166" s="0">
        <f>DATEDIF(J1166,$L$1,"M")</f>
        <v/>
      </c>
      <c r="M1166" s="0">
        <f>IF(L1166&lt;18,"新品期",IF(L1166&lt;=36,"老品期","衰退期"))</f>
        <v/>
      </c>
      <c r="N1166" s="15" t="inlineStr">
        <is>
          <t>25年5月前胡娟娟负责</t>
        </is>
      </c>
    </row>
    <row r="1167" ht="15" customFormat="1" customHeight="1" s="36">
      <c r="A1167" s="4" t="inlineStr">
        <is>
          <t>Wintap-US</t>
        </is>
      </c>
      <c r="B1167" s="4" t="inlineStr">
        <is>
          <t>Wintap美国站</t>
        </is>
      </c>
      <c r="C1167" s="4">
        <f>B1167&amp;D1167</f>
        <v/>
      </c>
      <c r="D1167" s="4" t="inlineStr">
        <is>
          <t>WT-9809CP04</t>
        </is>
      </c>
      <c r="E1167" s="4" t="inlineStr">
        <is>
          <t>223F0098CP1</t>
        </is>
      </c>
      <c r="F1167" s="4" t="inlineStr">
        <is>
          <t>89系列五件套缸边浴缸龙头 铬</t>
        </is>
      </c>
      <c r="G1167" s="4" t="inlineStr">
        <is>
          <t>陈巧娴</t>
        </is>
      </c>
      <c r="H1167" s="4" t="inlineStr">
        <is>
          <t>缸边浴缸</t>
        </is>
      </c>
      <c r="I1167" s="12" t="inlineStr">
        <is>
          <t>否</t>
        </is>
      </c>
      <c r="J1167" s="34" t="n">
        <v>45557</v>
      </c>
      <c r="K1167" s="34" t="n">
        <v>45557</v>
      </c>
      <c r="L1167" s="0">
        <f>DATEDIF(J1167,$L$1,"M")</f>
        <v/>
      </c>
      <c r="M1167" s="0">
        <f>IF(L1167&lt;18,"新品期",IF(L1167&lt;=36,"老品期","衰退期"))</f>
        <v/>
      </c>
      <c r="N1167" s="15" t="inlineStr">
        <is>
          <t>25年5月前胡娟娟负责</t>
        </is>
      </c>
    </row>
    <row r="1168" ht="15" customFormat="1" customHeight="1" s="36">
      <c r="A1168" s="4" t="inlineStr">
        <is>
          <t>Wintap-US</t>
        </is>
      </c>
      <c r="B1168" s="4" t="inlineStr">
        <is>
          <t>Wintap美国站</t>
        </is>
      </c>
      <c r="C1168" s="4">
        <f>B1168&amp;D1168</f>
        <v/>
      </c>
      <c r="D1168" s="4" t="inlineStr">
        <is>
          <t>WT-9809CPZZ</t>
        </is>
      </c>
      <c r="E1168" s="4" t="inlineStr">
        <is>
          <t>223F0098CP1</t>
        </is>
      </c>
      <c r="F1168" s="4" t="inlineStr">
        <is>
          <t>89系列五件套缸边浴缸龙头 铬</t>
        </is>
      </c>
      <c r="G1168" s="4" t="inlineStr">
        <is>
          <t>陈巧娴</t>
        </is>
      </c>
      <c r="H1168" s="4" t="inlineStr">
        <is>
          <t>缸边浴缸</t>
        </is>
      </c>
      <c r="I1168" s="12" t="inlineStr">
        <is>
          <t>否</t>
        </is>
      </c>
      <c r="J1168" s="34" t="n">
        <v>45557</v>
      </c>
      <c r="K1168" s="34" t="n">
        <v>45557</v>
      </c>
      <c r="L1168" s="0">
        <f>DATEDIF(J1168,$L$1,"M")</f>
        <v/>
      </c>
      <c r="M1168" s="0">
        <f>IF(L1168&lt;18,"新品期",IF(L1168&lt;=36,"老品期","衰退期"))</f>
        <v/>
      </c>
      <c r="N1168" s="15" t="inlineStr">
        <is>
          <t>25年5月前胡娟娟负责</t>
        </is>
      </c>
    </row>
    <row r="1169" ht="15" customFormat="1" customHeight="1" s="36">
      <c r="A1169" s="4" t="inlineStr">
        <is>
          <t>Wintap-US</t>
        </is>
      </c>
      <c r="B1169" s="4" t="inlineStr">
        <is>
          <t>Wintap美国站</t>
        </is>
      </c>
      <c r="C1169" s="4">
        <f>B1169&amp;D1169</f>
        <v/>
      </c>
      <c r="D1169" s="4" t="inlineStr">
        <is>
          <t>WT-9809CPZZ02</t>
        </is>
      </c>
      <c r="E1169" s="4" t="inlineStr">
        <is>
          <t>223F0098CP1</t>
        </is>
      </c>
      <c r="F1169" s="4" t="inlineStr">
        <is>
          <t>89系列五件套缸边浴缸龙头 铬</t>
        </is>
      </c>
      <c r="G1169" s="4" t="inlineStr">
        <is>
          <t>陈巧娴</t>
        </is>
      </c>
      <c r="H1169" s="4" t="inlineStr">
        <is>
          <t>缸边浴缸</t>
        </is>
      </c>
      <c r="I1169" s="12" t="inlineStr">
        <is>
          <t>否</t>
        </is>
      </c>
      <c r="J1169" s="34" t="n">
        <v>45557</v>
      </c>
      <c r="K1169" s="34" t="n">
        <v>45557</v>
      </c>
      <c r="L1169" s="0">
        <f>DATEDIF(J1169,$L$1,"M")</f>
        <v/>
      </c>
      <c r="M1169" s="0">
        <f>IF(L1169&lt;18,"新品期",IF(L1169&lt;=36,"老品期","衰退期"))</f>
        <v/>
      </c>
      <c r="N1169" s="15" t="inlineStr">
        <is>
          <t>25年5月前胡娟娟负责</t>
        </is>
      </c>
    </row>
    <row r="1170" ht="15" customFormat="1" customHeight="1" s="36">
      <c r="A1170" s="4" t="inlineStr">
        <is>
          <t>Wintap-CA</t>
        </is>
      </c>
      <c r="B1170" s="4" t="inlineStr">
        <is>
          <t>Wintap加拿大站</t>
        </is>
      </c>
      <c r="C1170" s="4">
        <f>B1170&amp;D1170</f>
        <v/>
      </c>
      <c r="D1170" s="4" t="inlineStr">
        <is>
          <t>WT-9809CPZZ02</t>
        </is>
      </c>
      <c r="E1170" s="4" t="inlineStr">
        <is>
          <t>223F0098CP1</t>
        </is>
      </c>
      <c r="F1170" s="4" t="inlineStr">
        <is>
          <t>89系列五件套缸边浴缸龙头 铬</t>
        </is>
      </c>
      <c r="G1170" s="4" t="inlineStr">
        <is>
          <t>陈巧娴</t>
        </is>
      </c>
      <c r="H1170" s="4" t="inlineStr">
        <is>
          <t>缸边浴缸</t>
        </is>
      </c>
      <c r="I1170" s="12" t="inlineStr">
        <is>
          <t>否</t>
        </is>
      </c>
      <c r="J1170" s="34" t="n">
        <v>45557</v>
      </c>
      <c r="K1170" s="34" t="n">
        <v>45557</v>
      </c>
      <c r="L1170" s="0">
        <f>DATEDIF(J1170,$L$1,"M")</f>
        <v/>
      </c>
      <c r="M1170" s="0">
        <f>IF(L1170&lt;18,"新品期",IF(L1170&lt;=36,"老品期","衰退期"))</f>
        <v/>
      </c>
      <c r="N1170" s="15" t="inlineStr">
        <is>
          <t>25年5月前胡娟娟负责</t>
        </is>
      </c>
    </row>
    <row r="1171" ht="15" customFormat="1" customHeight="1" s="36">
      <c r="A1171" s="4" t="inlineStr">
        <is>
          <t>Wintap-BR</t>
        </is>
      </c>
      <c r="B1171" s="4" t="inlineStr">
        <is>
          <t>Wintap巴西站</t>
        </is>
      </c>
      <c r="C1171" s="4">
        <f>B1171&amp;D1171</f>
        <v/>
      </c>
      <c r="D1171" s="4" t="inlineStr">
        <is>
          <t>WT-9809CPZZ02</t>
        </is>
      </c>
      <c r="E1171" s="4" t="inlineStr">
        <is>
          <t>223F0098CP1</t>
        </is>
      </c>
      <c r="F1171" s="4" t="inlineStr">
        <is>
          <t>89系列五件套缸边浴缸龙头 铬</t>
        </is>
      </c>
      <c r="G1171" s="4" t="inlineStr">
        <is>
          <t>陈巧娴</t>
        </is>
      </c>
      <c r="H1171" s="4" t="inlineStr">
        <is>
          <t>缸边浴缸</t>
        </is>
      </c>
      <c r="I1171" s="12" t="inlineStr">
        <is>
          <t>否</t>
        </is>
      </c>
      <c r="J1171" s="34" t="n">
        <v>45557</v>
      </c>
      <c r="K1171" s="34" t="n">
        <v>45557</v>
      </c>
      <c r="L1171" s="0">
        <f>DATEDIF(J1171,$L$1,"M")</f>
        <v/>
      </c>
      <c r="M1171" s="0">
        <f>IF(L1171&lt;18,"新品期",IF(L1171&lt;=36,"老品期","衰退期"))</f>
        <v/>
      </c>
      <c r="N1171" s="15" t="inlineStr">
        <is>
          <t>25年5月前胡娟娟负责</t>
        </is>
      </c>
    </row>
    <row r="1172" ht="15" customFormat="1" customHeight="1" s="36">
      <c r="A1172" s="4" t="inlineStr">
        <is>
          <t>Wintap-US</t>
        </is>
      </c>
      <c r="B1172" s="4" t="inlineStr">
        <is>
          <t>Wintap美国站</t>
        </is>
      </c>
      <c r="C1172" s="4">
        <f>B1172&amp;D1172</f>
        <v/>
      </c>
      <c r="D1172" s="4" t="inlineStr">
        <is>
          <t>WT-9809ORB</t>
        </is>
      </c>
      <c r="E1172" s="4" t="inlineStr">
        <is>
          <t>223F0098OB1</t>
        </is>
      </c>
      <c r="F1172" s="4" t="inlineStr">
        <is>
          <t>89系列五件套缸边浴缸龙头 拉丝古铜色</t>
        </is>
      </c>
      <c r="G1172" s="4" t="inlineStr">
        <is>
          <t>陈巧娴</t>
        </is>
      </c>
      <c r="H1172" s="4" t="inlineStr">
        <is>
          <t>缸边浴缸</t>
        </is>
      </c>
      <c r="I1172" s="12" t="inlineStr">
        <is>
          <t>否</t>
        </is>
      </c>
      <c r="J1172" s="34" t="n">
        <v>45557</v>
      </c>
      <c r="K1172" s="34" t="n">
        <v>45557</v>
      </c>
      <c r="L1172" s="0">
        <f>DATEDIF(J1172,$L$1,"M")</f>
        <v/>
      </c>
      <c r="M1172" s="0">
        <f>IF(L1172&lt;18,"新品期",IF(L1172&lt;=36,"老品期","衰退期"))</f>
        <v/>
      </c>
      <c r="N1172" s="15" t="inlineStr">
        <is>
          <t>25年5月前胡娟娟负责</t>
        </is>
      </c>
    </row>
    <row r="1173" ht="15" customFormat="1" customHeight="1" s="36">
      <c r="A1173" s="4" t="inlineStr">
        <is>
          <t>Wintap-US</t>
        </is>
      </c>
      <c r="B1173" s="4" t="inlineStr">
        <is>
          <t>Wintap美国站</t>
        </is>
      </c>
      <c r="C1173" s="4">
        <f>B1173&amp;D1173</f>
        <v/>
      </c>
      <c r="D1173" s="4" t="inlineStr">
        <is>
          <t>WT-9809ORB02</t>
        </is>
      </c>
      <c r="E1173" s="4" t="inlineStr">
        <is>
          <t>223F0098OB1</t>
        </is>
      </c>
      <c r="F1173" s="4" t="inlineStr">
        <is>
          <t>89系列五件套缸边浴缸龙头 拉丝古铜色</t>
        </is>
      </c>
      <c r="G1173" s="4" t="inlineStr">
        <is>
          <t>陈巧娴</t>
        </is>
      </c>
      <c r="H1173" s="4" t="inlineStr">
        <is>
          <t>缸边浴缸</t>
        </is>
      </c>
      <c r="I1173" s="12" t="inlineStr">
        <is>
          <t>否</t>
        </is>
      </c>
      <c r="J1173" s="34" t="n">
        <v>45557</v>
      </c>
      <c r="K1173" s="34" t="n">
        <v>45557</v>
      </c>
      <c r="L1173" s="0">
        <f>DATEDIF(J1173,$L$1,"M")</f>
        <v/>
      </c>
      <c r="M1173" s="0">
        <f>IF(L1173&lt;18,"新品期",IF(L1173&lt;=36,"老品期","衰退期"))</f>
        <v/>
      </c>
      <c r="N1173" s="15" t="inlineStr">
        <is>
          <t>25年5月前胡娟娟负责</t>
        </is>
      </c>
    </row>
    <row r="1174" ht="15" customFormat="1" customHeight="1" s="36">
      <c r="A1174" s="4" t="inlineStr">
        <is>
          <t>Wintap-US</t>
        </is>
      </c>
      <c r="B1174" s="4" t="inlineStr">
        <is>
          <t>Wintap美国站</t>
        </is>
      </c>
      <c r="C1174" s="4">
        <f>B1174&amp;D1174</f>
        <v/>
      </c>
      <c r="D1174" s="4" t="inlineStr">
        <is>
          <t>WT-9809ORB03</t>
        </is>
      </c>
      <c r="E1174" s="4" t="inlineStr">
        <is>
          <t>223F0098OB1</t>
        </is>
      </c>
      <c r="F1174" s="4" t="inlineStr">
        <is>
          <t>89系列五件套缸边浴缸龙头 拉丝古铜色</t>
        </is>
      </c>
      <c r="G1174" s="4" t="inlineStr">
        <is>
          <t>陈巧娴</t>
        </is>
      </c>
      <c r="H1174" s="4" t="inlineStr">
        <is>
          <t>缸边浴缸</t>
        </is>
      </c>
      <c r="I1174" s="12" t="inlineStr">
        <is>
          <t>否</t>
        </is>
      </c>
      <c r="J1174" s="34" t="n">
        <v>45557</v>
      </c>
      <c r="K1174" s="34" t="n">
        <v>45557</v>
      </c>
      <c r="L1174" s="0">
        <f>DATEDIF(J1174,$L$1,"M")</f>
        <v/>
      </c>
      <c r="M1174" s="0">
        <f>IF(L1174&lt;18,"新品期",IF(L1174&lt;=36,"老品期","衰退期"))</f>
        <v/>
      </c>
      <c r="N1174" s="15" t="inlineStr">
        <is>
          <t>25年5月前胡娟娟负责</t>
        </is>
      </c>
    </row>
    <row r="1175" ht="15" customFormat="1" customHeight="1" s="36">
      <c r="A1175" s="4" t="inlineStr">
        <is>
          <t>Wintap-US</t>
        </is>
      </c>
      <c r="B1175" s="4" t="inlineStr">
        <is>
          <t>Wintap美国站</t>
        </is>
      </c>
      <c r="C1175" s="4">
        <f>B1175&amp;D1175</f>
        <v/>
      </c>
      <c r="D1175" s="4" t="inlineStr">
        <is>
          <t>WT-9809ORB04</t>
        </is>
      </c>
      <c r="E1175" s="4" t="inlineStr">
        <is>
          <t>223F0098OB1</t>
        </is>
      </c>
      <c r="F1175" s="4" t="inlineStr">
        <is>
          <t>89系列五件套缸边浴缸龙头 拉丝古铜色</t>
        </is>
      </c>
      <c r="G1175" s="4" t="inlineStr">
        <is>
          <t>陈巧娴</t>
        </is>
      </c>
      <c r="H1175" s="4" t="inlineStr">
        <is>
          <t>缸边浴缸</t>
        </is>
      </c>
      <c r="I1175" s="12" t="n"/>
      <c r="J1175" s="34" t="n">
        <v>45557</v>
      </c>
      <c r="K1175" s="34" t="n">
        <v>45557</v>
      </c>
      <c r="L1175" s="0">
        <f>DATEDIF(J1175,$L$1,"M")</f>
        <v/>
      </c>
      <c r="M1175" s="0">
        <f>IF(L1175&lt;18,"新品期",IF(L1175&lt;=36,"老品期","衰退期"))</f>
        <v/>
      </c>
      <c r="N1175" s="15" t="inlineStr">
        <is>
          <t>25年5月前胡娟娟负责</t>
        </is>
      </c>
    </row>
    <row r="1176" ht="15" customFormat="1" customHeight="1" s="36">
      <c r="A1176" s="4" t="inlineStr">
        <is>
          <t>Wintap-US</t>
        </is>
      </c>
      <c r="B1176" s="4" t="inlineStr">
        <is>
          <t>Wintap美国站</t>
        </is>
      </c>
      <c r="C1176" s="4">
        <f>B1176&amp;D1176</f>
        <v/>
      </c>
      <c r="D1176" s="4" t="inlineStr">
        <is>
          <t>WT-9809ORBZZ</t>
        </is>
      </c>
      <c r="E1176" s="4" t="inlineStr">
        <is>
          <t>223F0098OB1</t>
        </is>
      </c>
      <c r="F1176" s="4" t="inlineStr">
        <is>
          <t>89系列五件套缸边浴缸龙头 拉丝古铜色</t>
        </is>
      </c>
      <c r="G1176" s="4" t="inlineStr">
        <is>
          <t>陈巧娴</t>
        </is>
      </c>
      <c r="H1176" s="4" t="inlineStr">
        <is>
          <t>缸边浴缸</t>
        </is>
      </c>
      <c r="I1176" s="12" t="inlineStr">
        <is>
          <t>否</t>
        </is>
      </c>
      <c r="J1176" s="34" t="n">
        <v>45557</v>
      </c>
      <c r="K1176" s="34" t="n">
        <v>45557</v>
      </c>
      <c r="L1176" s="0">
        <f>DATEDIF(J1176,$L$1,"M")</f>
        <v/>
      </c>
      <c r="M1176" s="0">
        <f>IF(L1176&lt;18,"新品期",IF(L1176&lt;=36,"老品期","衰退期"))</f>
        <v/>
      </c>
      <c r="N1176" s="15" t="inlineStr">
        <is>
          <t>25年5月前胡娟娟负责</t>
        </is>
      </c>
    </row>
    <row r="1177" ht="15" customFormat="1" customHeight="1" s="36">
      <c r="A1177" s="4" t="inlineStr">
        <is>
          <t>Wintap-US</t>
        </is>
      </c>
      <c r="B1177" s="4" t="inlineStr">
        <is>
          <t>Wintap美国站</t>
        </is>
      </c>
      <c r="C1177" s="4">
        <f>B1177&amp;D1177</f>
        <v/>
      </c>
      <c r="D1177" s="4" t="inlineStr">
        <is>
          <t>WT-9809ORBZZ02</t>
        </is>
      </c>
      <c r="E1177" s="4" t="inlineStr">
        <is>
          <t>223F0098OB1</t>
        </is>
      </c>
      <c r="F1177" s="4" t="inlineStr">
        <is>
          <t>89系列五件套缸边浴缸龙头 拉丝古铜色</t>
        </is>
      </c>
      <c r="G1177" s="4" t="inlineStr">
        <is>
          <t>陈巧娴</t>
        </is>
      </c>
      <c r="H1177" s="4" t="inlineStr">
        <is>
          <t>缸边浴缸</t>
        </is>
      </c>
      <c r="I1177" s="12" t="inlineStr">
        <is>
          <t>否</t>
        </is>
      </c>
      <c r="J1177" s="34" t="n">
        <v>45557</v>
      </c>
      <c r="K1177" s="34" t="n">
        <v>45557</v>
      </c>
      <c r="L1177" s="0">
        <f>DATEDIF(J1177,$L$1,"M")</f>
        <v/>
      </c>
      <c r="M1177" s="0">
        <f>IF(L1177&lt;18,"新品期",IF(L1177&lt;=36,"老品期","衰退期"))</f>
        <v/>
      </c>
      <c r="N1177" s="15" t="inlineStr">
        <is>
          <t>25年5月前胡娟娟负责</t>
        </is>
      </c>
    </row>
    <row r="1178" ht="15" customFormat="1" customHeight="1" s="36">
      <c r="A1178" s="4" t="inlineStr">
        <is>
          <t>Wintap-CA</t>
        </is>
      </c>
      <c r="B1178" s="4" t="inlineStr">
        <is>
          <t>Wintap加拿大站</t>
        </is>
      </c>
      <c r="C1178" s="4">
        <f>B1178&amp;D1178</f>
        <v/>
      </c>
      <c r="D1178" s="4" t="inlineStr">
        <is>
          <t>WT-9809ORBZZ02</t>
        </is>
      </c>
      <c r="E1178" s="4" t="inlineStr">
        <is>
          <t>223F0098OB1</t>
        </is>
      </c>
      <c r="F1178" s="4" t="inlineStr">
        <is>
          <t>89系列五件套缸边浴缸龙头 拉丝古铜色</t>
        </is>
      </c>
      <c r="G1178" s="4" t="inlineStr">
        <is>
          <t>陈巧娴</t>
        </is>
      </c>
      <c r="H1178" s="4" t="inlineStr">
        <is>
          <t>缸边浴缸</t>
        </is>
      </c>
      <c r="I1178" s="12" t="inlineStr">
        <is>
          <t>否</t>
        </is>
      </c>
      <c r="J1178" s="34" t="n">
        <v>45557</v>
      </c>
      <c r="K1178" s="34" t="n">
        <v>45557</v>
      </c>
      <c r="L1178" s="0">
        <f>DATEDIF(J1178,$L$1,"M")</f>
        <v/>
      </c>
      <c r="M1178" s="0">
        <f>IF(L1178&lt;18,"新品期",IF(L1178&lt;=36,"老品期","衰退期"))</f>
        <v/>
      </c>
      <c r="N1178" s="15" t="inlineStr">
        <is>
          <t>25年5月前胡娟娟负责</t>
        </is>
      </c>
    </row>
    <row r="1179" ht="15" customFormat="1" customHeight="1" s="36">
      <c r="A1179" s="4" t="inlineStr">
        <is>
          <t>Wintap-BR</t>
        </is>
      </c>
      <c r="B1179" s="4" t="inlineStr">
        <is>
          <t>Wintap巴西站</t>
        </is>
      </c>
      <c r="C1179" s="4">
        <f>B1179&amp;D1179</f>
        <v/>
      </c>
      <c r="D1179" s="4" t="inlineStr">
        <is>
          <t>WT-9809ORBZZ02</t>
        </is>
      </c>
      <c r="E1179" s="4" t="inlineStr">
        <is>
          <t>223F0098OB1</t>
        </is>
      </c>
      <c r="F1179" s="4" t="inlineStr">
        <is>
          <t>89系列五件套缸边浴缸龙头 拉丝古铜色</t>
        </is>
      </c>
      <c r="G1179" s="4" t="inlineStr">
        <is>
          <t>陈巧娴</t>
        </is>
      </c>
      <c r="H1179" s="4" t="inlineStr">
        <is>
          <t>缸边浴缸</t>
        </is>
      </c>
      <c r="I1179" s="12" t="inlineStr">
        <is>
          <t>否</t>
        </is>
      </c>
      <c r="J1179" s="34" t="n">
        <v>45557</v>
      </c>
      <c r="K1179" s="34" t="n">
        <v>45557</v>
      </c>
      <c r="L1179" s="0">
        <f>DATEDIF(J1179,$L$1,"M")</f>
        <v/>
      </c>
      <c r="M1179" s="0">
        <f>IF(L1179&lt;18,"新品期",IF(L1179&lt;=36,"老品期","衰退期"))</f>
        <v/>
      </c>
      <c r="N1179" s="15" t="inlineStr">
        <is>
          <t>25年5月前胡娟娟负责</t>
        </is>
      </c>
    </row>
    <row r="1180" ht="15" customFormat="1" customHeight="1" s="36">
      <c r="A1180" s="4" t="inlineStr">
        <is>
          <t>Wintap-US</t>
        </is>
      </c>
      <c r="B1180" s="4" t="inlineStr">
        <is>
          <t>Wintap美国站</t>
        </is>
      </c>
      <c r="C1180" s="4">
        <f>B1180&amp;D1180</f>
        <v/>
      </c>
      <c r="D1180" s="4" t="inlineStr">
        <is>
          <t>WT-9809RGBK</t>
        </is>
      </c>
      <c r="E1180" s="4" t="inlineStr">
        <is>
          <t>223F0098RB1</t>
        </is>
      </c>
      <c r="F1180" s="4" t="inlineStr">
        <is>
          <t>98系列五件套缸边浴缸龙头拉丝玫瑰金+黑色</t>
        </is>
      </c>
      <c r="G1180" s="4" t="inlineStr">
        <is>
          <t>陈巧娴</t>
        </is>
      </c>
      <c r="H1180" s="4" t="inlineStr">
        <is>
          <t>缸边浴缸</t>
        </is>
      </c>
      <c r="I1180" s="22" t="inlineStr">
        <is>
          <t>是</t>
        </is>
      </c>
      <c r="J1180" s="34" t="n">
        <v>45557</v>
      </c>
      <c r="K1180" s="34" t="n">
        <v>45557</v>
      </c>
      <c r="L1180" s="0">
        <f>DATEDIF(J1180,$L$1,"M")</f>
        <v/>
      </c>
      <c r="M1180" s="0">
        <f>IF(L1180&lt;18,"新品期",IF(L1180&lt;=36,"老品期","衰退期"))</f>
        <v/>
      </c>
      <c r="N1180" s="15" t="inlineStr">
        <is>
          <t>25年5月前胡娟娟负责</t>
        </is>
      </c>
    </row>
    <row r="1181" ht="15" customFormat="1" customHeight="1" s="36">
      <c r="A1181" s="4" t="inlineStr">
        <is>
          <t>Wintap-US</t>
        </is>
      </c>
      <c r="B1181" s="4" t="inlineStr">
        <is>
          <t>Wintap美国站</t>
        </is>
      </c>
      <c r="C1181" s="4">
        <f>B1181&amp;D1181</f>
        <v/>
      </c>
      <c r="D1181" s="4" t="inlineStr">
        <is>
          <t>WT-9809RGBK03</t>
        </is>
      </c>
      <c r="E1181" s="4" t="inlineStr">
        <is>
          <t>223F0098RB1</t>
        </is>
      </c>
      <c r="F1181" s="4" t="inlineStr">
        <is>
          <t>98系列五件套缸边浴缸龙头拉丝玫瑰金+黑色</t>
        </is>
      </c>
      <c r="G1181" s="4" t="inlineStr">
        <is>
          <t>陈巧娴</t>
        </is>
      </c>
      <c r="H1181" s="4" t="inlineStr">
        <is>
          <t>缸边浴缸</t>
        </is>
      </c>
      <c r="I1181" s="22" t="inlineStr">
        <is>
          <t>是</t>
        </is>
      </c>
      <c r="J1181" s="34" t="n">
        <v>45557</v>
      </c>
      <c r="K1181" s="34" t="n">
        <v>45557</v>
      </c>
      <c r="L1181" s="0">
        <f>DATEDIF(J1181,$L$1,"M")</f>
        <v/>
      </c>
      <c r="M1181" s="0">
        <f>IF(L1181&lt;18,"新品期",IF(L1181&lt;=36,"老品期","衰退期"))</f>
        <v/>
      </c>
      <c r="N1181" s="15" t="inlineStr">
        <is>
          <t>25年5月前胡娟娟负责</t>
        </is>
      </c>
    </row>
    <row r="1182" ht="15" customFormat="1" customHeight="1" s="36">
      <c r="A1182" s="4" t="inlineStr">
        <is>
          <t>Wintap-US</t>
        </is>
      </c>
      <c r="B1182" s="4" t="inlineStr">
        <is>
          <t>Wintap美国站</t>
        </is>
      </c>
      <c r="C1182" s="4">
        <f>B1182&amp;D1182</f>
        <v/>
      </c>
      <c r="D1182" s="4" t="inlineStr">
        <is>
          <t>WT-9809RGBK04</t>
        </is>
      </c>
      <c r="E1182" s="4" t="inlineStr">
        <is>
          <t>223F0098RB1</t>
        </is>
      </c>
      <c r="F1182" s="4" t="inlineStr">
        <is>
          <t>98系列五件套缸边浴缸龙头拉丝玫瑰金+黑色</t>
        </is>
      </c>
      <c r="G1182" s="4" t="inlineStr">
        <is>
          <t>陈巧娴</t>
        </is>
      </c>
      <c r="H1182" s="4" t="inlineStr">
        <is>
          <t>缸边浴缸</t>
        </is>
      </c>
      <c r="I1182" s="22" t="inlineStr">
        <is>
          <t>是</t>
        </is>
      </c>
      <c r="J1182" s="34" t="n">
        <v>45557</v>
      </c>
      <c r="K1182" s="34" t="n">
        <v>45557</v>
      </c>
      <c r="L1182" s="0">
        <f>DATEDIF(J1182,$L$1,"M")</f>
        <v/>
      </c>
      <c r="M1182" s="0">
        <f>IF(L1182&lt;18,"新品期",IF(L1182&lt;=36,"老品期","衰退期"))</f>
        <v/>
      </c>
      <c r="N1182" s="15" t="inlineStr">
        <is>
          <t>25年5月前胡娟娟负责</t>
        </is>
      </c>
    </row>
    <row r="1183" ht="15" customFormat="1" customHeight="1" s="36">
      <c r="A1183" s="4" t="inlineStr">
        <is>
          <t>Wintap-US</t>
        </is>
      </c>
      <c r="B1183" s="4" t="inlineStr">
        <is>
          <t>Wintap美国站</t>
        </is>
      </c>
      <c r="C1183" s="4">
        <f>B1183&amp;D1183</f>
        <v/>
      </c>
      <c r="D1183" s="4" t="inlineStr">
        <is>
          <t>WT-9809RGBKZZ02</t>
        </is>
      </c>
      <c r="E1183" s="4" t="inlineStr">
        <is>
          <t>223F0098RB1</t>
        </is>
      </c>
      <c r="F1183" s="4" t="inlineStr">
        <is>
          <t>98系列五件套缸边浴缸龙头拉丝玫瑰金+黑色</t>
        </is>
      </c>
      <c r="G1183" s="4" t="inlineStr">
        <is>
          <t>陈巧娴</t>
        </is>
      </c>
      <c r="H1183" s="4" t="inlineStr">
        <is>
          <t>缸边浴缸</t>
        </is>
      </c>
      <c r="I1183" s="22" t="inlineStr">
        <is>
          <t>是</t>
        </is>
      </c>
      <c r="J1183" s="34" t="n">
        <v>45557</v>
      </c>
      <c r="K1183" s="34" t="n">
        <v>45557</v>
      </c>
      <c r="L1183" s="0">
        <f>DATEDIF(J1183,$L$1,"M")</f>
        <v/>
      </c>
      <c r="M1183" s="0">
        <f>IF(L1183&lt;18,"新品期",IF(L1183&lt;=36,"老品期","衰退期"))</f>
        <v/>
      </c>
      <c r="N1183" s="15" t="inlineStr">
        <is>
          <t>25年5月前胡娟娟负责</t>
        </is>
      </c>
    </row>
    <row r="1184" ht="15" customFormat="1" customHeight="1" s="36">
      <c r="A1184" s="4" t="inlineStr">
        <is>
          <t>Wintap-CA</t>
        </is>
      </c>
      <c r="B1184" s="4" t="inlineStr">
        <is>
          <t>Wintap加拿大站</t>
        </is>
      </c>
      <c r="C1184" s="4">
        <f>B1184&amp;D1184</f>
        <v/>
      </c>
      <c r="D1184" s="4" t="inlineStr">
        <is>
          <t>WT-9809RGBKZZ02</t>
        </is>
      </c>
      <c r="E1184" s="4" t="inlineStr">
        <is>
          <t>223F0098RB1</t>
        </is>
      </c>
      <c r="F1184" s="4" t="inlineStr">
        <is>
          <t>98系列五件套缸边浴缸龙头拉丝玫瑰金+黑色</t>
        </is>
      </c>
      <c r="G1184" s="4" t="inlineStr">
        <is>
          <t>陈巧娴</t>
        </is>
      </c>
      <c r="H1184" s="4" t="inlineStr">
        <is>
          <t>缸边浴缸</t>
        </is>
      </c>
      <c r="I1184" s="22" t="inlineStr">
        <is>
          <t>是</t>
        </is>
      </c>
      <c r="J1184" s="34" t="n">
        <v>45557</v>
      </c>
      <c r="K1184" s="34" t="n">
        <v>45557</v>
      </c>
      <c r="L1184" s="0">
        <f>DATEDIF(J1184,$L$1,"M")</f>
        <v/>
      </c>
      <c r="M1184" s="0">
        <f>IF(L1184&lt;18,"新品期",IF(L1184&lt;=36,"老品期","衰退期"))</f>
        <v/>
      </c>
      <c r="N1184" s="15" t="inlineStr">
        <is>
          <t>25年5月前胡娟娟负责</t>
        </is>
      </c>
    </row>
    <row r="1185" ht="15" customFormat="1" customHeight="1" s="36">
      <c r="A1185" s="4" t="inlineStr">
        <is>
          <t>Wintap-BR</t>
        </is>
      </c>
      <c r="B1185" s="4" t="inlineStr">
        <is>
          <t>Wintap巴西站</t>
        </is>
      </c>
      <c r="C1185" s="4">
        <f>B1185&amp;D1185</f>
        <v/>
      </c>
      <c r="D1185" s="4" t="inlineStr">
        <is>
          <t>WT-9809RGBKZZ02</t>
        </is>
      </c>
      <c r="E1185" s="4" t="inlineStr">
        <is>
          <t>223F0098RB1</t>
        </is>
      </c>
      <c r="F1185" s="4" t="inlineStr">
        <is>
          <t>98系列五件套缸边浴缸龙头拉丝玫瑰金+黑色</t>
        </is>
      </c>
      <c r="G1185" s="4" t="inlineStr">
        <is>
          <t>陈巧娴</t>
        </is>
      </c>
      <c r="H1185" s="4" t="inlineStr">
        <is>
          <t>缸边浴缸</t>
        </is>
      </c>
      <c r="I1185" s="22" t="inlineStr">
        <is>
          <t>是</t>
        </is>
      </c>
      <c r="J1185" s="34" t="n">
        <v>45557</v>
      </c>
      <c r="K1185" s="34" t="n">
        <v>45557</v>
      </c>
      <c r="L1185" s="0">
        <f>DATEDIF(J1185,$L$1,"M")</f>
        <v/>
      </c>
      <c r="M1185" s="0">
        <f>IF(L1185&lt;18,"新品期",IF(L1185&lt;=36,"老品期","衰退期"))</f>
        <v/>
      </c>
      <c r="N1185" s="15" t="inlineStr">
        <is>
          <t>25年5月前胡娟娟负责</t>
        </is>
      </c>
    </row>
    <row r="1186" ht="15" customFormat="1" customHeight="1" s="36">
      <c r="A1186" s="4" t="inlineStr">
        <is>
          <t>Wintap-US</t>
        </is>
      </c>
      <c r="B1186" s="4" t="inlineStr">
        <is>
          <t>Wintap美国站</t>
        </is>
      </c>
      <c r="C1186" s="4">
        <f>B1186&amp;D1186</f>
        <v/>
      </c>
      <c r="D1186" s="4" t="inlineStr">
        <is>
          <t>WT-9811BG</t>
        </is>
      </c>
      <c r="E1186" s="4" t="inlineStr">
        <is>
          <t>211F0098BG1</t>
        </is>
      </c>
      <c r="F1186" s="4" t="inlineStr">
        <is>
          <t>98系列二功能落地浴缸龙头拉丝钛金封油</t>
        </is>
      </c>
      <c r="G1186" s="4" t="inlineStr">
        <is>
          <t>刘皓</t>
        </is>
      </c>
      <c r="H1186" s="4" t="inlineStr">
        <is>
          <t>落地浴缸</t>
        </is>
      </c>
      <c r="I1186" s="12" t="inlineStr">
        <is>
          <t>否</t>
        </is>
      </c>
      <c r="J1186" s="34" t="n">
        <v>45193</v>
      </c>
      <c r="K1186" s="34" t="n">
        <v>45193</v>
      </c>
      <c r="L1186" s="0">
        <f>DATEDIF(J1186,$L$1,"M")</f>
        <v/>
      </c>
      <c r="M1186" s="0">
        <f>IF(L1186&lt;18,"新品期",IF(L1186&lt;=36,"老品期","衰退期"))</f>
        <v/>
      </c>
    </row>
    <row r="1187" ht="15" customFormat="1" customHeight="1" s="36">
      <c r="A1187" s="4" t="inlineStr">
        <is>
          <t>Wintap-CA</t>
        </is>
      </c>
      <c r="B1187" s="4" t="inlineStr">
        <is>
          <t>Wintap加拿大站</t>
        </is>
      </c>
      <c r="C1187" s="4">
        <f>B1187&amp;D1187</f>
        <v/>
      </c>
      <c r="D1187" s="4" t="inlineStr">
        <is>
          <t>WT-9811BG</t>
        </is>
      </c>
      <c r="E1187" s="4" t="inlineStr">
        <is>
          <t>211F0098BG1</t>
        </is>
      </c>
      <c r="F1187" s="4" t="inlineStr">
        <is>
          <t>98系列二功能落地浴缸龙头拉丝钛金封油</t>
        </is>
      </c>
      <c r="G1187" s="4" t="inlineStr">
        <is>
          <t>刘皓</t>
        </is>
      </c>
      <c r="H1187" s="4" t="inlineStr">
        <is>
          <t>落地浴缸</t>
        </is>
      </c>
      <c r="I1187" s="12" t="inlineStr">
        <is>
          <t>否</t>
        </is>
      </c>
      <c r="J1187" s="34" t="n">
        <v>45193</v>
      </c>
      <c r="K1187" s="34" t="n">
        <v>45193</v>
      </c>
      <c r="L1187" s="0">
        <f>DATEDIF(J1187,$L$1,"M")</f>
        <v/>
      </c>
      <c r="M1187" s="0">
        <f>IF(L1187&lt;18,"新品期",IF(L1187&lt;=36,"老品期","衰退期"))</f>
        <v/>
      </c>
    </row>
    <row r="1188" ht="15" customFormat="1" customHeight="1" s="36">
      <c r="A1188" s="4" t="inlineStr">
        <is>
          <t>Wintap-US</t>
        </is>
      </c>
      <c r="B1188" s="4" t="inlineStr">
        <is>
          <t>Wintap美国站</t>
        </is>
      </c>
      <c r="C1188" s="4">
        <f>B1188&amp;D1188</f>
        <v/>
      </c>
      <c r="D1188" s="4" t="inlineStr">
        <is>
          <t>WT-9811BG02</t>
        </is>
      </c>
      <c r="E1188" s="4" t="inlineStr">
        <is>
          <t>211F0098BG1</t>
        </is>
      </c>
      <c r="F1188" s="4" t="inlineStr">
        <is>
          <t>98系列二功能落地浴缸龙头拉丝钛金封油</t>
        </is>
      </c>
      <c r="G1188" s="4" t="inlineStr">
        <is>
          <t>刘皓</t>
        </is>
      </c>
      <c r="H1188" s="4" t="inlineStr">
        <is>
          <t>落地浴缸</t>
        </is>
      </c>
      <c r="I1188" s="12" t="inlineStr">
        <is>
          <t>否</t>
        </is>
      </c>
      <c r="J1188" s="4" t="inlineStr">
        <is>
          <t>/</t>
        </is>
      </c>
      <c r="K1188" s="4" t="inlineStr">
        <is>
          <t>/</t>
        </is>
      </c>
      <c r="L1188" s="0">
        <f>DATEDIF(J1188,$L$1,"M")</f>
        <v/>
      </c>
      <c r="M1188" s="0">
        <f>IF(L1188&lt;18,"新品期",IF(L1188&lt;=36,"老品期","衰退期"))</f>
        <v/>
      </c>
      <c r="N1188" s="15" t="inlineStr">
        <is>
          <t>备用链接，没发货</t>
        </is>
      </c>
    </row>
    <row r="1189" ht="15" customFormat="1" customHeight="1" s="36">
      <c r="A1189" s="4" t="inlineStr">
        <is>
          <t>Wintap-US</t>
        </is>
      </c>
      <c r="B1189" s="4" t="inlineStr">
        <is>
          <t>Wintap美国站</t>
        </is>
      </c>
      <c r="C1189" s="4">
        <f>B1189&amp;D1189</f>
        <v/>
      </c>
      <c r="D1189" s="4" t="inlineStr">
        <is>
          <t>WT-9811BG03</t>
        </is>
      </c>
      <c r="E1189" s="4" t="inlineStr">
        <is>
          <t>211F0098BG1</t>
        </is>
      </c>
      <c r="F1189" s="4" t="inlineStr">
        <is>
          <t>98系列二功能落地浴缸龙头拉丝钛金封油</t>
        </is>
      </c>
      <c r="G1189" s="4" t="inlineStr">
        <is>
          <t>刘皓</t>
        </is>
      </c>
      <c r="H1189" s="4" t="inlineStr">
        <is>
          <t>落地浴缸</t>
        </is>
      </c>
      <c r="I1189" s="12" t="inlineStr">
        <is>
          <t>否</t>
        </is>
      </c>
      <c r="J1189" s="4" t="inlineStr">
        <is>
          <t>/</t>
        </is>
      </c>
      <c r="K1189" s="4" t="inlineStr">
        <is>
          <t>/</t>
        </is>
      </c>
      <c r="L1189" s="0">
        <f>DATEDIF(J1189,$L$1,"M")</f>
        <v/>
      </c>
      <c r="M1189" s="0">
        <f>IF(L1189&lt;18,"新品期",IF(L1189&lt;=36,"老品期","衰退期"))</f>
        <v/>
      </c>
      <c r="N1189" s="15" t="inlineStr">
        <is>
          <t>备用链接，没发货</t>
        </is>
      </c>
    </row>
    <row r="1190" ht="15" customFormat="1" customHeight="1" s="36">
      <c r="A1190" s="4" t="inlineStr">
        <is>
          <t>Wintap-US</t>
        </is>
      </c>
      <c r="B1190" s="4" t="inlineStr">
        <is>
          <t>Wintap美国站</t>
        </is>
      </c>
      <c r="C1190" s="4">
        <f>B1190&amp;D1190</f>
        <v/>
      </c>
      <c r="D1190" s="4" t="inlineStr">
        <is>
          <t>WT-9811BGZZ</t>
        </is>
      </c>
      <c r="E1190" s="4" t="inlineStr">
        <is>
          <t>211F0098BG1</t>
        </is>
      </c>
      <c r="F1190" s="4" t="inlineStr">
        <is>
          <t>98系列二功能落地浴缸龙头拉丝钛金封油</t>
        </is>
      </c>
      <c r="G1190" s="4" t="inlineStr">
        <is>
          <t>刘皓</t>
        </is>
      </c>
      <c r="H1190" s="4" t="inlineStr">
        <is>
          <t>落地浴缸</t>
        </is>
      </c>
      <c r="I1190" s="12" t="inlineStr">
        <is>
          <t>否</t>
        </is>
      </c>
      <c r="J1190" s="4" t="inlineStr">
        <is>
          <t>/</t>
        </is>
      </c>
      <c r="K1190" s="4" t="inlineStr">
        <is>
          <t>/</t>
        </is>
      </c>
      <c r="L1190" s="0">
        <f>DATEDIF(J1190,$L$1,"M")</f>
        <v/>
      </c>
      <c r="M1190" s="0">
        <f>IF(L1190&lt;18,"新品期",IF(L1190&lt;=36,"老品期","衰退期"))</f>
        <v/>
      </c>
      <c r="N1190" s="15" t="inlineStr">
        <is>
          <t>备用链接，没发货</t>
        </is>
      </c>
    </row>
    <row r="1191" ht="15" customFormat="1" customHeight="1" s="36">
      <c r="A1191" s="4" t="inlineStr">
        <is>
          <t>Wintap-CA</t>
        </is>
      </c>
      <c r="B1191" s="4" t="inlineStr">
        <is>
          <t>Wintap加拿大站</t>
        </is>
      </c>
      <c r="C1191" s="4">
        <f>B1191&amp;D1191</f>
        <v/>
      </c>
      <c r="D1191" s="4" t="inlineStr">
        <is>
          <t>WT-9811BGZZ</t>
        </is>
      </c>
      <c r="E1191" s="4" t="inlineStr">
        <is>
          <t>211F0098BG1</t>
        </is>
      </c>
      <c r="F1191" s="4" t="inlineStr">
        <is>
          <t>98系列二功能落地浴缸龙头拉丝钛金封油</t>
        </is>
      </c>
      <c r="G1191" s="4" t="inlineStr">
        <is>
          <t>刘皓</t>
        </is>
      </c>
      <c r="H1191" s="4" t="inlineStr">
        <is>
          <t>落地浴缸</t>
        </is>
      </c>
      <c r="I1191" s="12" t="inlineStr">
        <is>
          <t>否</t>
        </is>
      </c>
      <c r="J1191" s="4" t="inlineStr">
        <is>
          <t>/</t>
        </is>
      </c>
      <c r="K1191" s="4" t="inlineStr">
        <is>
          <t>/</t>
        </is>
      </c>
      <c r="L1191" s="0">
        <f>DATEDIF(J1191,$L$1,"M")</f>
        <v/>
      </c>
      <c r="M1191" s="0">
        <f>IF(L1191&lt;18,"新品期",IF(L1191&lt;=36,"老品期","衰退期"))</f>
        <v/>
      </c>
      <c r="N1191" s="15" t="inlineStr">
        <is>
          <t>备用链接，没发货</t>
        </is>
      </c>
    </row>
    <row r="1192" ht="15" customFormat="1" customHeight="1" s="36">
      <c r="A1192" s="4" t="inlineStr">
        <is>
          <t>Wintap-US</t>
        </is>
      </c>
      <c r="B1192" s="4" t="inlineStr">
        <is>
          <t>Wintap美国站</t>
        </is>
      </c>
      <c r="C1192" s="4">
        <f>B1192&amp;D1192</f>
        <v/>
      </c>
      <c r="D1192" s="4" t="inlineStr">
        <is>
          <t>WT-9811BK</t>
        </is>
      </c>
      <c r="E1192" s="4" t="inlineStr">
        <is>
          <t>211F0098BK1</t>
        </is>
      </c>
      <c r="F1192" s="4" t="inlineStr">
        <is>
          <t>98系列二功能落地浴缸龙头酸铜发黑</t>
        </is>
      </c>
      <c r="G1192" s="4" t="inlineStr">
        <is>
          <t>刘皓</t>
        </is>
      </c>
      <c r="H1192" s="4" t="inlineStr">
        <is>
          <t>落地浴缸</t>
        </is>
      </c>
      <c r="I1192" s="12" t="inlineStr">
        <is>
          <t>否</t>
        </is>
      </c>
      <c r="J1192" s="34" t="n">
        <v>45193</v>
      </c>
      <c r="K1192" s="34" t="n">
        <v>45193</v>
      </c>
      <c r="L1192" s="0">
        <f>DATEDIF(J1192,$L$1,"M")</f>
        <v/>
      </c>
      <c r="M1192" s="0">
        <f>IF(L1192&lt;18,"新品期",IF(L1192&lt;=36,"老品期","衰退期"))</f>
        <v/>
      </c>
    </row>
    <row r="1193" ht="15" customFormat="1" customHeight="1" s="36">
      <c r="A1193" s="4" t="inlineStr">
        <is>
          <t>Wintap-CA</t>
        </is>
      </c>
      <c r="B1193" s="4" t="inlineStr">
        <is>
          <t>Wintap加拿大站</t>
        </is>
      </c>
      <c r="C1193" s="4">
        <f>B1193&amp;D1193</f>
        <v/>
      </c>
      <c r="D1193" s="4" t="inlineStr">
        <is>
          <t>WT-9811BK</t>
        </is>
      </c>
      <c r="E1193" s="4" t="inlineStr">
        <is>
          <t>211F0098BK1</t>
        </is>
      </c>
      <c r="F1193" s="4" t="inlineStr">
        <is>
          <t>98系列二功能落地浴缸龙头酸铜发黑</t>
        </is>
      </c>
      <c r="G1193" s="4" t="inlineStr">
        <is>
          <t>刘皓</t>
        </is>
      </c>
      <c r="H1193" s="4" t="inlineStr">
        <is>
          <t>落地浴缸</t>
        </is>
      </c>
      <c r="I1193" s="12" t="inlineStr">
        <is>
          <t>否</t>
        </is>
      </c>
      <c r="J1193" s="34" t="n">
        <v>45193</v>
      </c>
      <c r="K1193" s="34" t="n">
        <v>45193</v>
      </c>
      <c r="L1193" s="0">
        <f>DATEDIF(J1193,$L$1,"M")</f>
        <v/>
      </c>
      <c r="M1193" s="0">
        <f>IF(L1193&lt;18,"新品期",IF(L1193&lt;=36,"老品期","衰退期"))</f>
        <v/>
      </c>
    </row>
    <row r="1194" ht="15" customFormat="1" customHeight="1" s="36">
      <c r="A1194" s="4" t="inlineStr">
        <is>
          <t>Wintap-US</t>
        </is>
      </c>
      <c r="B1194" s="4" t="inlineStr">
        <is>
          <t>Wintap美国站</t>
        </is>
      </c>
      <c r="C1194" s="4">
        <f>B1194&amp;D1194</f>
        <v/>
      </c>
      <c r="D1194" s="4" t="inlineStr">
        <is>
          <t>WT-9811BK02</t>
        </is>
      </c>
      <c r="E1194" s="4" t="inlineStr">
        <is>
          <t>211F0098BK1</t>
        </is>
      </c>
      <c r="F1194" s="4" t="inlineStr">
        <is>
          <t>98系列二功能落地浴缸龙头酸铜发黑</t>
        </is>
      </c>
      <c r="G1194" s="4" t="inlineStr">
        <is>
          <t>刘皓</t>
        </is>
      </c>
      <c r="H1194" s="4" t="inlineStr">
        <is>
          <t>落地浴缸</t>
        </is>
      </c>
      <c r="I1194" s="12" t="inlineStr">
        <is>
          <t>否</t>
        </is>
      </c>
      <c r="J1194" s="4" t="inlineStr">
        <is>
          <t>/</t>
        </is>
      </c>
      <c r="K1194" s="4" t="inlineStr">
        <is>
          <t>/</t>
        </is>
      </c>
      <c r="L1194" s="0">
        <f>DATEDIF(J1194,$L$1,"M")</f>
        <v/>
      </c>
      <c r="M1194" s="0">
        <f>IF(L1194&lt;18,"新品期",IF(L1194&lt;=36,"老品期","衰退期"))</f>
        <v/>
      </c>
      <c r="N1194" s="15" t="inlineStr">
        <is>
          <t>备用链接，没发货</t>
        </is>
      </c>
    </row>
    <row r="1195" ht="15" customFormat="1" customHeight="1" s="36">
      <c r="A1195" s="4" t="inlineStr">
        <is>
          <t>Wintap-US</t>
        </is>
      </c>
      <c r="B1195" s="4" t="inlineStr">
        <is>
          <t>Wintap美国站</t>
        </is>
      </c>
      <c r="C1195" s="4">
        <f>B1195&amp;D1195</f>
        <v/>
      </c>
      <c r="D1195" s="4" t="inlineStr">
        <is>
          <t>WT-9811BK03</t>
        </is>
      </c>
      <c r="E1195" s="4" t="inlineStr">
        <is>
          <t>211F0098BK1</t>
        </is>
      </c>
      <c r="F1195" s="4" t="inlineStr">
        <is>
          <t>98系列二功能落地浴缸龙头酸铜发黑</t>
        </is>
      </c>
      <c r="G1195" s="4" t="inlineStr">
        <is>
          <t>刘皓</t>
        </is>
      </c>
      <c r="H1195" s="4" t="inlineStr">
        <is>
          <t>落地浴缸</t>
        </is>
      </c>
      <c r="I1195" s="12" t="inlineStr">
        <is>
          <t>否</t>
        </is>
      </c>
      <c r="J1195" s="4" t="inlineStr">
        <is>
          <t>/</t>
        </is>
      </c>
      <c r="K1195" s="4" t="inlineStr">
        <is>
          <t>/</t>
        </is>
      </c>
      <c r="L1195" s="0">
        <f>DATEDIF(J1195,$L$1,"M")</f>
        <v/>
      </c>
      <c r="M1195" s="0">
        <f>IF(L1195&lt;18,"新品期",IF(L1195&lt;=36,"老品期","衰退期"))</f>
        <v/>
      </c>
      <c r="N1195" s="15" t="inlineStr">
        <is>
          <t>备用链接，没发货</t>
        </is>
      </c>
    </row>
    <row r="1196" ht="15" customFormat="1" customHeight="1" s="36">
      <c r="A1196" s="4" t="inlineStr">
        <is>
          <t>Wintap-US</t>
        </is>
      </c>
      <c r="B1196" s="4" t="inlineStr">
        <is>
          <t>Wintap美国站</t>
        </is>
      </c>
      <c r="C1196" s="4">
        <f>B1196&amp;D1196</f>
        <v/>
      </c>
      <c r="D1196" s="4" t="inlineStr">
        <is>
          <t>WT-9811BN</t>
        </is>
      </c>
      <c r="E1196" s="4" t="inlineStr">
        <is>
          <t>211F0098BN1</t>
        </is>
      </c>
      <c r="F1196" s="4" t="inlineStr">
        <is>
          <t>98系列二功能落地浴缸龙头拉丝封油</t>
        </is>
      </c>
      <c r="G1196" s="4" t="inlineStr">
        <is>
          <t>刘皓</t>
        </is>
      </c>
      <c r="H1196" s="4" t="inlineStr">
        <is>
          <t>落地浴缸</t>
        </is>
      </c>
      <c r="I1196" s="12" t="inlineStr">
        <is>
          <t>否</t>
        </is>
      </c>
      <c r="J1196" s="34" t="n">
        <v>45193</v>
      </c>
      <c r="K1196" s="34" t="n">
        <v>45193</v>
      </c>
      <c r="L1196" s="0">
        <f>DATEDIF(J1196,$L$1,"M")</f>
        <v/>
      </c>
      <c r="M1196" s="0">
        <f>IF(L1196&lt;18,"新品期",IF(L1196&lt;=36,"老品期","衰退期"))</f>
        <v/>
      </c>
    </row>
    <row r="1197" ht="15" customFormat="1" customHeight="1" s="36">
      <c r="A1197" s="4" t="inlineStr">
        <is>
          <t>Wintap-CA</t>
        </is>
      </c>
      <c r="B1197" s="4" t="inlineStr">
        <is>
          <t>Wintap加拿大站</t>
        </is>
      </c>
      <c r="C1197" s="4">
        <f>B1197&amp;D1197</f>
        <v/>
      </c>
      <c r="D1197" s="4" t="inlineStr">
        <is>
          <t>WT-9811BN</t>
        </is>
      </c>
      <c r="E1197" s="4" t="inlineStr">
        <is>
          <t>211F0098BN1</t>
        </is>
      </c>
      <c r="F1197" s="4" t="inlineStr">
        <is>
          <t>98系列二功能落地浴缸龙头拉丝封油</t>
        </is>
      </c>
      <c r="G1197" s="4" t="inlineStr">
        <is>
          <t>刘皓</t>
        </is>
      </c>
      <c r="H1197" s="4" t="inlineStr">
        <is>
          <t>落地浴缸</t>
        </is>
      </c>
      <c r="I1197" s="12" t="inlineStr">
        <is>
          <t>否</t>
        </is>
      </c>
      <c r="J1197" s="34" t="n">
        <v>45193</v>
      </c>
      <c r="K1197" s="34" t="n">
        <v>45193</v>
      </c>
      <c r="L1197" s="0">
        <f>DATEDIF(J1197,$L$1,"M")</f>
        <v/>
      </c>
      <c r="M1197" s="0">
        <f>IF(L1197&lt;18,"新品期",IF(L1197&lt;=36,"老品期","衰退期"))</f>
        <v/>
      </c>
    </row>
    <row r="1198" ht="15" customFormat="1" customHeight="1" s="36">
      <c r="A1198" s="4" t="inlineStr">
        <is>
          <t>Wintap-US</t>
        </is>
      </c>
      <c r="B1198" s="4" t="inlineStr">
        <is>
          <t>Wintap美国站</t>
        </is>
      </c>
      <c r="C1198" s="4">
        <f>B1198&amp;D1198</f>
        <v/>
      </c>
      <c r="D1198" s="4" t="inlineStr">
        <is>
          <t>WT-9811CP</t>
        </is>
      </c>
      <c r="E1198" s="4" t="inlineStr">
        <is>
          <t>211F0098CP1</t>
        </is>
      </c>
      <c r="F1198" s="4" t="inlineStr">
        <is>
          <t>98系列二功能落地浴缸龙头铬</t>
        </is>
      </c>
      <c r="G1198" s="4" t="inlineStr">
        <is>
          <t>刘皓</t>
        </is>
      </c>
      <c r="H1198" s="4" t="inlineStr">
        <is>
          <t>落地浴缸</t>
        </is>
      </c>
      <c r="I1198" s="22" t="inlineStr">
        <is>
          <t>否</t>
        </is>
      </c>
      <c r="J1198" s="34" t="n">
        <v>45193</v>
      </c>
      <c r="K1198" s="34" t="n">
        <v>45193</v>
      </c>
      <c r="L1198" s="0">
        <f>DATEDIF(J1198,$L$1,"M")</f>
        <v/>
      </c>
      <c r="M1198" s="0">
        <f>IF(L1198&lt;18,"新品期",IF(L1198&lt;=36,"老品期","衰退期"))</f>
        <v/>
      </c>
    </row>
    <row r="1199" ht="15" customFormat="1" customHeight="1" s="36">
      <c r="A1199" s="4" t="inlineStr">
        <is>
          <t>Wintap-CA</t>
        </is>
      </c>
      <c r="B1199" s="4" t="inlineStr">
        <is>
          <t>Wintap加拿大站</t>
        </is>
      </c>
      <c r="C1199" s="4">
        <f>B1199&amp;D1199</f>
        <v/>
      </c>
      <c r="D1199" s="4" t="inlineStr">
        <is>
          <t>WT-9811CP</t>
        </is>
      </c>
      <c r="E1199" s="4" t="inlineStr">
        <is>
          <t>211F0098CP1</t>
        </is>
      </c>
      <c r="F1199" s="4" t="inlineStr">
        <is>
          <t>98系列二功能落地浴缸龙头铬</t>
        </is>
      </c>
      <c r="G1199" s="4" t="inlineStr">
        <is>
          <t>刘皓</t>
        </is>
      </c>
      <c r="H1199" s="4" t="inlineStr">
        <is>
          <t>落地浴缸</t>
        </is>
      </c>
      <c r="I1199" s="22" t="inlineStr">
        <is>
          <t>否</t>
        </is>
      </c>
      <c r="J1199" s="34" t="n">
        <v>45193</v>
      </c>
      <c r="K1199" s="34" t="n">
        <v>45193</v>
      </c>
      <c r="L1199" s="0">
        <f>DATEDIF(J1199,$L$1,"M")</f>
        <v/>
      </c>
      <c r="M1199" s="0">
        <f>IF(L1199&lt;18,"新品期",IF(L1199&lt;=36,"老品期","衰退期"))</f>
        <v/>
      </c>
    </row>
    <row r="1200" ht="15" customFormat="1" customHeight="1" s="36">
      <c r="A1200" s="4" t="inlineStr">
        <is>
          <t>Wintap-BR</t>
        </is>
      </c>
      <c r="B1200" s="4" t="inlineStr">
        <is>
          <t>Wintap巴西站</t>
        </is>
      </c>
      <c r="C1200" s="4">
        <f>B1200&amp;D1200</f>
        <v/>
      </c>
      <c r="D1200" s="4" t="inlineStr">
        <is>
          <t>WT-9811CP</t>
        </is>
      </c>
      <c r="E1200" s="4" t="inlineStr">
        <is>
          <t>211F0098CP1</t>
        </is>
      </c>
      <c r="F1200" s="4" t="inlineStr">
        <is>
          <t>98系列二功能落地浴缸龙头铬</t>
        </is>
      </c>
      <c r="G1200" s="4" t="inlineStr">
        <is>
          <t>刘皓</t>
        </is>
      </c>
      <c r="H1200" s="4" t="inlineStr">
        <is>
          <t>落地浴缸</t>
        </is>
      </c>
      <c r="I1200" s="22" t="inlineStr">
        <is>
          <t>否</t>
        </is>
      </c>
      <c r="J1200" s="34" t="n">
        <v>45193</v>
      </c>
      <c r="K1200" s="34" t="n">
        <v>45193</v>
      </c>
      <c r="L1200" s="0">
        <f>DATEDIF(J1200,$L$1,"M")</f>
        <v/>
      </c>
      <c r="M1200" s="0">
        <f>IF(L1200&lt;18,"新品期",IF(L1200&lt;=36,"老品期","衰退期"))</f>
        <v/>
      </c>
    </row>
    <row r="1201" ht="15" customFormat="1" customHeight="1" s="36">
      <c r="A1201" s="4" t="inlineStr">
        <is>
          <t>Wintap-US</t>
        </is>
      </c>
      <c r="B1201" s="4" t="inlineStr">
        <is>
          <t>Wintap美国站</t>
        </is>
      </c>
      <c r="C1201" s="4">
        <f>B1201&amp;D1201</f>
        <v/>
      </c>
      <c r="D1201" s="4" t="inlineStr">
        <is>
          <t>WT-9811CP02</t>
        </is>
      </c>
      <c r="E1201" s="4" t="inlineStr">
        <is>
          <t>211F0098CP1</t>
        </is>
      </c>
      <c r="F1201" s="4" t="inlineStr">
        <is>
          <t>98系列二功能落地浴缸龙头铬</t>
        </is>
      </c>
      <c r="G1201" s="4" t="inlineStr">
        <is>
          <t>刘皓</t>
        </is>
      </c>
      <c r="H1201" s="4" t="inlineStr">
        <is>
          <t>落地浴缸</t>
        </is>
      </c>
      <c r="I1201" s="12" t="n"/>
      <c r="J1201" s="4" t="inlineStr">
        <is>
          <t>/</t>
        </is>
      </c>
      <c r="K1201" s="4" t="inlineStr">
        <is>
          <t>/</t>
        </is>
      </c>
      <c r="L1201" s="0">
        <f>DATEDIF(J1201,$L$1,"M")</f>
        <v/>
      </c>
      <c r="M1201" s="0">
        <f>IF(L1201&lt;18,"新品期",IF(L1201&lt;=36,"老品期","衰退期"))</f>
        <v/>
      </c>
      <c r="N1201" s="15" t="inlineStr">
        <is>
          <t>备用链接，没发货</t>
        </is>
      </c>
    </row>
    <row r="1202" ht="15" customFormat="1" customHeight="1" s="36">
      <c r="A1202" s="4" t="inlineStr">
        <is>
          <t>Wintap-US</t>
        </is>
      </c>
      <c r="B1202" s="4" t="inlineStr">
        <is>
          <t>Wintap美国站</t>
        </is>
      </c>
      <c r="C1202" s="4">
        <f>B1202&amp;D1202</f>
        <v/>
      </c>
      <c r="D1202" s="4" t="inlineStr">
        <is>
          <t>WT-9811CP03</t>
        </is>
      </c>
      <c r="E1202" s="4" t="inlineStr">
        <is>
          <t>211F0098CP1</t>
        </is>
      </c>
      <c r="F1202" s="4" t="inlineStr">
        <is>
          <t>98系列二功能落地浴缸龙头铬</t>
        </is>
      </c>
      <c r="G1202" s="4" t="inlineStr">
        <is>
          <t>刘皓</t>
        </is>
      </c>
      <c r="H1202" s="4" t="inlineStr">
        <is>
          <t>落地浴缸</t>
        </is>
      </c>
      <c r="I1202" s="12" t="inlineStr">
        <is>
          <t>否</t>
        </is>
      </c>
      <c r="J1202" s="4" t="inlineStr">
        <is>
          <t>/</t>
        </is>
      </c>
      <c r="K1202" s="4" t="inlineStr">
        <is>
          <t>/</t>
        </is>
      </c>
      <c r="L1202" s="0">
        <f>DATEDIF(J1202,$L$1,"M")</f>
        <v/>
      </c>
      <c r="M1202" s="0">
        <f>IF(L1202&lt;18,"新品期",IF(L1202&lt;=36,"老品期","衰退期"))</f>
        <v/>
      </c>
      <c r="N1202" s="15" t="inlineStr">
        <is>
          <t>备用链接，没发货</t>
        </is>
      </c>
    </row>
    <row r="1203" ht="15" customFormat="1" customHeight="1" s="36">
      <c r="A1203" s="4" t="inlineStr">
        <is>
          <t>Wintap-US</t>
        </is>
      </c>
      <c r="B1203" s="4" t="inlineStr">
        <is>
          <t>Wintap美国站</t>
        </is>
      </c>
      <c r="C1203" s="4">
        <f>B1203&amp;D1203</f>
        <v/>
      </c>
      <c r="D1203" s="4" t="inlineStr">
        <is>
          <t>WT-9811ORB</t>
        </is>
      </c>
      <c r="E1203" s="4" t="inlineStr">
        <is>
          <t>211F0098OB1</t>
        </is>
      </c>
      <c r="F1203" s="4" t="inlineStr">
        <is>
          <t>98系列二功能落地浴缸龙头 拉丝古铜色</t>
        </is>
      </c>
      <c r="G1203" s="4" t="inlineStr">
        <is>
          <t>刘皓</t>
        </is>
      </c>
      <c r="H1203" s="4" t="inlineStr">
        <is>
          <t>落地浴缸</t>
        </is>
      </c>
      <c r="I1203" s="12" t="inlineStr">
        <is>
          <t>否</t>
        </is>
      </c>
      <c r="J1203" s="34" t="n">
        <v>45193</v>
      </c>
      <c r="K1203" s="34" t="n">
        <v>45193</v>
      </c>
      <c r="L1203" s="0">
        <f>DATEDIF(J1203,$L$1,"M")</f>
        <v/>
      </c>
      <c r="M1203" s="0">
        <f>IF(L1203&lt;18,"新品期",IF(L1203&lt;=36,"老品期","衰退期"))</f>
        <v/>
      </c>
    </row>
    <row r="1204" ht="15" customFormat="1" customHeight="1" s="36">
      <c r="A1204" s="4" t="inlineStr">
        <is>
          <t>Wintap-CA</t>
        </is>
      </c>
      <c r="B1204" s="4" t="inlineStr">
        <is>
          <t>Wintap加拿大站</t>
        </is>
      </c>
      <c r="C1204" s="4">
        <f>B1204&amp;D1204</f>
        <v/>
      </c>
      <c r="D1204" s="4" t="inlineStr">
        <is>
          <t>WT-9811ORB</t>
        </is>
      </c>
      <c r="E1204" s="4" t="inlineStr">
        <is>
          <t>211F0098OB1</t>
        </is>
      </c>
      <c r="F1204" s="4" t="inlineStr">
        <is>
          <t>98系列二功能落地浴缸龙头 拉丝古铜色</t>
        </is>
      </c>
      <c r="G1204" s="4" t="inlineStr">
        <is>
          <t>刘皓</t>
        </is>
      </c>
      <c r="H1204" s="4" t="inlineStr">
        <is>
          <t>落地浴缸</t>
        </is>
      </c>
      <c r="I1204" s="12" t="inlineStr">
        <is>
          <t>否</t>
        </is>
      </c>
      <c r="J1204" s="34" t="n">
        <v>45193</v>
      </c>
      <c r="K1204" s="34" t="n">
        <v>45193</v>
      </c>
      <c r="L1204" s="0">
        <f>DATEDIF(J1204,$L$1,"M")</f>
        <v/>
      </c>
      <c r="M1204" s="0">
        <f>IF(L1204&lt;18,"新品期",IF(L1204&lt;=36,"老品期","衰退期"))</f>
        <v/>
      </c>
    </row>
    <row r="1205" ht="15" customFormat="1" customHeight="1" s="36">
      <c r="A1205" s="4" t="inlineStr">
        <is>
          <t>Wintap-US</t>
        </is>
      </c>
      <c r="B1205" s="4" t="inlineStr">
        <is>
          <t>Wintap美国站</t>
        </is>
      </c>
      <c r="C1205" s="4">
        <f>B1205&amp;D1205</f>
        <v/>
      </c>
      <c r="D1205" s="4" t="inlineStr">
        <is>
          <t>WT-9811ORB02</t>
        </is>
      </c>
      <c r="E1205" s="4" t="inlineStr">
        <is>
          <t>211F0098OB1</t>
        </is>
      </c>
      <c r="F1205" s="4" t="inlineStr">
        <is>
          <t>98系列二功能落地浴缸龙头 拉丝古铜色</t>
        </is>
      </c>
      <c r="G1205" s="4" t="inlineStr">
        <is>
          <t>刘皓</t>
        </is>
      </c>
      <c r="H1205" s="4" t="inlineStr">
        <is>
          <t>落地浴缸</t>
        </is>
      </c>
      <c r="I1205" s="12" t="inlineStr">
        <is>
          <t>否</t>
        </is>
      </c>
      <c r="J1205" s="4" t="inlineStr">
        <is>
          <t>/</t>
        </is>
      </c>
      <c r="K1205" s="4" t="inlineStr">
        <is>
          <t>/</t>
        </is>
      </c>
      <c r="L1205" s="0">
        <f>DATEDIF(J1205,$L$1,"M")</f>
        <v/>
      </c>
      <c r="M1205" s="0">
        <f>IF(L1205&lt;18,"新品期",IF(L1205&lt;=36,"老品期","衰退期"))</f>
        <v/>
      </c>
      <c r="N1205" s="15" t="inlineStr">
        <is>
          <t>备用链接，没发货</t>
        </is>
      </c>
    </row>
    <row r="1206" ht="15" customFormat="1" customHeight="1" s="36">
      <c r="A1206" s="4" t="inlineStr">
        <is>
          <t>Wintap-US</t>
        </is>
      </c>
      <c r="B1206" s="4" t="inlineStr">
        <is>
          <t>Wintap美国站</t>
        </is>
      </c>
      <c r="C1206" s="4">
        <f>B1206&amp;D1206</f>
        <v/>
      </c>
      <c r="D1206" s="4" t="inlineStr">
        <is>
          <t>WT-9811ORB03</t>
        </is>
      </c>
      <c r="E1206" s="4" t="inlineStr">
        <is>
          <t>211F0098OB1</t>
        </is>
      </c>
      <c r="F1206" s="4" t="inlineStr">
        <is>
          <t>98系列二功能落地浴缸龙头 拉丝古铜色</t>
        </is>
      </c>
      <c r="G1206" s="4" t="inlineStr">
        <is>
          <t>刘皓</t>
        </is>
      </c>
      <c r="H1206" s="4" t="inlineStr">
        <is>
          <t>落地浴缸</t>
        </is>
      </c>
      <c r="I1206" s="12" t="inlineStr">
        <is>
          <t>否</t>
        </is>
      </c>
      <c r="J1206" s="4" t="inlineStr">
        <is>
          <t>/</t>
        </is>
      </c>
      <c r="K1206" s="4" t="inlineStr">
        <is>
          <t>/</t>
        </is>
      </c>
      <c r="L1206" s="0">
        <f>DATEDIF(J1206,$L$1,"M")</f>
        <v/>
      </c>
      <c r="M1206" s="0">
        <f>IF(L1206&lt;18,"新品期",IF(L1206&lt;=36,"老品期","衰退期"))</f>
        <v/>
      </c>
      <c r="N1206" s="15" t="inlineStr">
        <is>
          <t>备用链接，没发货</t>
        </is>
      </c>
    </row>
    <row r="1207" ht="15" customFormat="1" customHeight="1" s="36">
      <c r="A1207" s="4" t="inlineStr">
        <is>
          <t>Wintap-US</t>
        </is>
      </c>
      <c r="B1207" s="4" t="inlineStr">
        <is>
          <t>Wintap美国站</t>
        </is>
      </c>
      <c r="C1207" s="4">
        <f>B1207&amp;D1207</f>
        <v/>
      </c>
      <c r="D1207" s="4" t="inlineStr">
        <is>
          <t>WT-9811RGBK</t>
        </is>
      </c>
      <c r="E1207" s="4" t="inlineStr">
        <is>
          <t>211F0098RB1</t>
        </is>
      </c>
      <c r="F1207" s="4" t="inlineStr">
        <is>
          <t>98系列二功能落地浴缸龙头拉丝玫瑰金+黑色</t>
        </is>
      </c>
      <c r="G1207" s="4" t="inlineStr">
        <is>
          <t>刘皓</t>
        </is>
      </c>
      <c r="H1207" s="4" t="inlineStr">
        <is>
          <t>落地浴缸</t>
        </is>
      </c>
      <c r="I1207" s="12" t="inlineStr">
        <is>
          <t>是</t>
        </is>
      </c>
      <c r="J1207" s="34" t="n">
        <v>45193</v>
      </c>
      <c r="K1207" s="34" t="n">
        <v>45193</v>
      </c>
      <c r="L1207" s="0">
        <f>DATEDIF(J1207,$L$1,"M")</f>
        <v/>
      </c>
      <c r="M1207" s="0">
        <f>IF(L1207&lt;18,"新品期",IF(L1207&lt;=36,"老品期","衰退期"))</f>
        <v/>
      </c>
    </row>
    <row r="1208" ht="15" customFormat="1" customHeight="1" s="36">
      <c r="A1208" s="4" t="inlineStr">
        <is>
          <t>Wintap-CA</t>
        </is>
      </c>
      <c r="B1208" s="4" t="inlineStr">
        <is>
          <t>Wintap加拿大站</t>
        </is>
      </c>
      <c r="C1208" s="4">
        <f>B1208&amp;D1208</f>
        <v/>
      </c>
      <c r="D1208" s="4" t="inlineStr">
        <is>
          <t>WT-9811RGBK</t>
        </is>
      </c>
      <c r="E1208" s="4" t="inlineStr">
        <is>
          <t>211F0098RB1</t>
        </is>
      </c>
      <c r="F1208" s="4" t="inlineStr">
        <is>
          <t>98系列二功能落地浴缸龙头拉丝玫瑰金+黑色</t>
        </is>
      </c>
      <c r="G1208" s="4" t="inlineStr">
        <is>
          <t>刘皓</t>
        </is>
      </c>
      <c r="H1208" s="4" t="inlineStr">
        <is>
          <t>落地浴缸</t>
        </is>
      </c>
      <c r="I1208" s="12" t="inlineStr">
        <is>
          <t>是</t>
        </is>
      </c>
      <c r="J1208" s="34" t="n">
        <v>45193</v>
      </c>
      <c r="K1208" s="34" t="n">
        <v>45193</v>
      </c>
      <c r="L1208" s="0">
        <f>DATEDIF(J1208,$L$1,"M")</f>
        <v/>
      </c>
      <c r="M1208" s="0">
        <f>IF(L1208&lt;18,"新品期",IF(L1208&lt;=36,"老品期","衰退期"))</f>
        <v/>
      </c>
    </row>
    <row r="1209" ht="15" customFormat="1" customHeight="1" s="36">
      <c r="A1209" s="4" t="inlineStr">
        <is>
          <t>Wintap-BR</t>
        </is>
      </c>
      <c r="B1209" s="4" t="inlineStr">
        <is>
          <t>Wintap巴西站</t>
        </is>
      </c>
      <c r="C1209" s="4">
        <f>B1209&amp;D1209</f>
        <v/>
      </c>
      <c r="D1209" s="4" t="inlineStr">
        <is>
          <t>WT-9811RGBK</t>
        </is>
      </c>
      <c r="E1209" s="4" t="inlineStr">
        <is>
          <t>211F0098RB1</t>
        </is>
      </c>
      <c r="F1209" s="4" t="inlineStr">
        <is>
          <t>98系列二功能落地浴缸龙头拉丝玫瑰金+黑色</t>
        </is>
      </c>
      <c r="G1209" s="4" t="inlineStr">
        <is>
          <t>刘皓</t>
        </is>
      </c>
      <c r="H1209" s="4" t="inlineStr">
        <is>
          <t>落地浴缸</t>
        </is>
      </c>
      <c r="I1209" s="12" t="inlineStr">
        <is>
          <t>是</t>
        </is>
      </c>
      <c r="J1209" s="34" t="n">
        <v>45193</v>
      </c>
      <c r="K1209" s="34" t="n">
        <v>45193</v>
      </c>
      <c r="L1209" s="0">
        <f>DATEDIF(J1209,$L$1,"M")</f>
        <v/>
      </c>
      <c r="M1209" s="0">
        <f>IF(L1209&lt;18,"新品期",IF(L1209&lt;=36,"老品期","衰退期"))</f>
        <v/>
      </c>
    </row>
    <row r="1210" ht="15" customFormat="1" customHeight="1" s="36">
      <c r="A1210" s="4" t="inlineStr">
        <is>
          <t>Wintap-US</t>
        </is>
      </c>
      <c r="B1210" s="4" t="inlineStr">
        <is>
          <t>Wintap美国站</t>
        </is>
      </c>
      <c r="C1210" s="4">
        <f>B1210&amp;D1210</f>
        <v/>
      </c>
      <c r="D1210" s="4" t="inlineStr">
        <is>
          <t>WT-9811RGBK02</t>
        </is>
      </c>
      <c r="E1210" s="4" t="inlineStr">
        <is>
          <t>211F0098RB1</t>
        </is>
      </c>
      <c r="F1210" s="4" t="inlineStr">
        <is>
          <t>98系列二功能落地浴缸龙头拉丝玫瑰金+黑色</t>
        </is>
      </c>
      <c r="G1210" s="4" t="inlineStr">
        <is>
          <t>刘皓</t>
        </is>
      </c>
      <c r="H1210" s="4" t="inlineStr">
        <is>
          <t>落地浴缸</t>
        </is>
      </c>
      <c r="I1210" s="12" t="inlineStr">
        <is>
          <t>否</t>
        </is>
      </c>
      <c r="J1210" s="4" t="inlineStr">
        <is>
          <t>/</t>
        </is>
      </c>
      <c r="K1210" s="4" t="inlineStr">
        <is>
          <t>/</t>
        </is>
      </c>
      <c r="L1210" s="0">
        <f>DATEDIF(J1210,$L$1,"M")</f>
        <v/>
      </c>
      <c r="M1210" s="0">
        <f>IF(L1210&lt;18,"新品期",IF(L1210&lt;=36,"老品期","衰退期"))</f>
        <v/>
      </c>
      <c r="N1210" s="15" t="inlineStr">
        <is>
          <t>备用链接，没发货</t>
        </is>
      </c>
    </row>
    <row r="1211" ht="15" customFormat="1" customHeight="1" s="36">
      <c r="A1211" s="4" t="inlineStr">
        <is>
          <t>Wintap-US</t>
        </is>
      </c>
      <c r="B1211" s="4" t="inlineStr">
        <is>
          <t>Wintap美国站</t>
        </is>
      </c>
      <c r="C1211" s="4">
        <f>B1211&amp;D1211</f>
        <v/>
      </c>
      <c r="D1211" s="4" t="inlineStr">
        <is>
          <t>WT-9811RGBK03</t>
        </is>
      </c>
      <c r="E1211" s="4" t="inlineStr">
        <is>
          <t>211F0098RB1</t>
        </is>
      </c>
      <c r="F1211" s="4" t="inlineStr">
        <is>
          <t>98系列二功能落地浴缸龙头拉丝玫瑰金+黑色</t>
        </is>
      </c>
      <c r="G1211" s="4" t="inlineStr">
        <is>
          <t>刘皓</t>
        </is>
      </c>
      <c r="H1211" s="4" t="inlineStr">
        <is>
          <t>落地浴缸</t>
        </is>
      </c>
      <c r="I1211" s="12" t="inlineStr">
        <is>
          <t>否</t>
        </is>
      </c>
      <c r="J1211" s="4" t="inlineStr">
        <is>
          <t>/</t>
        </is>
      </c>
      <c r="K1211" s="4" t="inlineStr">
        <is>
          <t>/</t>
        </is>
      </c>
      <c r="L1211" s="0">
        <f>DATEDIF(J1211,$L$1,"M")</f>
        <v/>
      </c>
      <c r="M1211" s="0">
        <f>IF(L1211&lt;18,"新品期",IF(L1211&lt;=36,"老品期","衰退期"))</f>
        <v/>
      </c>
      <c r="N1211" s="15" t="inlineStr">
        <is>
          <t>备用链接，没发货</t>
        </is>
      </c>
    </row>
    <row r="1212" ht="15" customFormat="1" customHeight="1" s="36">
      <c r="A1212" s="4" t="inlineStr">
        <is>
          <t>Wintap-US</t>
        </is>
      </c>
      <c r="B1212" s="4" t="inlineStr">
        <is>
          <t>Wintap美国站</t>
        </is>
      </c>
      <c r="C1212" s="4">
        <f>B1212&amp;D1212</f>
        <v/>
      </c>
      <c r="D1212" s="4" t="inlineStr">
        <is>
          <t>WT-9811RGBKZZ</t>
        </is>
      </c>
      <c r="E1212" s="4" t="inlineStr">
        <is>
          <t>211F0098RB1</t>
        </is>
      </c>
      <c r="F1212" s="4" t="inlineStr">
        <is>
          <t>98系列二功能落地浴缸龙头拉丝玫瑰金+黑色</t>
        </is>
      </c>
      <c r="G1212" s="4" t="inlineStr">
        <is>
          <t>刘皓</t>
        </is>
      </c>
      <c r="H1212" s="4" t="inlineStr">
        <is>
          <t>落地浴缸</t>
        </is>
      </c>
      <c r="I1212" s="12" t="inlineStr">
        <is>
          <t>否</t>
        </is>
      </c>
      <c r="J1212" s="4" t="inlineStr">
        <is>
          <t>/</t>
        </is>
      </c>
      <c r="K1212" s="4" t="inlineStr">
        <is>
          <t>/</t>
        </is>
      </c>
      <c r="L1212" s="0">
        <f>DATEDIF(J1212,$L$1,"M")</f>
        <v/>
      </c>
      <c r="M1212" s="0">
        <f>IF(L1212&lt;18,"新品期",IF(L1212&lt;=36,"老品期","衰退期"))</f>
        <v/>
      </c>
      <c r="N1212" s="15" t="inlineStr">
        <is>
          <t>备用链接，没发货</t>
        </is>
      </c>
    </row>
    <row r="1213" ht="15" customFormat="1" customHeight="1" s="36">
      <c r="A1213" s="4" t="inlineStr">
        <is>
          <t>Wintap-US</t>
        </is>
      </c>
      <c r="B1213" s="4" t="inlineStr">
        <is>
          <t>Wintap美国站</t>
        </is>
      </c>
      <c r="C1213" s="4">
        <f>B1213&amp;D1213</f>
        <v/>
      </c>
      <c r="D1213" s="4" t="inlineStr">
        <is>
          <t>WT-9812BG</t>
        </is>
      </c>
      <c r="E1213" s="4" t="inlineStr">
        <is>
          <t>320F0098BG1</t>
        </is>
      </c>
      <c r="F1213" s="4" t="inlineStr">
        <is>
          <t>98系列二功能入墙暗装淋浴龙头（顶喷+手持）拉丝钛金封油</t>
        </is>
      </c>
      <c r="G1213" s="4" t="inlineStr">
        <is>
          <t>宋江</t>
        </is>
      </c>
      <c r="H1213" s="4" t="inlineStr">
        <is>
          <t>暗装淋浴</t>
        </is>
      </c>
      <c r="I1213" s="12" t="inlineStr">
        <is>
          <t>否</t>
        </is>
      </c>
      <c r="J1213" s="34" t="n">
        <v>45193</v>
      </c>
      <c r="K1213" s="34" t="n">
        <v>45292</v>
      </c>
      <c r="L1213" s="0">
        <f>DATEDIF(J1213,$L$1,"M")</f>
        <v/>
      </c>
      <c r="M1213" s="0">
        <f>IF(L1213&lt;18,"新品期",IF(L1213&lt;=36,"老品期","衰退期"))</f>
        <v/>
      </c>
      <c r="N1213" s="36" t="inlineStr">
        <is>
          <t>2025年9月8以前何嘉威负责</t>
        </is>
      </c>
    </row>
    <row r="1214" ht="15" customFormat="1" customHeight="1" s="36">
      <c r="A1214" s="4" t="inlineStr">
        <is>
          <t>Wintap-CA</t>
        </is>
      </c>
      <c r="B1214" s="4" t="inlineStr">
        <is>
          <t>Wintap加拿大站</t>
        </is>
      </c>
      <c r="C1214" s="4">
        <f>B1214&amp;D1214</f>
        <v/>
      </c>
      <c r="D1214" s="4" t="inlineStr">
        <is>
          <t>WT-9812BG</t>
        </is>
      </c>
      <c r="E1214" s="4" t="inlineStr">
        <is>
          <t>320F0098BG1</t>
        </is>
      </c>
      <c r="F1214" s="4" t="inlineStr">
        <is>
          <t>98系列二功能入墙暗装淋浴龙头（顶喷+手持）拉丝钛金封油</t>
        </is>
      </c>
      <c r="G1214" s="4" t="inlineStr">
        <is>
          <t>宋江</t>
        </is>
      </c>
      <c r="H1214" s="4" t="inlineStr">
        <is>
          <t>暗装淋浴</t>
        </is>
      </c>
      <c r="I1214" s="12" t="inlineStr">
        <is>
          <t>否</t>
        </is>
      </c>
      <c r="J1214" s="34" t="n">
        <v>45193</v>
      </c>
      <c r="K1214" s="34" t="n">
        <v>45292</v>
      </c>
      <c r="L1214" s="0">
        <f>DATEDIF(J1214,$L$1,"M")</f>
        <v/>
      </c>
      <c r="M1214" s="0">
        <f>IF(L1214&lt;18,"新品期",IF(L1214&lt;=36,"老品期","衰退期"))</f>
        <v/>
      </c>
      <c r="N1214" s="36" t="inlineStr">
        <is>
          <t>2025年9月8以前何嘉威负责</t>
        </is>
      </c>
    </row>
    <row r="1215" ht="15" customFormat="1" customHeight="1" s="36">
      <c r="A1215" s="4" t="inlineStr">
        <is>
          <t>Wintap-MX</t>
        </is>
      </c>
      <c r="B1215" s="4" t="inlineStr">
        <is>
          <t>Wintap墨西哥站</t>
        </is>
      </c>
      <c r="C1215" s="4">
        <f>B1215&amp;D1215</f>
        <v/>
      </c>
      <c r="D1215" s="4" t="inlineStr">
        <is>
          <t>WT-9812BG</t>
        </is>
      </c>
      <c r="E1215" s="4" t="inlineStr">
        <is>
          <t>320F0098BG1</t>
        </is>
      </c>
      <c r="F1215" s="4" t="inlineStr">
        <is>
          <t>98系列二功能入墙暗装淋浴龙头（顶喷+手持）拉丝钛金封油</t>
        </is>
      </c>
      <c r="G1215" s="4" t="inlineStr">
        <is>
          <t>宋江</t>
        </is>
      </c>
      <c r="H1215" s="4" t="inlineStr">
        <is>
          <t>暗装淋浴</t>
        </is>
      </c>
      <c r="I1215" s="12" t="inlineStr">
        <is>
          <t>否</t>
        </is>
      </c>
      <c r="J1215" s="34" t="n">
        <v>45193</v>
      </c>
      <c r="K1215" s="34" t="n">
        <v>45292</v>
      </c>
      <c r="L1215" s="0">
        <f>DATEDIF(J1215,$L$1,"M")</f>
        <v/>
      </c>
      <c r="M1215" s="0">
        <f>IF(L1215&lt;18,"新品期",IF(L1215&lt;=36,"老品期","衰退期"))</f>
        <v/>
      </c>
      <c r="N1215" s="36" t="inlineStr">
        <is>
          <t>2025年9月8以前何嘉威负责</t>
        </is>
      </c>
    </row>
    <row r="1216" ht="15" customFormat="1" customHeight="1" s="36">
      <c r="A1216" s="4" t="inlineStr">
        <is>
          <t>Wintap-BR</t>
        </is>
      </c>
      <c r="B1216" s="4" t="inlineStr">
        <is>
          <t>Wintap巴西站</t>
        </is>
      </c>
      <c r="C1216" s="4">
        <f>B1216&amp;D1216</f>
        <v/>
      </c>
      <c r="D1216" s="4" t="inlineStr">
        <is>
          <t>WT-9812BG</t>
        </is>
      </c>
      <c r="E1216" s="4" t="inlineStr">
        <is>
          <t>320F0098BG1</t>
        </is>
      </c>
      <c r="F1216" s="4" t="inlineStr">
        <is>
          <t>98系列二功能入墙暗装淋浴龙头（顶喷+手持）拉丝钛金封油</t>
        </is>
      </c>
      <c r="G1216" s="4" t="inlineStr">
        <is>
          <t>宋江</t>
        </is>
      </c>
      <c r="H1216" s="4" t="inlineStr">
        <is>
          <t>暗装淋浴</t>
        </is>
      </c>
      <c r="I1216" s="12" t="inlineStr">
        <is>
          <t>否</t>
        </is>
      </c>
      <c r="J1216" s="34" t="n">
        <v>45193</v>
      </c>
      <c r="K1216" s="34" t="n">
        <v>45292</v>
      </c>
      <c r="L1216" s="0">
        <f>DATEDIF(J1216,$L$1,"M")</f>
        <v/>
      </c>
      <c r="M1216" s="0">
        <f>IF(L1216&lt;18,"新品期",IF(L1216&lt;=36,"老品期","衰退期"))</f>
        <v/>
      </c>
      <c r="N1216" s="36" t="inlineStr">
        <is>
          <t>2025年9月8以前何嘉威负责</t>
        </is>
      </c>
    </row>
    <row r="1217" ht="15" customFormat="1" customHeight="1" s="36">
      <c r="A1217" s="4" t="inlineStr">
        <is>
          <t>Wintap-US</t>
        </is>
      </c>
      <c r="B1217" s="4" t="inlineStr">
        <is>
          <t>Wintap美国站</t>
        </is>
      </c>
      <c r="C1217" s="4">
        <f>B1217&amp;D1217</f>
        <v/>
      </c>
      <c r="D1217" s="4" t="inlineStr">
        <is>
          <t>WT-9812BG02</t>
        </is>
      </c>
      <c r="E1217" s="4" t="inlineStr">
        <is>
          <t>320F0098BG1</t>
        </is>
      </c>
      <c r="F1217" s="4" t="inlineStr">
        <is>
          <t>98系列二功能入墙暗装淋浴龙头（顶喷+手持）拉丝钛金封油</t>
        </is>
      </c>
      <c r="G1217" s="4" t="inlineStr">
        <is>
          <t>宋江</t>
        </is>
      </c>
      <c r="H1217" s="4" t="inlineStr">
        <is>
          <t>暗装淋浴</t>
        </is>
      </c>
      <c r="I1217" s="12" t="inlineStr">
        <is>
          <t>是</t>
        </is>
      </c>
      <c r="J1217" s="34" t="n">
        <v>45193</v>
      </c>
      <c r="K1217" s="34" t="n">
        <v>45292</v>
      </c>
      <c r="L1217" s="0">
        <f>DATEDIF(J1217,$L$1,"M")</f>
        <v/>
      </c>
      <c r="M1217" s="0">
        <f>IF(L1217&lt;18,"新品期",IF(L1217&lt;=36,"老品期","衰退期"))</f>
        <v/>
      </c>
      <c r="N1217" s="36" t="inlineStr">
        <is>
          <t>2025年9月8以前何嘉威负责</t>
        </is>
      </c>
    </row>
    <row r="1218" ht="15" customFormat="1" customHeight="1" s="36">
      <c r="A1218" s="4" t="inlineStr">
        <is>
          <t>Wintap-US</t>
        </is>
      </c>
      <c r="B1218" s="4" t="inlineStr">
        <is>
          <t>Wintap美国站</t>
        </is>
      </c>
      <c r="C1218" s="4">
        <f>B1218&amp;D1218</f>
        <v/>
      </c>
      <c r="D1218" s="4" t="inlineStr">
        <is>
          <t>WT-9812BG03</t>
        </is>
      </c>
      <c r="E1218" s="4" t="inlineStr">
        <is>
          <t>320F0098BG1</t>
        </is>
      </c>
      <c r="F1218" s="4" t="inlineStr">
        <is>
          <t>98系列二功能入墙暗装淋浴龙头（顶喷+手持）拉丝钛金封油</t>
        </is>
      </c>
      <c r="G1218" s="4" t="inlineStr">
        <is>
          <t>宋江</t>
        </is>
      </c>
      <c r="H1218" s="4" t="inlineStr">
        <is>
          <t>暗装淋浴</t>
        </is>
      </c>
      <c r="I1218" s="12" t="inlineStr">
        <is>
          <t>是</t>
        </is>
      </c>
      <c r="J1218" s="34" t="n">
        <v>45193</v>
      </c>
      <c r="K1218" s="34" t="n">
        <v>45292</v>
      </c>
      <c r="L1218" s="0">
        <f>DATEDIF(J1218,$L$1,"M")</f>
        <v/>
      </c>
      <c r="M1218" s="0">
        <f>IF(L1218&lt;18,"新品期",IF(L1218&lt;=36,"老品期","衰退期"))</f>
        <v/>
      </c>
      <c r="N1218" s="36" t="inlineStr">
        <is>
          <t>2025年9月8以前何嘉威负责</t>
        </is>
      </c>
    </row>
    <row r="1219" ht="15" customFormat="1" customHeight="1" s="36">
      <c r="A1219" s="4" t="inlineStr">
        <is>
          <t>Wintap-US</t>
        </is>
      </c>
      <c r="B1219" s="4" t="inlineStr">
        <is>
          <t>Wintap美国站</t>
        </is>
      </c>
      <c r="C1219" s="4">
        <f>B1219&amp;D1219</f>
        <v/>
      </c>
      <c r="D1219" s="4" t="inlineStr">
        <is>
          <t>WT-9812BGZZ</t>
        </is>
      </c>
      <c r="E1219" s="4" t="inlineStr">
        <is>
          <t>320F0098BG1</t>
        </is>
      </c>
      <c r="F1219" s="4" t="inlineStr">
        <is>
          <t>98系列二功能入墙暗装淋浴龙头（顶喷+手持）拉丝钛金封油</t>
        </is>
      </c>
      <c r="G1219" s="4" t="inlineStr">
        <is>
          <t>宋江</t>
        </is>
      </c>
      <c r="H1219" s="4" t="inlineStr">
        <is>
          <t>暗装淋浴</t>
        </is>
      </c>
      <c r="I1219" s="12" t="inlineStr">
        <is>
          <t>是</t>
        </is>
      </c>
      <c r="J1219" s="34" t="n">
        <v>45193</v>
      </c>
      <c r="K1219" s="34" t="n">
        <v>45292</v>
      </c>
      <c r="L1219" s="0">
        <f>DATEDIF(J1219,$L$1,"M")</f>
        <v/>
      </c>
      <c r="M1219" s="0">
        <f>IF(L1219&lt;18,"新品期",IF(L1219&lt;=36,"老品期","衰退期"))</f>
        <v/>
      </c>
      <c r="N1219" s="36" t="inlineStr">
        <is>
          <t>2025年9月8以前何嘉威负责</t>
        </is>
      </c>
    </row>
    <row r="1220" ht="15" customFormat="1" customHeight="1" s="36">
      <c r="A1220" s="4" t="inlineStr">
        <is>
          <t>Wintap-CA</t>
        </is>
      </c>
      <c r="B1220" s="4" t="inlineStr">
        <is>
          <t>Wintap加拿大站</t>
        </is>
      </c>
      <c r="C1220" s="4">
        <f>B1220&amp;D1220</f>
        <v/>
      </c>
      <c r="D1220" s="4" t="inlineStr">
        <is>
          <t>WT-9812BGZZ</t>
        </is>
      </c>
      <c r="E1220" s="4" t="inlineStr">
        <is>
          <t>320F0098BG1</t>
        </is>
      </c>
      <c r="F1220" s="4" t="inlineStr">
        <is>
          <t>98系列二功能入墙暗装淋浴龙头（顶喷+手持）拉丝钛金封油</t>
        </is>
      </c>
      <c r="G1220" s="4" t="inlineStr">
        <is>
          <t>宋江</t>
        </is>
      </c>
      <c r="H1220" s="4" t="inlineStr">
        <is>
          <t>暗装淋浴</t>
        </is>
      </c>
      <c r="I1220" s="12" t="inlineStr">
        <is>
          <t>是</t>
        </is>
      </c>
      <c r="J1220" s="34" t="n">
        <v>45193</v>
      </c>
      <c r="K1220" s="34" t="n">
        <v>45292</v>
      </c>
      <c r="L1220" s="0">
        <f>DATEDIF(J1220,$L$1,"M")</f>
        <v/>
      </c>
      <c r="M1220" s="0">
        <f>IF(L1220&lt;18,"新品期",IF(L1220&lt;=36,"老品期","衰退期"))</f>
        <v/>
      </c>
      <c r="N1220" s="36" t="inlineStr">
        <is>
          <t>2025年9月8以前何嘉威负责</t>
        </is>
      </c>
    </row>
    <row r="1221" ht="15" customFormat="1" customHeight="1" s="36">
      <c r="A1221" s="4" t="inlineStr">
        <is>
          <t>Wintap-US</t>
        </is>
      </c>
      <c r="B1221" s="4" t="inlineStr">
        <is>
          <t>Wintap美国站</t>
        </is>
      </c>
      <c r="C1221" s="4">
        <f>B1221&amp;D1221</f>
        <v/>
      </c>
      <c r="D1221" s="4" t="inlineStr">
        <is>
          <t>WT-9812BGZZ03</t>
        </is>
      </c>
      <c r="E1221" s="4" t="inlineStr">
        <is>
          <t>320F0098BG1</t>
        </is>
      </c>
      <c r="F1221" s="4" t="inlineStr">
        <is>
          <t>98系列二功能入墙暗装淋浴龙头（顶喷+手持）拉丝钛金封油</t>
        </is>
      </c>
      <c r="G1221" s="4" t="inlineStr">
        <is>
          <t>宋江</t>
        </is>
      </c>
      <c r="H1221" s="4" t="inlineStr">
        <is>
          <t>暗装淋浴</t>
        </is>
      </c>
      <c r="I1221" s="12" t="inlineStr">
        <is>
          <t>是</t>
        </is>
      </c>
      <c r="J1221" s="34" t="n">
        <v>45193</v>
      </c>
      <c r="K1221" s="34" t="n">
        <v>45292</v>
      </c>
      <c r="L1221" s="0">
        <f>DATEDIF(J1221,$L$1,"M")</f>
        <v/>
      </c>
      <c r="M1221" s="0">
        <f>IF(L1221&lt;18,"新品期",IF(L1221&lt;=36,"老品期","衰退期"))</f>
        <v/>
      </c>
      <c r="N1221" s="36" t="inlineStr">
        <is>
          <t>2025年9月8以前何嘉威负责</t>
        </is>
      </c>
    </row>
    <row r="1222" ht="15" customFormat="1" customHeight="1" s="36">
      <c r="A1222" s="4" t="inlineStr">
        <is>
          <t>Wintap-CA</t>
        </is>
      </c>
      <c r="B1222" s="4" t="inlineStr">
        <is>
          <t>Wintap加拿大站</t>
        </is>
      </c>
      <c r="C1222" s="4">
        <f>B1222&amp;D1222</f>
        <v/>
      </c>
      <c r="D1222" s="4" t="inlineStr">
        <is>
          <t>WT-9812BGZZ03</t>
        </is>
      </c>
      <c r="E1222" s="4" t="inlineStr">
        <is>
          <t>320F0098BG1</t>
        </is>
      </c>
      <c r="F1222" s="4" t="inlineStr">
        <is>
          <t>98系列二功能入墙暗装淋浴龙头（顶喷+手持）拉丝钛金封油</t>
        </is>
      </c>
      <c r="G1222" s="4" t="inlineStr">
        <is>
          <t>宋江</t>
        </is>
      </c>
      <c r="H1222" s="4" t="inlineStr">
        <is>
          <t>暗装淋浴</t>
        </is>
      </c>
      <c r="I1222" s="12" t="inlineStr">
        <is>
          <t>是</t>
        </is>
      </c>
      <c r="J1222" s="34" t="n">
        <v>45193</v>
      </c>
      <c r="K1222" s="34" t="n">
        <v>45292</v>
      </c>
      <c r="L1222" s="0">
        <f>DATEDIF(J1222,$L$1,"M")</f>
        <v/>
      </c>
      <c r="M1222" s="0">
        <f>IF(L1222&lt;18,"新品期",IF(L1222&lt;=36,"老品期","衰退期"))</f>
        <v/>
      </c>
      <c r="N1222" s="36" t="inlineStr">
        <is>
          <t>2025年9月8以前何嘉威负责</t>
        </is>
      </c>
    </row>
    <row r="1223" ht="15" customFormat="1" customHeight="1" s="36">
      <c r="A1223" s="4" t="inlineStr">
        <is>
          <t>Wintap-US</t>
        </is>
      </c>
      <c r="B1223" s="4" t="inlineStr">
        <is>
          <t>Wintap美国站</t>
        </is>
      </c>
      <c r="C1223" s="4">
        <f>B1223&amp;D1223</f>
        <v/>
      </c>
      <c r="D1223" s="4" t="inlineStr">
        <is>
          <t>WT-9812BK</t>
        </is>
      </c>
      <c r="E1223" s="4" t="inlineStr">
        <is>
          <t>320F0098BK1</t>
        </is>
      </c>
      <c r="F1223" s="4" t="inlineStr">
        <is>
          <t>98系列二功能入墙暗装淋浴龙头（顶喷+手持）电泳黑</t>
        </is>
      </c>
      <c r="G1223" s="4" t="inlineStr">
        <is>
          <t>宋江</t>
        </is>
      </c>
      <c r="H1223" s="4" t="inlineStr">
        <is>
          <t>暗装淋浴</t>
        </is>
      </c>
      <c r="I1223" s="12" t="inlineStr">
        <is>
          <t>否</t>
        </is>
      </c>
      <c r="J1223" s="34" t="n">
        <v>45193</v>
      </c>
      <c r="K1223" s="34" t="n">
        <v>45292</v>
      </c>
      <c r="L1223" s="0">
        <f>DATEDIF(J1223,$L$1,"M")</f>
        <v/>
      </c>
      <c r="M1223" s="0">
        <f>IF(L1223&lt;18,"新品期",IF(L1223&lt;=36,"老品期","衰退期"))</f>
        <v/>
      </c>
      <c r="N1223" s="36" t="inlineStr">
        <is>
          <t>2025年9月8以前何嘉威负责</t>
        </is>
      </c>
    </row>
    <row r="1224" ht="15" customFormat="1" customHeight="1" s="36">
      <c r="A1224" s="4" t="inlineStr">
        <is>
          <t>Wintap-CA</t>
        </is>
      </c>
      <c r="B1224" s="4" t="inlineStr">
        <is>
          <t>Wintap加拿大站</t>
        </is>
      </c>
      <c r="C1224" s="4">
        <f>B1224&amp;D1224</f>
        <v/>
      </c>
      <c r="D1224" s="4" t="inlineStr">
        <is>
          <t>WT-9812BK</t>
        </is>
      </c>
      <c r="E1224" s="4" t="inlineStr">
        <is>
          <t>320F0098BK1</t>
        </is>
      </c>
      <c r="F1224" s="4" t="inlineStr">
        <is>
          <t>98系列二功能入墙暗装淋浴龙头（顶喷+手持）电泳黑</t>
        </is>
      </c>
      <c r="G1224" s="4" t="inlineStr">
        <is>
          <t>宋江</t>
        </is>
      </c>
      <c r="H1224" s="4" t="inlineStr">
        <is>
          <t>暗装淋浴</t>
        </is>
      </c>
      <c r="I1224" s="12" t="inlineStr">
        <is>
          <t>否</t>
        </is>
      </c>
      <c r="J1224" s="34" t="n">
        <v>45193</v>
      </c>
      <c r="K1224" s="34" t="n">
        <v>45292</v>
      </c>
      <c r="L1224" s="0">
        <f>DATEDIF(J1224,$L$1,"M")</f>
        <v/>
      </c>
      <c r="M1224" s="0">
        <f>IF(L1224&lt;18,"新品期",IF(L1224&lt;=36,"老品期","衰退期"))</f>
        <v/>
      </c>
      <c r="N1224" s="36" t="inlineStr">
        <is>
          <t>2025年9月8以前何嘉威负责</t>
        </is>
      </c>
    </row>
    <row r="1225" ht="15" customFormat="1" customHeight="1" s="36">
      <c r="A1225" s="4" t="inlineStr">
        <is>
          <t>Wintap-US</t>
        </is>
      </c>
      <c r="B1225" s="4" t="inlineStr">
        <is>
          <t>Wintap美国站</t>
        </is>
      </c>
      <c r="C1225" s="4">
        <f>B1225&amp;D1225</f>
        <v/>
      </c>
      <c r="D1225" s="4" t="inlineStr">
        <is>
          <t>WT-9812BK02</t>
        </is>
      </c>
      <c r="E1225" s="4" t="inlineStr">
        <is>
          <t>320F0098BK1</t>
        </is>
      </c>
      <c r="F1225" s="4" t="inlineStr">
        <is>
          <t>98系列二功能入墙暗装淋浴龙头（顶喷+手持）电泳黑</t>
        </is>
      </c>
      <c r="G1225" s="4" t="inlineStr">
        <is>
          <t>宋江</t>
        </is>
      </c>
      <c r="H1225" s="4" t="inlineStr">
        <is>
          <t>暗装淋浴</t>
        </is>
      </c>
      <c r="I1225" s="12" t="inlineStr">
        <is>
          <t>是</t>
        </is>
      </c>
      <c r="J1225" s="34" t="n">
        <v>45193</v>
      </c>
      <c r="K1225" s="34" t="n">
        <v>45292</v>
      </c>
      <c r="L1225" s="0">
        <f>DATEDIF(J1225,$L$1,"M")</f>
        <v/>
      </c>
      <c r="M1225" s="0">
        <f>IF(L1225&lt;18,"新品期",IF(L1225&lt;=36,"老品期","衰退期"))</f>
        <v/>
      </c>
      <c r="N1225" s="36" t="inlineStr">
        <is>
          <t>2025年9月8以前何嘉威负责</t>
        </is>
      </c>
    </row>
    <row r="1226" ht="15" customFormat="1" customHeight="1" s="36">
      <c r="A1226" s="4" t="inlineStr">
        <is>
          <t>Wintap-US</t>
        </is>
      </c>
      <c r="B1226" s="4" t="inlineStr">
        <is>
          <t>Wintap美国站</t>
        </is>
      </c>
      <c r="C1226" s="4">
        <f>B1226&amp;D1226</f>
        <v/>
      </c>
      <c r="D1226" s="4" t="inlineStr">
        <is>
          <t>WT-9812BK03</t>
        </is>
      </c>
      <c r="E1226" s="4" t="inlineStr">
        <is>
          <t>320F0098BK1</t>
        </is>
      </c>
      <c r="F1226" s="4" t="inlineStr">
        <is>
          <t>98系列二功能入墙暗装淋浴龙头（顶喷+手持）电泳黑</t>
        </is>
      </c>
      <c r="G1226" s="4" t="inlineStr">
        <is>
          <t>宋江</t>
        </is>
      </c>
      <c r="H1226" s="4" t="inlineStr">
        <is>
          <t>暗装淋浴</t>
        </is>
      </c>
      <c r="I1226" s="12" t="inlineStr">
        <is>
          <t>是</t>
        </is>
      </c>
      <c r="J1226" s="34" t="n">
        <v>45193</v>
      </c>
      <c r="K1226" s="34" t="n">
        <v>45292</v>
      </c>
      <c r="L1226" s="0">
        <f>DATEDIF(J1226,$L$1,"M")</f>
        <v/>
      </c>
      <c r="M1226" s="0">
        <f>IF(L1226&lt;18,"新品期",IF(L1226&lt;=36,"老品期","衰退期"))</f>
        <v/>
      </c>
      <c r="N1226" s="36" t="inlineStr">
        <is>
          <t>2025年9月8以前何嘉威负责</t>
        </is>
      </c>
    </row>
    <row r="1227" ht="15" customFormat="1" customHeight="1" s="36">
      <c r="A1227" s="4" t="inlineStr">
        <is>
          <t>Wintap-US</t>
        </is>
      </c>
      <c r="B1227" s="4" t="inlineStr">
        <is>
          <t>Wintap美国站</t>
        </is>
      </c>
      <c r="C1227" s="4">
        <f>B1227&amp;D1227</f>
        <v/>
      </c>
      <c r="D1227" s="4" t="inlineStr">
        <is>
          <t>WT-9812BKZZ</t>
        </is>
      </c>
      <c r="E1227" s="4" t="inlineStr">
        <is>
          <t>320F0098BK1</t>
        </is>
      </c>
      <c r="F1227" s="4" t="inlineStr">
        <is>
          <t>98系列二功能入墙暗装淋浴龙头（顶喷+手持）电泳黑</t>
        </is>
      </c>
      <c r="G1227" s="4" t="inlineStr">
        <is>
          <t>宋江</t>
        </is>
      </c>
      <c r="H1227" s="4" t="inlineStr">
        <is>
          <t>暗装淋浴</t>
        </is>
      </c>
      <c r="I1227" s="12" t="inlineStr">
        <is>
          <t>是</t>
        </is>
      </c>
      <c r="J1227" s="34" t="n">
        <v>45193</v>
      </c>
      <c r="K1227" s="34" t="n">
        <v>45292</v>
      </c>
      <c r="L1227" s="0">
        <f>DATEDIF(J1227,$L$1,"M")</f>
        <v/>
      </c>
      <c r="M1227" s="0">
        <f>IF(L1227&lt;18,"新品期",IF(L1227&lt;=36,"老品期","衰退期"))</f>
        <v/>
      </c>
      <c r="N1227" s="36" t="inlineStr">
        <is>
          <t>2025年9月8以前何嘉威负责</t>
        </is>
      </c>
    </row>
    <row r="1228" ht="15" customFormat="1" customHeight="1" s="36">
      <c r="A1228" s="4" t="inlineStr">
        <is>
          <t>Wintap-CA</t>
        </is>
      </c>
      <c r="B1228" s="4" t="inlineStr">
        <is>
          <t>Wintap加拿大站</t>
        </is>
      </c>
      <c r="C1228" s="4">
        <f>B1228&amp;D1228</f>
        <v/>
      </c>
      <c r="D1228" s="4" t="inlineStr">
        <is>
          <t>WT-9812BKZZ</t>
        </is>
      </c>
      <c r="E1228" s="4" t="inlineStr">
        <is>
          <t>320F0098BK1</t>
        </is>
      </c>
      <c r="F1228" s="4" t="inlineStr">
        <is>
          <t>98系列二功能入墙暗装淋浴龙头（顶喷+手持）电泳黑</t>
        </is>
      </c>
      <c r="G1228" s="4" t="inlineStr">
        <is>
          <t>宋江</t>
        </is>
      </c>
      <c r="H1228" s="4" t="inlineStr">
        <is>
          <t>暗装淋浴</t>
        </is>
      </c>
      <c r="I1228" s="12" t="inlineStr">
        <is>
          <t>是</t>
        </is>
      </c>
      <c r="J1228" s="34" t="n">
        <v>45193</v>
      </c>
      <c r="K1228" s="34" t="n">
        <v>45292</v>
      </c>
      <c r="L1228" s="0">
        <f>DATEDIF(J1228,$L$1,"M")</f>
        <v/>
      </c>
      <c r="M1228" s="0">
        <f>IF(L1228&lt;18,"新品期",IF(L1228&lt;=36,"老品期","衰退期"))</f>
        <v/>
      </c>
      <c r="N1228" s="36" t="inlineStr">
        <is>
          <t>2025年9月8以前何嘉威负责</t>
        </is>
      </c>
    </row>
    <row r="1229" ht="15" customFormat="1" customHeight="1" s="36">
      <c r="A1229" s="4" t="inlineStr">
        <is>
          <t>Wintap-US</t>
        </is>
      </c>
      <c r="B1229" s="4" t="inlineStr">
        <is>
          <t>Wintap美国站</t>
        </is>
      </c>
      <c r="C1229" s="4">
        <f>B1229&amp;D1229</f>
        <v/>
      </c>
      <c r="D1229" s="4" t="inlineStr">
        <is>
          <t>WT-9812BKZZ03</t>
        </is>
      </c>
      <c r="E1229" s="4" t="inlineStr">
        <is>
          <t>320F0098BK1</t>
        </is>
      </c>
      <c r="F1229" s="4" t="inlineStr">
        <is>
          <t>98系列二功能入墙暗装淋浴龙头（顶喷+手持）电泳黑</t>
        </is>
      </c>
      <c r="G1229" s="4" t="inlineStr">
        <is>
          <t>宋江</t>
        </is>
      </c>
      <c r="H1229" s="4" t="inlineStr">
        <is>
          <t>暗装淋浴</t>
        </is>
      </c>
      <c r="I1229" s="12" t="inlineStr">
        <is>
          <t>是</t>
        </is>
      </c>
      <c r="J1229" s="34" t="n">
        <v>45193</v>
      </c>
      <c r="K1229" s="34" t="n">
        <v>45292</v>
      </c>
      <c r="L1229" s="0">
        <f>DATEDIF(J1229,$L$1,"M")</f>
        <v/>
      </c>
      <c r="M1229" s="0">
        <f>IF(L1229&lt;18,"新品期",IF(L1229&lt;=36,"老品期","衰退期"))</f>
        <v/>
      </c>
      <c r="N1229" s="36" t="inlineStr">
        <is>
          <t>2025年9月8以前何嘉威负责</t>
        </is>
      </c>
    </row>
    <row r="1230" ht="15" customFormat="1" customHeight="1" s="36">
      <c r="A1230" s="4" t="inlineStr">
        <is>
          <t>Wintap-CA</t>
        </is>
      </c>
      <c r="B1230" s="4" t="inlineStr">
        <is>
          <t>Wintap加拿大站</t>
        </is>
      </c>
      <c r="C1230" s="4">
        <f>B1230&amp;D1230</f>
        <v/>
      </c>
      <c r="D1230" s="4" t="inlineStr">
        <is>
          <t>WT-9812BKZZ03</t>
        </is>
      </c>
      <c r="E1230" s="4" t="inlineStr">
        <is>
          <t>320F0098BK1</t>
        </is>
      </c>
      <c r="F1230" s="4" t="inlineStr">
        <is>
          <t>98系列二功能入墙暗装淋浴龙头（顶喷+手持）电泳黑</t>
        </is>
      </c>
      <c r="G1230" s="4" t="inlineStr">
        <is>
          <t>宋江</t>
        </is>
      </c>
      <c r="H1230" s="4" t="inlineStr">
        <is>
          <t>暗装淋浴</t>
        </is>
      </c>
      <c r="I1230" s="12" t="inlineStr">
        <is>
          <t>是</t>
        </is>
      </c>
      <c r="J1230" s="34" t="n">
        <v>45193</v>
      </c>
      <c r="K1230" s="34" t="n">
        <v>45292</v>
      </c>
      <c r="L1230" s="0">
        <f>DATEDIF(J1230,$L$1,"M")</f>
        <v/>
      </c>
      <c r="M1230" s="0">
        <f>IF(L1230&lt;18,"新品期",IF(L1230&lt;=36,"老品期","衰退期"))</f>
        <v/>
      </c>
      <c r="N1230" s="36" t="inlineStr">
        <is>
          <t>2025年9月8以前何嘉威负责</t>
        </is>
      </c>
    </row>
    <row r="1231" ht="15" customFormat="1" customHeight="1" s="36">
      <c r="A1231" s="4" t="inlineStr">
        <is>
          <t>Wintap-US</t>
        </is>
      </c>
      <c r="B1231" s="4" t="inlineStr">
        <is>
          <t>Wintap美国站</t>
        </is>
      </c>
      <c r="C1231" s="4">
        <f>B1231&amp;D1231</f>
        <v/>
      </c>
      <c r="D1231" s="4" t="inlineStr">
        <is>
          <t>WT-9812BN</t>
        </is>
      </c>
      <c r="E1231" s="4" t="inlineStr">
        <is>
          <t>320F0098BN1</t>
        </is>
      </c>
      <c r="F1231" s="4" t="inlineStr">
        <is>
          <t>98系列二功能入墙暗装淋浴龙头（顶喷+手持）拉丝封油</t>
        </is>
      </c>
      <c r="G1231" s="4" t="inlineStr">
        <is>
          <t>宋江</t>
        </is>
      </c>
      <c r="H1231" s="4" t="inlineStr">
        <is>
          <t>暗装淋浴</t>
        </is>
      </c>
      <c r="I1231" s="12" t="inlineStr">
        <is>
          <t>否</t>
        </is>
      </c>
      <c r="J1231" s="34" t="n">
        <v>45193</v>
      </c>
      <c r="K1231" s="34" t="n">
        <v>45292</v>
      </c>
      <c r="L1231" s="0">
        <f>DATEDIF(J1231,$L$1,"M")</f>
        <v/>
      </c>
      <c r="M1231" s="0">
        <f>IF(L1231&lt;18,"新品期",IF(L1231&lt;=36,"老品期","衰退期"))</f>
        <v/>
      </c>
      <c r="N1231" s="36" t="inlineStr">
        <is>
          <t>2025年9月8以前何嘉威负责</t>
        </is>
      </c>
    </row>
    <row r="1232" ht="15" customFormat="1" customHeight="1" s="36">
      <c r="A1232" s="4" t="inlineStr">
        <is>
          <t>Wintap-CA</t>
        </is>
      </c>
      <c r="B1232" s="4" t="inlineStr">
        <is>
          <t>Wintap加拿大站</t>
        </is>
      </c>
      <c r="C1232" s="4">
        <f>B1232&amp;D1232</f>
        <v/>
      </c>
      <c r="D1232" s="4" t="inlineStr">
        <is>
          <t>WT-9812BN</t>
        </is>
      </c>
      <c r="E1232" s="4" t="inlineStr">
        <is>
          <t>320F0098BN1</t>
        </is>
      </c>
      <c r="F1232" s="4" t="inlineStr">
        <is>
          <t>98系列二功能入墙暗装淋浴龙头（顶喷+手持）拉丝封油</t>
        </is>
      </c>
      <c r="G1232" s="4" t="inlineStr">
        <is>
          <t>宋江</t>
        </is>
      </c>
      <c r="H1232" s="4" t="inlineStr">
        <is>
          <t>暗装淋浴</t>
        </is>
      </c>
      <c r="I1232" s="12" t="inlineStr">
        <is>
          <t>否</t>
        </is>
      </c>
      <c r="J1232" s="34" t="n">
        <v>45193</v>
      </c>
      <c r="K1232" s="34" t="n">
        <v>45292</v>
      </c>
      <c r="L1232" s="0">
        <f>DATEDIF(J1232,$L$1,"M")</f>
        <v/>
      </c>
      <c r="M1232" s="0">
        <f>IF(L1232&lt;18,"新品期",IF(L1232&lt;=36,"老品期","衰退期"))</f>
        <v/>
      </c>
      <c r="N1232" s="36" t="inlineStr">
        <is>
          <t>2025年9月8以前何嘉威负责</t>
        </is>
      </c>
    </row>
    <row r="1233" ht="15" customFormat="1" customHeight="1" s="36">
      <c r="A1233" s="4" t="inlineStr">
        <is>
          <t>Wintap-US</t>
        </is>
      </c>
      <c r="B1233" s="4" t="inlineStr">
        <is>
          <t>Wintap美国站</t>
        </is>
      </c>
      <c r="C1233" s="4">
        <f>B1233&amp;D1233</f>
        <v/>
      </c>
      <c r="D1233" s="4" t="inlineStr">
        <is>
          <t>WT-9812BN02</t>
        </is>
      </c>
      <c r="E1233" s="4" t="inlineStr">
        <is>
          <t>320F0098BN1</t>
        </is>
      </c>
      <c r="F1233" s="4" t="inlineStr">
        <is>
          <t>98系列二功能入墙暗装淋浴龙头（顶喷+手持）拉丝封油</t>
        </is>
      </c>
      <c r="G1233" s="4" t="inlineStr">
        <is>
          <t>宋江</t>
        </is>
      </c>
      <c r="H1233" s="4" t="inlineStr">
        <is>
          <t>暗装淋浴</t>
        </is>
      </c>
      <c r="I1233" s="12" t="inlineStr">
        <is>
          <t>是</t>
        </is>
      </c>
      <c r="J1233" s="34" t="n">
        <v>45193</v>
      </c>
      <c r="K1233" s="34" t="n">
        <v>45292</v>
      </c>
      <c r="L1233" s="0">
        <f>DATEDIF(J1233,$L$1,"M")</f>
        <v/>
      </c>
      <c r="M1233" s="0">
        <f>IF(L1233&lt;18,"新品期",IF(L1233&lt;=36,"老品期","衰退期"))</f>
        <v/>
      </c>
      <c r="N1233" s="36" t="inlineStr">
        <is>
          <t>2025年9月8以前何嘉威负责</t>
        </is>
      </c>
    </row>
    <row r="1234" ht="15" customFormat="1" customHeight="1" s="36">
      <c r="A1234" s="4" t="inlineStr">
        <is>
          <t>Wintap-US</t>
        </is>
      </c>
      <c r="B1234" s="4" t="inlineStr">
        <is>
          <t>Wintap美国站</t>
        </is>
      </c>
      <c r="C1234" s="4">
        <f>B1234&amp;D1234</f>
        <v/>
      </c>
      <c r="D1234" s="4" t="inlineStr">
        <is>
          <t>WT-9812BN03</t>
        </is>
      </c>
      <c r="E1234" s="4" t="inlineStr">
        <is>
          <t>320F0098BN1</t>
        </is>
      </c>
      <c r="F1234" s="4" t="inlineStr">
        <is>
          <t>98系列二功能入墙暗装淋浴龙头（顶喷+手持）拉丝封油</t>
        </is>
      </c>
      <c r="G1234" s="4" t="inlineStr">
        <is>
          <t>宋江</t>
        </is>
      </c>
      <c r="H1234" s="4" t="inlineStr">
        <is>
          <t>暗装淋浴</t>
        </is>
      </c>
      <c r="I1234" s="12" t="inlineStr">
        <is>
          <t>是</t>
        </is>
      </c>
      <c r="J1234" s="34" t="n">
        <v>45193</v>
      </c>
      <c r="K1234" s="34" t="n">
        <v>45292</v>
      </c>
      <c r="L1234" s="0">
        <f>DATEDIF(J1234,$L$1,"M")</f>
        <v/>
      </c>
      <c r="M1234" s="0">
        <f>IF(L1234&lt;18,"新品期",IF(L1234&lt;=36,"老品期","衰退期"))</f>
        <v/>
      </c>
      <c r="N1234" s="36" t="inlineStr">
        <is>
          <t>2025年9月8以前何嘉威负责</t>
        </is>
      </c>
    </row>
    <row r="1235" ht="15" customFormat="1" customHeight="1" s="36">
      <c r="A1235" s="4" t="inlineStr">
        <is>
          <t>Wintap-US</t>
        </is>
      </c>
      <c r="B1235" s="4" t="inlineStr">
        <is>
          <t>Wintap美国站</t>
        </is>
      </c>
      <c r="C1235" s="4">
        <f>B1235&amp;D1235</f>
        <v/>
      </c>
      <c r="D1235" s="4" t="inlineStr">
        <is>
          <t>WT-9812BNZZ</t>
        </is>
      </c>
      <c r="E1235" s="4" t="inlineStr">
        <is>
          <t>320F0098BN1</t>
        </is>
      </c>
      <c r="F1235" s="4" t="inlineStr">
        <is>
          <t>98系列二功能入墙暗装淋浴龙头（顶喷+手持）拉丝封油</t>
        </is>
      </c>
      <c r="G1235" s="4" t="inlineStr">
        <is>
          <t>宋江</t>
        </is>
      </c>
      <c r="H1235" s="4" t="inlineStr">
        <is>
          <t>暗装淋浴</t>
        </is>
      </c>
      <c r="I1235" s="12" t="inlineStr">
        <is>
          <t>是</t>
        </is>
      </c>
      <c r="J1235" s="34" t="n">
        <v>45193</v>
      </c>
      <c r="K1235" s="34" t="n">
        <v>45292</v>
      </c>
      <c r="L1235" s="0">
        <f>DATEDIF(J1235,$L$1,"M")</f>
        <v/>
      </c>
      <c r="M1235" s="0">
        <f>IF(L1235&lt;18,"新品期",IF(L1235&lt;=36,"老品期","衰退期"))</f>
        <v/>
      </c>
      <c r="N1235" s="36" t="inlineStr">
        <is>
          <t>2025年9月8以前何嘉威负责</t>
        </is>
      </c>
    </row>
    <row r="1236" ht="15" customFormat="1" customHeight="1" s="36">
      <c r="A1236" s="4" t="inlineStr">
        <is>
          <t>Wintap-US</t>
        </is>
      </c>
      <c r="B1236" s="4" t="inlineStr">
        <is>
          <t>Wintap美国站</t>
        </is>
      </c>
      <c r="C1236" s="4">
        <f>B1236&amp;D1236</f>
        <v/>
      </c>
      <c r="D1236" s="4" t="inlineStr">
        <is>
          <t>WT-9812BNZZ03</t>
        </is>
      </c>
      <c r="E1236" s="4" t="inlineStr">
        <is>
          <t>320F0098BN1</t>
        </is>
      </c>
      <c r="F1236" s="4" t="inlineStr">
        <is>
          <t>98系列二功能入墙暗装淋浴龙头（顶喷+手持）拉丝封油</t>
        </is>
      </c>
      <c r="G1236" s="4" t="inlineStr">
        <is>
          <t>宋江</t>
        </is>
      </c>
      <c r="H1236" s="4" t="inlineStr">
        <is>
          <t>暗装淋浴</t>
        </is>
      </c>
      <c r="I1236" s="12" t="inlineStr">
        <is>
          <t>是</t>
        </is>
      </c>
      <c r="J1236" s="34" t="n">
        <v>45193</v>
      </c>
      <c r="K1236" s="34" t="n">
        <v>45292</v>
      </c>
      <c r="L1236" s="0">
        <f>DATEDIF(J1236,$L$1,"M")</f>
        <v/>
      </c>
      <c r="M1236" s="0">
        <f>IF(L1236&lt;18,"新品期",IF(L1236&lt;=36,"老品期","衰退期"))</f>
        <v/>
      </c>
      <c r="N1236" s="36" t="inlineStr">
        <is>
          <t>2025年9月8以前何嘉威负责</t>
        </is>
      </c>
    </row>
    <row r="1237" ht="15" customFormat="1" customHeight="1" s="36">
      <c r="A1237" s="4" t="inlineStr">
        <is>
          <t>Wintap-CA</t>
        </is>
      </c>
      <c r="B1237" s="4" t="inlineStr">
        <is>
          <t>Wintap加拿大站</t>
        </is>
      </c>
      <c r="C1237" s="4">
        <f>B1237&amp;D1237</f>
        <v/>
      </c>
      <c r="D1237" s="4" t="inlineStr">
        <is>
          <t>WT-9812BNZZ03</t>
        </is>
      </c>
      <c r="E1237" s="4" t="inlineStr">
        <is>
          <t>320F0098BN1</t>
        </is>
      </c>
      <c r="F1237" s="4" t="inlineStr">
        <is>
          <t>98系列二功能入墙暗装淋浴龙头（顶喷+手持）拉丝封油</t>
        </is>
      </c>
      <c r="G1237" s="4" t="inlineStr">
        <is>
          <t>宋江</t>
        </is>
      </c>
      <c r="H1237" s="4" t="inlineStr">
        <is>
          <t>暗装淋浴</t>
        </is>
      </c>
      <c r="I1237" s="12" t="inlineStr">
        <is>
          <t>是</t>
        </is>
      </c>
      <c r="J1237" s="34" t="n">
        <v>45193</v>
      </c>
      <c r="K1237" s="34" t="n">
        <v>45292</v>
      </c>
      <c r="L1237" s="0">
        <f>DATEDIF(J1237,$L$1,"M")</f>
        <v/>
      </c>
      <c r="M1237" s="0">
        <f>IF(L1237&lt;18,"新品期",IF(L1237&lt;=36,"老品期","衰退期"))</f>
        <v/>
      </c>
      <c r="N1237" s="36" t="inlineStr">
        <is>
          <t>2025年9月8以前何嘉威负责</t>
        </is>
      </c>
    </row>
    <row r="1238" ht="15" customFormat="1" customHeight="1" s="36">
      <c r="A1238" s="4" t="inlineStr">
        <is>
          <t>Wintap-US</t>
        </is>
      </c>
      <c r="B1238" s="4" t="inlineStr">
        <is>
          <t>Wintap美国站</t>
        </is>
      </c>
      <c r="C1238" s="4">
        <f>B1238&amp;D1238</f>
        <v/>
      </c>
      <c r="D1238" s="4" t="inlineStr">
        <is>
          <t>WT-9812CP</t>
        </is>
      </c>
      <c r="E1238" s="4" t="inlineStr">
        <is>
          <t>320F0098CP1</t>
        </is>
      </c>
      <c r="F1238" s="4" t="inlineStr">
        <is>
          <t>98系列二功能入墙暗装淋浴龙头（顶喷+手持）铬</t>
        </is>
      </c>
      <c r="G1238" s="4" t="inlineStr">
        <is>
          <t>宋江</t>
        </is>
      </c>
      <c r="H1238" s="4" t="inlineStr">
        <is>
          <t>暗装淋浴</t>
        </is>
      </c>
      <c r="I1238" s="12" t="inlineStr">
        <is>
          <t>否</t>
        </is>
      </c>
      <c r="J1238" s="34" t="n">
        <v>45193</v>
      </c>
      <c r="K1238" s="34" t="n">
        <v>45292</v>
      </c>
      <c r="L1238" s="0">
        <f>DATEDIF(J1238,$L$1,"M")</f>
        <v/>
      </c>
      <c r="M1238" s="0">
        <f>IF(L1238&lt;18,"新品期",IF(L1238&lt;=36,"老品期","衰退期"))</f>
        <v/>
      </c>
      <c r="N1238" s="36" t="inlineStr">
        <is>
          <t>2025年9月8以前何嘉威负责</t>
        </is>
      </c>
    </row>
    <row r="1239" ht="15" customFormat="1" customHeight="1" s="36">
      <c r="A1239" s="4" t="inlineStr">
        <is>
          <t>Wintap-CA</t>
        </is>
      </c>
      <c r="B1239" s="4" t="inlineStr">
        <is>
          <t>Wintap加拿大站</t>
        </is>
      </c>
      <c r="C1239" s="4">
        <f>B1239&amp;D1239</f>
        <v/>
      </c>
      <c r="D1239" s="4" t="inlineStr">
        <is>
          <t>WT-9812CP</t>
        </is>
      </c>
      <c r="E1239" s="4" t="inlineStr">
        <is>
          <t>320F0098CP1</t>
        </is>
      </c>
      <c r="F1239" s="4" t="inlineStr">
        <is>
          <t>98系列二功能入墙暗装淋浴龙头（顶喷+手持）铬</t>
        </is>
      </c>
      <c r="G1239" s="4" t="inlineStr">
        <is>
          <t>宋江</t>
        </is>
      </c>
      <c r="H1239" s="4" t="inlineStr">
        <is>
          <t>暗装淋浴</t>
        </is>
      </c>
      <c r="I1239" s="12" t="inlineStr">
        <is>
          <t>否</t>
        </is>
      </c>
      <c r="J1239" s="34" t="n">
        <v>45193</v>
      </c>
      <c r="K1239" s="34" t="n">
        <v>45292</v>
      </c>
      <c r="L1239" s="0">
        <f>DATEDIF(J1239,$L$1,"M")</f>
        <v/>
      </c>
      <c r="M1239" s="0">
        <f>IF(L1239&lt;18,"新品期",IF(L1239&lt;=36,"老品期","衰退期"))</f>
        <v/>
      </c>
      <c r="N1239" s="36" t="inlineStr">
        <is>
          <t>2025年9月8以前何嘉威负责</t>
        </is>
      </c>
    </row>
    <row r="1240" ht="15" customFormat="1" customHeight="1" s="36">
      <c r="A1240" s="4" t="inlineStr">
        <is>
          <t>Wintap-US</t>
        </is>
      </c>
      <c r="B1240" s="4" t="inlineStr">
        <is>
          <t>Wintap美国站</t>
        </is>
      </c>
      <c r="C1240" s="4">
        <f>B1240&amp;D1240</f>
        <v/>
      </c>
      <c r="D1240" s="4" t="inlineStr">
        <is>
          <t>WT-9812CP02</t>
        </is>
      </c>
      <c r="E1240" s="4" t="inlineStr">
        <is>
          <t>320F0098CP1</t>
        </is>
      </c>
      <c r="F1240" s="4" t="inlineStr">
        <is>
          <t>98系列二功能入墙暗装淋浴龙头（顶喷+手持）铬</t>
        </is>
      </c>
      <c r="G1240" s="4" t="inlineStr">
        <is>
          <t>宋江</t>
        </is>
      </c>
      <c r="H1240" s="4" t="inlineStr">
        <is>
          <t>暗装淋浴</t>
        </is>
      </c>
      <c r="I1240" s="12" t="inlineStr">
        <is>
          <t>是</t>
        </is>
      </c>
      <c r="J1240" s="34" t="n">
        <v>45193</v>
      </c>
      <c r="K1240" s="34" t="n">
        <v>45292</v>
      </c>
      <c r="L1240" s="0">
        <f>DATEDIF(J1240,$L$1,"M")</f>
        <v/>
      </c>
      <c r="M1240" s="0">
        <f>IF(L1240&lt;18,"新品期",IF(L1240&lt;=36,"老品期","衰退期"))</f>
        <v/>
      </c>
      <c r="N1240" s="36" t="inlineStr">
        <is>
          <t>2025年9月8以前何嘉威负责</t>
        </is>
      </c>
    </row>
    <row r="1241" ht="15" customFormat="1" customHeight="1" s="36">
      <c r="A1241" s="4" t="inlineStr">
        <is>
          <t>Wintap-US</t>
        </is>
      </c>
      <c r="B1241" s="4" t="inlineStr">
        <is>
          <t>Wintap美国站</t>
        </is>
      </c>
      <c r="C1241" s="4">
        <f>B1241&amp;D1241</f>
        <v/>
      </c>
      <c r="D1241" s="4" t="inlineStr">
        <is>
          <t>WT-9812CP03</t>
        </is>
      </c>
      <c r="E1241" s="4" t="inlineStr">
        <is>
          <t>320F0098CP1</t>
        </is>
      </c>
      <c r="F1241" s="4" t="inlineStr">
        <is>
          <t>98系列二功能入墙暗装淋浴龙头（顶喷+手持）铬</t>
        </is>
      </c>
      <c r="G1241" s="4" t="inlineStr">
        <is>
          <t>宋江</t>
        </is>
      </c>
      <c r="H1241" s="4" t="inlineStr">
        <is>
          <t>暗装淋浴</t>
        </is>
      </c>
      <c r="I1241" s="12" t="inlineStr">
        <is>
          <t>是</t>
        </is>
      </c>
      <c r="J1241" s="34" t="n">
        <v>45193</v>
      </c>
      <c r="K1241" s="34" t="n">
        <v>45292</v>
      </c>
      <c r="L1241" s="0">
        <f>DATEDIF(J1241,$L$1,"M")</f>
        <v/>
      </c>
      <c r="M1241" s="0">
        <f>IF(L1241&lt;18,"新品期",IF(L1241&lt;=36,"老品期","衰退期"))</f>
        <v/>
      </c>
      <c r="N1241" s="36" t="inlineStr">
        <is>
          <t>2025年9月8以前何嘉威负责</t>
        </is>
      </c>
    </row>
    <row r="1242" ht="15" customFormat="1" customHeight="1" s="36">
      <c r="A1242" s="4" t="inlineStr">
        <is>
          <t>Wintap-US</t>
        </is>
      </c>
      <c r="B1242" s="4" t="inlineStr">
        <is>
          <t>Wintap美国站</t>
        </is>
      </c>
      <c r="C1242" s="4">
        <f>B1242&amp;D1242</f>
        <v/>
      </c>
      <c r="D1242" s="4" t="inlineStr">
        <is>
          <t>WT-9812CPZZ</t>
        </is>
      </c>
      <c r="E1242" s="4" t="inlineStr">
        <is>
          <t>320F0098CP1</t>
        </is>
      </c>
      <c r="F1242" s="4" t="inlineStr">
        <is>
          <t>98系列二功能入墙暗装淋浴龙头（顶喷+手持）铬</t>
        </is>
      </c>
      <c r="G1242" s="4" t="inlineStr">
        <is>
          <t>宋江</t>
        </is>
      </c>
      <c r="H1242" s="4" t="inlineStr">
        <is>
          <t>暗装淋浴</t>
        </is>
      </c>
      <c r="I1242" s="12" t="inlineStr">
        <is>
          <t>是</t>
        </is>
      </c>
      <c r="J1242" s="34" t="n">
        <v>45193</v>
      </c>
      <c r="K1242" s="34" t="n">
        <v>45292</v>
      </c>
      <c r="L1242" s="0">
        <f>DATEDIF(J1242,$L$1,"M")</f>
        <v/>
      </c>
      <c r="M1242" s="0">
        <f>IF(L1242&lt;18,"新品期",IF(L1242&lt;=36,"老品期","衰退期"))</f>
        <v/>
      </c>
      <c r="N1242" s="36" t="inlineStr">
        <is>
          <t>2025年9月8以前何嘉威负责</t>
        </is>
      </c>
    </row>
    <row r="1243" ht="15" customFormat="1" customHeight="1" s="36">
      <c r="A1243" s="4" t="inlineStr">
        <is>
          <t>Wintap-CA</t>
        </is>
      </c>
      <c r="B1243" s="4" t="inlineStr">
        <is>
          <t>Wintap加拿大站</t>
        </is>
      </c>
      <c r="C1243" s="4">
        <f>B1243&amp;D1243</f>
        <v/>
      </c>
      <c r="D1243" s="4" t="inlineStr">
        <is>
          <t>WT-9812CPZZ</t>
        </is>
      </c>
      <c r="E1243" s="4" t="inlineStr">
        <is>
          <t>320F0098CP1</t>
        </is>
      </c>
      <c r="F1243" s="4" t="inlineStr">
        <is>
          <t>98系列二功能入墙暗装淋浴龙头（顶喷+手持）铬</t>
        </is>
      </c>
      <c r="G1243" s="4" t="inlineStr">
        <is>
          <t>宋江</t>
        </is>
      </c>
      <c r="H1243" s="4" t="inlineStr">
        <is>
          <t>暗装淋浴</t>
        </is>
      </c>
      <c r="I1243" s="12" t="inlineStr">
        <is>
          <t>是</t>
        </is>
      </c>
      <c r="J1243" s="34" t="n">
        <v>45193</v>
      </c>
      <c r="K1243" s="34" t="n">
        <v>45292</v>
      </c>
      <c r="L1243" s="0">
        <f>DATEDIF(J1243,$L$1,"M")</f>
        <v/>
      </c>
      <c r="M1243" s="0">
        <f>IF(L1243&lt;18,"新品期",IF(L1243&lt;=36,"老品期","衰退期"))</f>
        <v/>
      </c>
      <c r="N1243" s="36" t="inlineStr">
        <is>
          <t>2025年9月8以前何嘉威负责</t>
        </is>
      </c>
    </row>
    <row r="1244" ht="15" customFormat="1" customHeight="1" s="36">
      <c r="A1244" s="4" t="inlineStr">
        <is>
          <t>Wintap-US</t>
        </is>
      </c>
      <c r="B1244" s="4" t="inlineStr">
        <is>
          <t>Wintap美国站</t>
        </is>
      </c>
      <c r="C1244" s="4">
        <f>B1244&amp;D1244</f>
        <v/>
      </c>
      <c r="D1244" s="4" t="inlineStr">
        <is>
          <t>WT-9812CPZZ03</t>
        </is>
      </c>
      <c r="E1244" s="4" t="inlineStr">
        <is>
          <t>320F0098CP1</t>
        </is>
      </c>
      <c r="F1244" s="4" t="inlineStr">
        <is>
          <t>98系列二功能入墙暗装淋浴龙头（顶喷+手持）铬</t>
        </is>
      </c>
      <c r="G1244" s="4" t="inlineStr">
        <is>
          <t>宋江</t>
        </is>
      </c>
      <c r="H1244" s="4" t="inlineStr">
        <is>
          <t>暗装淋浴</t>
        </is>
      </c>
      <c r="I1244" s="12" t="inlineStr">
        <is>
          <t>是</t>
        </is>
      </c>
      <c r="J1244" s="34" t="n">
        <v>45193</v>
      </c>
      <c r="K1244" s="34" t="n">
        <v>45292</v>
      </c>
      <c r="L1244" s="0">
        <f>DATEDIF(J1244,$L$1,"M")</f>
        <v/>
      </c>
      <c r="M1244" s="0">
        <f>IF(L1244&lt;18,"新品期",IF(L1244&lt;=36,"老品期","衰退期"))</f>
        <v/>
      </c>
      <c r="N1244" s="36" t="inlineStr">
        <is>
          <t>2025年9月8以前何嘉威负责</t>
        </is>
      </c>
    </row>
    <row r="1245" ht="15" customFormat="1" customHeight="1" s="36">
      <c r="A1245" s="4" t="inlineStr">
        <is>
          <t>Wintap-CA</t>
        </is>
      </c>
      <c r="B1245" s="4" t="inlineStr">
        <is>
          <t>Wintap加拿大站</t>
        </is>
      </c>
      <c r="C1245" s="4">
        <f>B1245&amp;D1245</f>
        <v/>
      </c>
      <c r="D1245" s="4" t="inlineStr">
        <is>
          <t>WT-9812CPZZ03</t>
        </is>
      </c>
      <c r="E1245" s="4" t="inlineStr">
        <is>
          <t>320F0098CP1</t>
        </is>
      </c>
      <c r="F1245" s="4" t="inlineStr">
        <is>
          <t>98系列二功能入墙暗装淋浴龙头（顶喷+手持）铬</t>
        </is>
      </c>
      <c r="G1245" s="4" t="inlineStr">
        <is>
          <t>宋江</t>
        </is>
      </c>
      <c r="H1245" s="4" t="inlineStr">
        <is>
          <t>暗装淋浴</t>
        </is>
      </c>
      <c r="I1245" s="12" t="inlineStr">
        <is>
          <t>是</t>
        </is>
      </c>
      <c r="J1245" s="34" t="n">
        <v>45193</v>
      </c>
      <c r="K1245" s="34" t="n">
        <v>45292</v>
      </c>
      <c r="L1245" s="0">
        <f>DATEDIF(J1245,$L$1,"M")</f>
        <v/>
      </c>
      <c r="M1245" s="0">
        <f>IF(L1245&lt;18,"新品期",IF(L1245&lt;=36,"老品期","衰退期"))</f>
        <v/>
      </c>
      <c r="N1245" s="36" t="inlineStr">
        <is>
          <t>2025年9月8以前何嘉威负责</t>
        </is>
      </c>
    </row>
    <row r="1246" ht="15" customFormat="1" customHeight="1" s="36">
      <c r="A1246" s="4" t="inlineStr">
        <is>
          <t>Wintap-US</t>
        </is>
      </c>
      <c r="B1246" s="4" t="inlineStr">
        <is>
          <t>Wintap美国站</t>
        </is>
      </c>
      <c r="C1246" s="4">
        <f>B1246&amp;D1246</f>
        <v/>
      </c>
      <c r="D1246" s="4" t="inlineStr">
        <is>
          <t>WT-9812ORB</t>
        </is>
      </c>
      <c r="E1246" s="4" t="inlineStr">
        <is>
          <t>320F0098OB1</t>
        </is>
      </c>
      <c r="F1246" s="4" t="inlineStr">
        <is>
          <t>98系列二功能入墙暗装淋浴龙头（顶喷+手持） 拉丝古铜色</t>
        </is>
      </c>
      <c r="G1246" s="4" t="inlineStr">
        <is>
          <t>宋江</t>
        </is>
      </c>
      <c r="H1246" s="4" t="inlineStr">
        <is>
          <t>暗装淋浴</t>
        </is>
      </c>
      <c r="I1246" s="12" t="inlineStr">
        <is>
          <t>否</t>
        </is>
      </c>
      <c r="J1246" s="34" t="n">
        <v>45193</v>
      </c>
      <c r="K1246" s="34" t="n">
        <v>45292</v>
      </c>
      <c r="L1246" s="0">
        <f>DATEDIF(J1246,$L$1,"M")</f>
        <v/>
      </c>
      <c r="M1246" s="0">
        <f>IF(L1246&lt;18,"新品期",IF(L1246&lt;=36,"老品期","衰退期"))</f>
        <v/>
      </c>
      <c r="N1246" s="36" t="inlineStr">
        <is>
          <t>2025年9月8以前何嘉威负责</t>
        </is>
      </c>
    </row>
    <row r="1247" ht="15" customFormat="1" customHeight="1" s="36">
      <c r="A1247" s="4" t="inlineStr">
        <is>
          <t>Wintap-CA</t>
        </is>
      </c>
      <c r="B1247" s="4" t="inlineStr">
        <is>
          <t>Wintap加拿大站</t>
        </is>
      </c>
      <c r="C1247" s="4">
        <f>B1247&amp;D1247</f>
        <v/>
      </c>
      <c r="D1247" s="4" t="inlineStr">
        <is>
          <t>WT-9812ORB</t>
        </is>
      </c>
      <c r="E1247" s="4" t="inlineStr">
        <is>
          <t>320F0098OB1</t>
        </is>
      </c>
      <c r="F1247" s="4" t="inlineStr">
        <is>
          <t>98系列二功能入墙暗装淋浴龙头（顶喷+手持） 拉丝古铜色</t>
        </is>
      </c>
      <c r="G1247" s="4" t="inlineStr">
        <is>
          <t>宋江</t>
        </is>
      </c>
      <c r="H1247" s="4" t="inlineStr">
        <is>
          <t>暗装淋浴</t>
        </is>
      </c>
      <c r="I1247" s="12" t="inlineStr">
        <is>
          <t>否</t>
        </is>
      </c>
      <c r="J1247" s="34" t="n">
        <v>45193</v>
      </c>
      <c r="K1247" s="34" t="n">
        <v>45292</v>
      </c>
      <c r="L1247" s="0">
        <f>DATEDIF(J1247,$L$1,"M")</f>
        <v/>
      </c>
      <c r="M1247" s="0">
        <f>IF(L1247&lt;18,"新品期",IF(L1247&lt;=36,"老品期","衰退期"))</f>
        <v/>
      </c>
      <c r="N1247" s="36" t="inlineStr">
        <is>
          <t>2025年9月8以前何嘉威负责</t>
        </is>
      </c>
    </row>
    <row r="1248" ht="15" customFormat="1" customHeight="1" s="36">
      <c r="A1248" s="4" t="inlineStr">
        <is>
          <t>Wintap-US</t>
        </is>
      </c>
      <c r="B1248" s="4" t="inlineStr">
        <is>
          <t>Wintap美国站</t>
        </is>
      </c>
      <c r="C1248" s="4">
        <f>B1248&amp;D1248</f>
        <v/>
      </c>
      <c r="D1248" s="4" t="inlineStr">
        <is>
          <t>WT-9812ORB02</t>
        </is>
      </c>
      <c r="E1248" s="4" t="inlineStr">
        <is>
          <t>320F0098OB1</t>
        </is>
      </c>
      <c r="F1248" s="4" t="inlineStr">
        <is>
          <t>98系列二功能入墙暗装淋浴龙头（顶喷+手持） 拉丝古铜色</t>
        </is>
      </c>
      <c r="G1248" s="4" t="inlineStr">
        <is>
          <t>宋江</t>
        </is>
      </c>
      <c r="H1248" s="4" t="inlineStr">
        <is>
          <t>暗装淋浴</t>
        </is>
      </c>
      <c r="I1248" s="12" t="inlineStr">
        <is>
          <t>是</t>
        </is>
      </c>
      <c r="J1248" s="34" t="n">
        <v>45193</v>
      </c>
      <c r="K1248" s="34" t="n">
        <v>45292</v>
      </c>
      <c r="L1248" s="0">
        <f>DATEDIF(J1248,$L$1,"M")</f>
        <v/>
      </c>
      <c r="M1248" s="0">
        <f>IF(L1248&lt;18,"新品期",IF(L1248&lt;=36,"老品期","衰退期"))</f>
        <v/>
      </c>
      <c r="N1248" s="36" t="inlineStr">
        <is>
          <t>2025年9月8以前何嘉威负责</t>
        </is>
      </c>
    </row>
    <row r="1249" ht="15" customFormat="1" customHeight="1" s="36">
      <c r="A1249" s="4" t="inlineStr">
        <is>
          <t>Wintap-US</t>
        </is>
      </c>
      <c r="B1249" s="4" t="inlineStr">
        <is>
          <t>Wintap美国站</t>
        </is>
      </c>
      <c r="C1249" s="4">
        <f>B1249&amp;D1249</f>
        <v/>
      </c>
      <c r="D1249" s="4" t="inlineStr">
        <is>
          <t>WT-9812ORB03</t>
        </is>
      </c>
      <c r="E1249" s="4" t="inlineStr">
        <is>
          <t>320F0098OB1</t>
        </is>
      </c>
      <c r="F1249" s="4" t="inlineStr">
        <is>
          <t>98系列二功能入墙暗装淋浴龙头（顶喷+手持） 拉丝古铜色</t>
        </is>
      </c>
      <c r="G1249" s="4" t="inlineStr">
        <is>
          <t>宋江</t>
        </is>
      </c>
      <c r="H1249" s="4" t="inlineStr">
        <is>
          <t>暗装淋浴</t>
        </is>
      </c>
      <c r="I1249" s="12" t="inlineStr">
        <is>
          <t>是</t>
        </is>
      </c>
      <c r="J1249" s="34" t="n">
        <v>45193</v>
      </c>
      <c r="K1249" s="34" t="n">
        <v>45292</v>
      </c>
      <c r="L1249" s="0">
        <f>DATEDIF(J1249,$L$1,"M")</f>
        <v/>
      </c>
      <c r="M1249" s="0">
        <f>IF(L1249&lt;18,"新品期",IF(L1249&lt;=36,"老品期","衰退期"))</f>
        <v/>
      </c>
      <c r="N1249" s="36" t="inlineStr">
        <is>
          <t>2025年9月8以前何嘉威负责</t>
        </is>
      </c>
    </row>
    <row r="1250" ht="15" customFormat="1" customHeight="1" s="36">
      <c r="A1250" s="4" t="inlineStr">
        <is>
          <t>Wintap-US</t>
        </is>
      </c>
      <c r="B1250" s="4" t="inlineStr">
        <is>
          <t>Wintap美国站</t>
        </is>
      </c>
      <c r="C1250" s="4">
        <f>B1250&amp;D1250</f>
        <v/>
      </c>
      <c r="D1250" s="4" t="inlineStr">
        <is>
          <t>WT-9812ORBZZ03</t>
        </is>
      </c>
      <c r="E1250" s="4" t="inlineStr">
        <is>
          <t>320F0098OB1</t>
        </is>
      </c>
      <c r="F1250" s="4" t="inlineStr">
        <is>
          <t>98系列二功能入墙暗装淋浴龙头（顶喷+手持） 拉丝古铜色</t>
        </is>
      </c>
      <c r="G1250" s="4" t="inlineStr">
        <is>
          <t>宋江</t>
        </is>
      </c>
      <c r="H1250" s="4" t="inlineStr">
        <is>
          <t>暗装淋浴</t>
        </is>
      </c>
      <c r="I1250" s="12" t="inlineStr">
        <is>
          <t>是</t>
        </is>
      </c>
      <c r="J1250" s="34" t="n">
        <v>45193</v>
      </c>
      <c r="K1250" s="34" t="n">
        <v>45292</v>
      </c>
      <c r="L1250" s="0">
        <f>DATEDIF(J1250,$L$1,"M")</f>
        <v/>
      </c>
      <c r="M1250" s="0">
        <f>IF(L1250&lt;18,"新品期",IF(L1250&lt;=36,"老品期","衰退期"))</f>
        <v/>
      </c>
      <c r="N1250" s="36" t="inlineStr">
        <is>
          <t>2025年9月8以前何嘉威负责</t>
        </is>
      </c>
    </row>
    <row r="1251" ht="15" customFormat="1" customHeight="1" s="36">
      <c r="A1251" s="4" t="inlineStr">
        <is>
          <t>Wintap-CA</t>
        </is>
      </c>
      <c r="B1251" s="4" t="inlineStr">
        <is>
          <t>Wintap加拿大站</t>
        </is>
      </c>
      <c r="C1251" s="4">
        <f>B1251&amp;D1251</f>
        <v/>
      </c>
      <c r="D1251" s="4" t="inlineStr">
        <is>
          <t>WT-9812ORBZZ03</t>
        </is>
      </c>
      <c r="E1251" s="4" t="inlineStr">
        <is>
          <t>320F0098OB1</t>
        </is>
      </c>
      <c r="F1251" s="4" t="inlineStr">
        <is>
          <t>98系列二功能入墙暗装淋浴龙头（顶喷+手持） 拉丝古铜色</t>
        </is>
      </c>
      <c r="G1251" s="4" t="inlineStr">
        <is>
          <t>宋江</t>
        </is>
      </c>
      <c r="H1251" s="4" t="inlineStr">
        <is>
          <t>暗装淋浴</t>
        </is>
      </c>
      <c r="I1251" s="12" t="inlineStr">
        <is>
          <t>是</t>
        </is>
      </c>
      <c r="J1251" s="34" t="n">
        <v>45193</v>
      </c>
      <c r="K1251" s="34" t="n">
        <v>45292</v>
      </c>
      <c r="L1251" s="0">
        <f>DATEDIF(J1251,$L$1,"M")</f>
        <v/>
      </c>
      <c r="M1251" s="0">
        <f>IF(L1251&lt;18,"新品期",IF(L1251&lt;=36,"老品期","衰退期"))</f>
        <v/>
      </c>
      <c r="N1251" s="36" t="inlineStr">
        <is>
          <t>2025年9月8以前何嘉威负责</t>
        </is>
      </c>
    </row>
    <row r="1252" ht="15" customFormat="1" customHeight="1" s="36">
      <c r="A1252" s="4" t="inlineStr">
        <is>
          <t>Wintap-US</t>
        </is>
      </c>
      <c r="B1252" s="4" t="inlineStr">
        <is>
          <t>Wintap美国站</t>
        </is>
      </c>
      <c r="C1252" s="4">
        <f>B1252&amp;D1252</f>
        <v/>
      </c>
      <c r="D1252" s="4" t="inlineStr">
        <is>
          <t>WT-9812RGBK</t>
        </is>
      </c>
      <c r="E1252" s="4" t="inlineStr">
        <is>
          <t>320F0098RB1</t>
        </is>
      </c>
      <c r="F1252" s="4" t="inlineStr">
        <is>
          <t>98系列二功能入墙暗装淋浴龙头（顶喷+手持）拉丝玫瑰金+黑色</t>
        </is>
      </c>
      <c r="G1252" s="4" t="inlineStr">
        <is>
          <t>宋江</t>
        </is>
      </c>
      <c r="H1252" s="4" t="inlineStr">
        <is>
          <t>暗装淋浴</t>
        </is>
      </c>
      <c r="I1252" s="12" t="inlineStr">
        <is>
          <t>是</t>
        </is>
      </c>
      <c r="J1252" s="34" t="n">
        <v>45295</v>
      </c>
      <c r="K1252" s="34" t="n">
        <v>45505</v>
      </c>
      <c r="L1252" s="0">
        <f>DATEDIF(J1252,$L$1,"M")</f>
        <v/>
      </c>
      <c r="M1252" s="0">
        <f>IF(L1252&lt;18,"新品期",IF(L1252&lt;=36,"老品期","衰退期"))</f>
        <v/>
      </c>
      <c r="N1252" s="36" t="inlineStr">
        <is>
          <t>2025年9月8以前何嘉威负责</t>
        </is>
      </c>
    </row>
    <row r="1253" ht="15" customFormat="1" customHeight="1" s="36">
      <c r="A1253" s="4" t="inlineStr">
        <is>
          <t>Wintap-BR</t>
        </is>
      </c>
      <c r="B1253" s="4" t="inlineStr">
        <is>
          <t>Wintap巴西站</t>
        </is>
      </c>
      <c r="C1253" s="4">
        <f>B1253&amp;D1253</f>
        <v/>
      </c>
      <c r="D1253" s="4" t="inlineStr">
        <is>
          <t>WT-9812RGBK</t>
        </is>
      </c>
      <c r="E1253" s="4" t="inlineStr">
        <is>
          <t>320F0098RB1</t>
        </is>
      </c>
      <c r="F1253" s="4" t="inlineStr">
        <is>
          <t>98系列二功能入墙暗装淋浴龙头（顶喷+手持）拉丝玫瑰金+黑色</t>
        </is>
      </c>
      <c r="G1253" s="4" t="inlineStr">
        <is>
          <t>宋江</t>
        </is>
      </c>
      <c r="H1253" s="4" t="inlineStr">
        <is>
          <t>暗装淋浴</t>
        </is>
      </c>
      <c r="I1253" s="12" t="inlineStr">
        <is>
          <t>是</t>
        </is>
      </c>
      <c r="J1253" s="34" t="n">
        <v>45295</v>
      </c>
      <c r="K1253" s="34" t="n">
        <v>45505</v>
      </c>
      <c r="L1253" s="0">
        <f>DATEDIF(J1253,$L$1,"M")</f>
        <v/>
      </c>
      <c r="M1253" s="0">
        <f>IF(L1253&lt;18,"新品期",IF(L1253&lt;=36,"老品期","衰退期"))</f>
        <v/>
      </c>
      <c r="N1253" s="36" t="inlineStr">
        <is>
          <t>2025年9月8以前何嘉威负责</t>
        </is>
      </c>
    </row>
    <row r="1254" ht="15" customFormat="1" customHeight="1" s="36">
      <c r="A1254" s="4" t="inlineStr">
        <is>
          <t>Wintap-US</t>
        </is>
      </c>
      <c r="B1254" s="4" t="inlineStr">
        <is>
          <t>Wintap美国站</t>
        </is>
      </c>
      <c r="C1254" s="4">
        <f>B1254&amp;D1254</f>
        <v/>
      </c>
      <c r="D1254" s="4" t="inlineStr">
        <is>
          <t>WT-9812RGBK02</t>
        </is>
      </c>
      <c r="E1254" s="4" t="inlineStr">
        <is>
          <t>320F0098RB1</t>
        </is>
      </c>
      <c r="F1254" s="4" t="inlineStr">
        <is>
          <t>98系列二功能入墙暗装淋浴龙头（顶喷+手持）拉丝玫瑰金+黑色</t>
        </is>
      </c>
      <c r="G1254" s="4" t="inlineStr">
        <is>
          <t>宋江</t>
        </is>
      </c>
      <c r="H1254" s="4" t="inlineStr">
        <is>
          <t>暗装淋浴</t>
        </is>
      </c>
      <c r="I1254" s="12" t="inlineStr">
        <is>
          <t>是</t>
        </is>
      </c>
      <c r="J1254" s="34" t="n">
        <v>45295</v>
      </c>
      <c r="K1254" s="34" t="n">
        <v>45505</v>
      </c>
      <c r="L1254" s="0">
        <f>DATEDIF(J1254,$L$1,"M")</f>
        <v/>
      </c>
      <c r="M1254" s="0">
        <f>IF(L1254&lt;18,"新品期",IF(L1254&lt;=36,"老品期","衰退期"))</f>
        <v/>
      </c>
      <c r="N1254" s="36" t="inlineStr">
        <is>
          <t>2025年9月8以前何嘉威负责</t>
        </is>
      </c>
    </row>
    <row r="1255" ht="15" customFormat="1" customHeight="1" s="36">
      <c r="A1255" s="4" t="inlineStr">
        <is>
          <t>Wintap-US</t>
        </is>
      </c>
      <c r="B1255" s="4" t="inlineStr">
        <is>
          <t>Wintap美国站</t>
        </is>
      </c>
      <c r="C1255" s="4">
        <f>B1255&amp;D1255</f>
        <v/>
      </c>
      <c r="D1255" s="4" t="inlineStr">
        <is>
          <t>WT-9812RGBK03</t>
        </is>
      </c>
      <c r="E1255" s="4" t="inlineStr">
        <is>
          <t>320F0098RB1</t>
        </is>
      </c>
      <c r="F1255" s="4" t="inlineStr">
        <is>
          <t>98系列二功能入墙暗装淋浴龙头（顶喷+手持）拉丝玫瑰金+黑色</t>
        </is>
      </c>
      <c r="G1255" s="4" t="inlineStr">
        <is>
          <t>宋江</t>
        </is>
      </c>
      <c r="H1255" s="4" t="inlineStr">
        <is>
          <t>暗装淋浴</t>
        </is>
      </c>
      <c r="I1255" s="12" t="inlineStr">
        <is>
          <t>是</t>
        </is>
      </c>
      <c r="J1255" s="34" t="n">
        <v>45295</v>
      </c>
      <c r="K1255" s="34" t="n">
        <v>45505</v>
      </c>
      <c r="L1255" s="0">
        <f>DATEDIF(J1255,$L$1,"M")</f>
        <v/>
      </c>
      <c r="M1255" s="0">
        <f>IF(L1255&lt;18,"新品期",IF(L1255&lt;=36,"老品期","衰退期"))</f>
        <v/>
      </c>
      <c r="N1255" s="36" t="inlineStr">
        <is>
          <t>2025年9月8以前何嘉威负责</t>
        </is>
      </c>
    </row>
    <row r="1256" ht="15" customFormat="1" customHeight="1" s="36">
      <c r="A1256" s="4" t="inlineStr">
        <is>
          <t>Wintap-US</t>
        </is>
      </c>
      <c r="B1256" s="4" t="inlineStr">
        <is>
          <t>Wintap美国站</t>
        </is>
      </c>
      <c r="C1256" s="4">
        <f>B1256&amp;D1256</f>
        <v/>
      </c>
      <c r="D1256" s="4" t="inlineStr">
        <is>
          <t>WT-9812RGBKZZ</t>
        </is>
      </c>
      <c r="E1256" s="4" t="inlineStr">
        <is>
          <t>320F0098RB1</t>
        </is>
      </c>
      <c r="F1256" s="4" t="inlineStr">
        <is>
          <t>98系列二功能入墙暗装淋浴龙头（顶喷+手持）拉丝玫瑰金+黑色</t>
        </is>
      </c>
      <c r="G1256" s="4" t="inlineStr">
        <is>
          <t>宋江</t>
        </is>
      </c>
      <c r="H1256" s="4" t="inlineStr">
        <is>
          <t>暗装淋浴</t>
        </is>
      </c>
      <c r="I1256" s="12" t="inlineStr">
        <is>
          <t>是</t>
        </is>
      </c>
      <c r="J1256" s="34" t="n">
        <v>45295</v>
      </c>
      <c r="K1256" s="34" t="n">
        <v>45505</v>
      </c>
      <c r="L1256" s="0">
        <f>DATEDIF(J1256,$L$1,"M")</f>
        <v/>
      </c>
      <c r="M1256" s="0">
        <f>IF(L1256&lt;18,"新品期",IF(L1256&lt;=36,"老品期","衰退期"))</f>
        <v/>
      </c>
      <c r="N1256" s="36" t="inlineStr">
        <is>
          <t>2025年9月8以前何嘉威负责</t>
        </is>
      </c>
    </row>
    <row r="1257" ht="15" customFormat="1" customHeight="1" s="36">
      <c r="A1257" s="4" t="inlineStr">
        <is>
          <t>Wintap-US</t>
        </is>
      </c>
      <c r="B1257" s="4" t="inlineStr">
        <is>
          <t>Wintap美国站</t>
        </is>
      </c>
      <c r="C1257" s="4">
        <f>B1257&amp;D1257</f>
        <v/>
      </c>
      <c r="D1257" s="4" t="inlineStr">
        <is>
          <t>WT-9812RGBKZZ02</t>
        </is>
      </c>
      <c r="E1257" s="4" t="inlineStr">
        <is>
          <t>320F0098RB1</t>
        </is>
      </c>
      <c r="F1257" s="4" t="inlineStr">
        <is>
          <t>98系列二功能入墙暗装淋浴龙头（顶喷+手持）拉丝玫瑰金+黑色</t>
        </is>
      </c>
      <c r="G1257" s="4" t="inlineStr">
        <is>
          <t>宋江</t>
        </is>
      </c>
      <c r="H1257" s="4" t="inlineStr">
        <is>
          <t>暗装淋浴</t>
        </is>
      </c>
      <c r="I1257" s="12" t="inlineStr">
        <is>
          <t>是</t>
        </is>
      </c>
      <c r="J1257" s="34" t="n">
        <v>45295</v>
      </c>
      <c r="K1257" s="34" t="n">
        <v>45505</v>
      </c>
      <c r="L1257" s="0">
        <f>DATEDIF(J1257,$L$1,"M")</f>
        <v/>
      </c>
      <c r="M1257" s="0">
        <f>IF(L1257&lt;18,"新品期",IF(L1257&lt;=36,"老品期","衰退期"))</f>
        <v/>
      </c>
      <c r="N1257" s="36" t="inlineStr">
        <is>
          <t>2025年9月8以前何嘉威负责</t>
        </is>
      </c>
    </row>
    <row r="1258" ht="15" customFormat="1" customHeight="1" s="36">
      <c r="A1258" s="4" t="inlineStr">
        <is>
          <t>Wintap-CA</t>
        </is>
      </c>
      <c r="B1258" s="4" t="inlineStr">
        <is>
          <t>Wintap加拿大站</t>
        </is>
      </c>
      <c r="C1258" s="4">
        <f>B1258&amp;D1258</f>
        <v/>
      </c>
      <c r="D1258" s="4" t="inlineStr">
        <is>
          <t>WT-9812RGBKZZ02</t>
        </is>
      </c>
      <c r="E1258" s="4" t="inlineStr">
        <is>
          <t>320F0098RB1</t>
        </is>
      </c>
      <c r="F1258" s="4" t="inlineStr">
        <is>
          <t>98系列二功能入墙暗装淋浴龙头（顶喷+手持）拉丝玫瑰金+黑色</t>
        </is>
      </c>
      <c r="G1258" s="4" t="inlineStr">
        <is>
          <t>宋江</t>
        </is>
      </c>
      <c r="H1258" s="4" t="inlineStr">
        <is>
          <t>暗装淋浴</t>
        </is>
      </c>
      <c r="I1258" s="12" t="inlineStr">
        <is>
          <t>是</t>
        </is>
      </c>
      <c r="J1258" s="34" t="n">
        <v>45295</v>
      </c>
      <c r="K1258" s="34" t="n">
        <v>45505</v>
      </c>
      <c r="L1258" s="0">
        <f>DATEDIF(J1258,$L$1,"M")</f>
        <v/>
      </c>
      <c r="M1258" s="0">
        <f>IF(L1258&lt;18,"新品期",IF(L1258&lt;=36,"老品期","衰退期"))</f>
        <v/>
      </c>
      <c r="N1258" s="36" t="inlineStr">
        <is>
          <t>2025年9月8以前何嘉威负责</t>
        </is>
      </c>
    </row>
    <row r="1259" ht="15" customFormat="1" customHeight="1" s="36">
      <c r="A1259" s="4" t="inlineStr">
        <is>
          <t>Wintap-US</t>
        </is>
      </c>
      <c r="B1259" s="4" t="inlineStr">
        <is>
          <t>Wintap美国站</t>
        </is>
      </c>
      <c r="C1259" s="4">
        <f>B1259&amp;D1259</f>
        <v/>
      </c>
      <c r="D1259" s="4" t="inlineStr">
        <is>
          <t>WT-9812RGBKZZ03</t>
        </is>
      </c>
      <c r="E1259" s="4" t="inlineStr">
        <is>
          <t>320F0098RB1</t>
        </is>
      </c>
      <c r="F1259" s="4" t="inlineStr">
        <is>
          <t>98系列二功能入墙暗装淋浴龙头（顶喷+手持）拉丝玫瑰金+黑色</t>
        </is>
      </c>
      <c r="G1259" s="4" t="inlineStr">
        <is>
          <t>宋江</t>
        </is>
      </c>
      <c r="H1259" s="4" t="inlineStr">
        <is>
          <t>暗装淋浴</t>
        </is>
      </c>
      <c r="I1259" s="12" t="inlineStr">
        <is>
          <t>是</t>
        </is>
      </c>
      <c r="J1259" s="34" t="n">
        <v>45295</v>
      </c>
      <c r="K1259" s="34" t="n">
        <v>45505</v>
      </c>
      <c r="L1259" s="0">
        <f>DATEDIF(J1259,$L$1,"M")</f>
        <v/>
      </c>
      <c r="M1259" s="0">
        <f>IF(L1259&lt;18,"新品期",IF(L1259&lt;=36,"老品期","衰退期"))</f>
        <v/>
      </c>
      <c r="N1259" s="36" t="inlineStr">
        <is>
          <t>2025年9月8以前何嘉威负责</t>
        </is>
      </c>
    </row>
    <row r="1260" ht="15" customFormat="1" customHeight="1" s="36">
      <c r="A1260" s="4" t="inlineStr">
        <is>
          <t>Wintap-CA</t>
        </is>
      </c>
      <c r="B1260" s="4" t="inlineStr">
        <is>
          <t>Wintap加拿大站</t>
        </is>
      </c>
      <c r="C1260" s="4">
        <f>B1260&amp;D1260</f>
        <v/>
      </c>
      <c r="D1260" s="4" t="inlineStr">
        <is>
          <t>WT-9812RGBKZZ03</t>
        </is>
      </c>
      <c r="E1260" s="4" t="inlineStr">
        <is>
          <t>320F0098RB1</t>
        </is>
      </c>
      <c r="F1260" s="4" t="inlineStr">
        <is>
          <t>98系列二功能入墙暗装淋浴龙头（顶喷+手持）拉丝玫瑰金+黑色</t>
        </is>
      </c>
      <c r="G1260" s="4" t="inlineStr">
        <is>
          <t>宋江</t>
        </is>
      </c>
      <c r="H1260" s="4" t="inlineStr">
        <is>
          <t>暗装淋浴</t>
        </is>
      </c>
      <c r="I1260" s="12" t="inlineStr">
        <is>
          <t>是</t>
        </is>
      </c>
      <c r="J1260" s="34" t="n">
        <v>45295</v>
      </c>
      <c r="K1260" s="34" t="n">
        <v>45505</v>
      </c>
      <c r="L1260" s="0">
        <f>DATEDIF(J1260,$L$1,"M")</f>
        <v/>
      </c>
      <c r="M1260" s="0">
        <f>IF(L1260&lt;18,"新品期",IF(L1260&lt;=36,"老品期","衰退期"))</f>
        <v/>
      </c>
      <c r="N1260" s="36" t="inlineStr">
        <is>
          <t>2025年9月8以前何嘉威负责</t>
        </is>
      </c>
    </row>
    <row r="1261" ht="15" customFormat="1" customHeight="1" s="36">
      <c r="A1261" s="4" t="inlineStr">
        <is>
          <t>Wintap-US</t>
        </is>
      </c>
      <c r="B1261" s="4" t="inlineStr">
        <is>
          <t>Wintap美国站</t>
        </is>
      </c>
      <c r="C1261" s="4">
        <f>B1261&amp;D1261</f>
        <v/>
      </c>
      <c r="D1261" s="4" t="inlineStr">
        <is>
          <t>WT-B830BG02</t>
        </is>
      </c>
      <c r="E1261" s="4" t="inlineStr">
        <is>
          <t>211F8000BG1</t>
        </is>
      </c>
      <c r="F1261" s="4" t="inlineStr">
        <is>
          <t>8000二功能落地浴缸龙头拉丝钛金封油</t>
        </is>
      </c>
      <c r="G1261" s="4" t="inlineStr">
        <is>
          <t>刘皓</t>
        </is>
      </c>
      <c r="H1261" s="4" t="inlineStr">
        <is>
          <t>落地浴缸</t>
        </is>
      </c>
      <c r="I1261" s="12" t="inlineStr">
        <is>
          <t>否</t>
        </is>
      </c>
      <c r="J1261" s="4" t="inlineStr">
        <is>
          <t>/</t>
        </is>
      </c>
      <c r="K1261" s="4" t="inlineStr">
        <is>
          <t>/</t>
        </is>
      </c>
      <c r="L1261" s="0">
        <f>DATEDIF(J1261,$L$1,"M")</f>
        <v/>
      </c>
      <c r="M1261" s="0">
        <f>IF(L1261&lt;18,"新品期",IF(L1261&lt;=36,"老品期","衰退期"))</f>
        <v/>
      </c>
      <c r="N1261" s="15" t="inlineStr">
        <is>
          <t>备用链接，没发货</t>
        </is>
      </c>
    </row>
    <row r="1262" ht="15" customFormat="1" customHeight="1" s="36">
      <c r="A1262" s="4" t="inlineStr">
        <is>
          <t>Wintap-US</t>
        </is>
      </c>
      <c r="B1262" s="4" t="inlineStr">
        <is>
          <t>Wintap美国站</t>
        </is>
      </c>
      <c r="C1262" s="4">
        <f>B1262&amp;D1262</f>
        <v/>
      </c>
      <c r="D1262" s="4" t="inlineStr">
        <is>
          <t>WT-B830BG03</t>
        </is>
      </c>
      <c r="E1262" s="4" t="inlineStr">
        <is>
          <t>211F8000BG1</t>
        </is>
      </c>
      <c r="F1262" s="4" t="inlineStr">
        <is>
          <t>8000二功能落地浴缸龙头拉丝钛金封油</t>
        </is>
      </c>
      <c r="G1262" s="4" t="inlineStr">
        <is>
          <t>刘皓</t>
        </is>
      </c>
      <c r="H1262" s="4" t="inlineStr">
        <is>
          <t>落地浴缸</t>
        </is>
      </c>
      <c r="I1262" s="12" t="inlineStr">
        <is>
          <t>否</t>
        </is>
      </c>
      <c r="J1262" s="4" t="inlineStr">
        <is>
          <t>/</t>
        </is>
      </c>
      <c r="K1262" s="4" t="inlineStr">
        <is>
          <t>/</t>
        </is>
      </c>
      <c r="L1262" s="0">
        <f>DATEDIF(J1262,$L$1,"M")</f>
        <v/>
      </c>
      <c r="M1262" s="0">
        <f>IF(L1262&lt;18,"新品期",IF(L1262&lt;=36,"老品期","衰退期"))</f>
        <v/>
      </c>
      <c r="N1262" s="15" t="inlineStr">
        <is>
          <t>备用链接，没发货</t>
        </is>
      </c>
    </row>
    <row r="1263" ht="15" customFormat="1" customHeight="1" s="36">
      <c r="A1263" s="4" t="inlineStr">
        <is>
          <t>Wintap-US</t>
        </is>
      </c>
      <c r="B1263" s="4" t="inlineStr">
        <is>
          <t>Wintap美国站</t>
        </is>
      </c>
      <c r="C1263" s="4">
        <f>B1263&amp;D1263</f>
        <v/>
      </c>
      <c r="D1263" s="4" t="inlineStr">
        <is>
          <t>WT-B830BK02</t>
        </is>
      </c>
      <c r="E1263" s="4" t="inlineStr">
        <is>
          <t>211F8000BK2</t>
        </is>
      </c>
      <c r="F1263" s="4" t="inlineStr">
        <is>
          <t>8000二功能落地浴缸龙头酸铜发黑</t>
        </is>
      </c>
      <c r="G1263" s="4" t="inlineStr">
        <is>
          <t>刘皓</t>
        </is>
      </c>
      <c r="H1263" s="4" t="inlineStr">
        <is>
          <t>落地浴缸</t>
        </is>
      </c>
      <c r="I1263" s="12" t="inlineStr">
        <is>
          <t>否</t>
        </is>
      </c>
      <c r="J1263" s="4" t="inlineStr">
        <is>
          <t>/</t>
        </is>
      </c>
      <c r="K1263" s="4" t="inlineStr">
        <is>
          <t>/</t>
        </is>
      </c>
      <c r="L1263" s="0">
        <f>DATEDIF(J1263,$L$1,"M")</f>
        <v/>
      </c>
      <c r="M1263" s="0">
        <f>IF(L1263&lt;18,"新品期",IF(L1263&lt;=36,"老品期","衰退期"))</f>
        <v/>
      </c>
      <c r="N1263" s="15" t="inlineStr">
        <is>
          <t>备用链接，没发货</t>
        </is>
      </c>
    </row>
    <row r="1264" ht="15" customFormat="1" customHeight="1" s="36">
      <c r="A1264" s="4" t="inlineStr">
        <is>
          <t>Wintap-US</t>
        </is>
      </c>
      <c r="B1264" s="4" t="inlineStr">
        <is>
          <t>Wintap美国站</t>
        </is>
      </c>
      <c r="C1264" s="4">
        <f>B1264&amp;D1264</f>
        <v/>
      </c>
      <c r="D1264" s="4" t="inlineStr">
        <is>
          <t>WT-B830BK03</t>
        </is>
      </c>
      <c r="E1264" s="4" t="inlineStr">
        <is>
          <t>211F8000BK2</t>
        </is>
      </c>
      <c r="F1264" s="4" t="inlineStr">
        <is>
          <t>8000二功能落地浴缸龙头酸铜发黑</t>
        </is>
      </c>
      <c r="G1264" s="4" t="inlineStr">
        <is>
          <t>刘皓</t>
        </is>
      </c>
      <c r="H1264" s="4" t="inlineStr">
        <is>
          <t>落地浴缸</t>
        </is>
      </c>
      <c r="I1264" s="12" t="inlineStr">
        <is>
          <t>否</t>
        </is>
      </c>
      <c r="J1264" s="4" t="inlineStr">
        <is>
          <t>/</t>
        </is>
      </c>
      <c r="K1264" s="4" t="inlineStr">
        <is>
          <t>/</t>
        </is>
      </c>
      <c r="L1264" s="0">
        <f>DATEDIF(J1264,$L$1,"M")</f>
        <v/>
      </c>
      <c r="M1264" s="0">
        <f>IF(L1264&lt;18,"新品期",IF(L1264&lt;=36,"老品期","衰退期"))</f>
        <v/>
      </c>
      <c r="N1264" s="15" t="inlineStr">
        <is>
          <t>备用链接，没发货</t>
        </is>
      </c>
    </row>
    <row r="1265" ht="15" customFormat="1" customHeight="1" s="36">
      <c r="A1265" s="4" t="inlineStr">
        <is>
          <t>Wintap-US</t>
        </is>
      </c>
      <c r="B1265" s="4" t="inlineStr">
        <is>
          <t>Wintap美国站</t>
        </is>
      </c>
      <c r="C1265" s="4">
        <f>B1265&amp;D1265</f>
        <v/>
      </c>
      <c r="D1265" s="4" t="inlineStr">
        <is>
          <t>WT-B830BKZZ</t>
        </is>
      </c>
      <c r="E1265" s="4" t="inlineStr">
        <is>
          <t>211F8000BK2</t>
        </is>
      </c>
      <c r="F1265" s="4" t="inlineStr">
        <is>
          <t>8000二功能落地浴缸龙头酸铜发黑</t>
        </is>
      </c>
      <c r="G1265" s="4" t="inlineStr">
        <is>
          <t>刘皓</t>
        </is>
      </c>
      <c r="H1265" s="4" t="inlineStr">
        <is>
          <t>落地浴缸</t>
        </is>
      </c>
      <c r="I1265" s="12" t="inlineStr">
        <is>
          <t>否</t>
        </is>
      </c>
      <c r="J1265" s="34" t="n">
        <v>45541</v>
      </c>
      <c r="K1265" s="34" t="n">
        <v>45541</v>
      </c>
      <c r="L1265" s="0">
        <f>DATEDIF(J1265,$L$1,"M")</f>
        <v/>
      </c>
      <c r="M1265" s="0">
        <f>IF(L1265&lt;18,"新品期",IF(L1265&lt;=36,"老品期","衰退期"))</f>
        <v/>
      </c>
    </row>
    <row r="1266" ht="15" customFormat="1" customHeight="1" s="36">
      <c r="A1266" s="4" t="inlineStr">
        <is>
          <t>Wintap-CA</t>
        </is>
      </c>
      <c r="B1266" s="4" t="inlineStr">
        <is>
          <t>Wintap加拿大站</t>
        </is>
      </c>
      <c r="C1266" s="4">
        <f>B1266&amp;D1266</f>
        <v/>
      </c>
      <c r="D1266" s="4" t="inlineStr">
        <is>
          <t>WT-B830BKZZ</t>
        </is>
      </c>
      <c r="E1266" s="4" t="inlineStr">
        <is>
          <t>211F8000BK2</t>
        </is>
      </c>
      <c r="F1266" s="4" t="inlineStr">
        <is>
          <t>8000二功能落地浴缸龙头酸铜发黑</t>
        </is>
      </c>
      <c r="G1266" s="4" t="inlineStr">
        <is>
          <t>刘皓</t>
        </is>
      </c>
      <c r="H1266" s="4" t="inlineStr">
        <is>
          <t>落地浴缸</t>
        </is>
      </c>
      <c r="I1266" s="12" t="inlineStr">
        <is>
          <t>否</t>
        </is>
      </c>
      <c r="J1266" s="34" t="n">
        <v>45541</v>
      </c>
      <c r="K1266" s="34" t="n">
        <v>45541</v>
      </c>
      <c r="L1266" s="0">
        <f>DATEDIF(J1266,$L$1,"M")</f>
        <v/>
      </c>
      <c r="M1266" s="0">
        <f>IF(L1266&lt;18,"新品期",IF(L1266&lt;=36,"老品期","衰退期"))</f>
        <v/>
      </c>
    </row>
    <row r="1267" ht="15" customFormat="1" customHeight="1" s="36">
      <c r="A1267" s="4" t="inlineStr">
        <is>
          <t>Wintap-US</t>
        </is>
      </c>
      <c r="B1267" s="4" t="inlineStr">
        <is>
          <t>Wintap美国站</t>
        </is>
      </c>
      <c r="C1267" s="4">
        <f>B1267&amp;D1267</f>
        <v/>
      </c>
      <c r="D1267" s="4" t="inlineStr">
        <is>
          <t>WT-B830BN02</t>
        </is>
      </c>
      <c r="E1267" s="4" t="inlineStr">
        <is>
          <t>211F8000BN1</t>
        </is>
      </c>
      <c r="F1267" s="4" t="inlineStr">
        <is>
          <t>8000二功能落地浴缸龙头拉丝封油</t>
        </is>
      </c>
      <c r="G1267" s="4" t="inlineStr">
        <is>
          <t>刘皓</t>
        </is>
      </c>
      <c r="H1267" s="4" t="inlineStr">
        <is>
          <t>落地浴缸</t>
        </is>
      </c>
      <c r="I1267" s="12" t="inlineStr">
        <is>
          <t>否</t>
        </is>
      </c>
      <c r="J1267" s="4" t="inlineStr">
        <is>
          <t>/</t>
        </is>
      </c>
      <c r="K1267" s="4" t="inlineStr">
        <is>
          <t>/</t>
        </is>
      </c>
      <c r="L1267" s="0">
        <f>DATEDIF(J1267,$L$1,"M")</f>
        <v/>
      </c>
      <c r="M1267" s="0">
        <f>IF(L1267&lt;18,"新品期",IF(L1267&lt;=36,"老品期","衰退期"))</f>
        <v/>
      </c>
      <c r="N1267" s="15" t="inlineStr">
        <is>
          <t>备用链接，没发货</t>
        </is>
      </c>
    </row>
    <row r="1268" ht="15" customFormat="1" customHeight="1" s="36">
      <c r="A1268" s="4" t="inlineStr">
        <is>
          <t>Wintap-US</t>
        </is>
      </c>
      <c r="B1268" s="4" t="inlineStr">
        <is>
          <t>Wintap美国站</t>
        </is>
      </c>
      <c r="C1268" s="4">
        <f>B1268&amp;D1268</f>
        <v/>
      </c>
      <c r="D1268" s="4" t="inlineStr">
        <is>
          <t>WT-B830BN03</t>
        </is>
      </c>
      <c r="E1268" s="4" t="inlineStr">
        <is>
          <t>211F8000BN1</t>
        </is>
      </c>
      <c r="F1268" s="4" t="inlineStr">
        <is>
          <t>8000二功能落地浴缸龙头拉丝封油</t>
        </is>
      </c>
      <c r="G1268" s="4" t="inlineStr">
        <is>
          <t>刘皓</t>
        </is>
      </c>
      <c r="H1268" s="4" t="inlineStr">
        <is>
          <t>落地浴缸</t>
        </is>
      </c>
      <c r="I1268" s="12" t="inlineStr">
        <is>
          <t>否</t>
        </is>
      </c>
      <c r="J1268" s="4" t="inlineStr">
        <is>
          <t>/</t>
        </is>
      </c>
      <c r="K1268" s="4" t="inlineStr">
        <is>
          <t>/</t>
        </is>
      </c>
      <c r="L1268" s="0">
        <f>DATEDIF(J1268,$L$1,"M")</f>
        <v/>
      </c>
      <c r="M1268" s="0">
        <f>IF(L1268&lt;18,"新品期",IF(L1268&lt;=36,"老品期","衰退期"))</f>
        <v/>
      </c>
      <c r="N1268" s="15" t="inlineStr">
        <is>
          <t>备用链接，没发货</t>
        </is>
      </c>
    </row>
    <row r="1269" ht="15" customFormat="1" customHeight="1" s="36">
      <c r="A1269" s="4" t="inlineStr">
        <is>
          <t>Wintap-US</t>
        </is>
      </c>
      <c r="B1269" s="4" t="inlineStr">
        <is>
          <t>Wintap美国站</t>
        </is>
      </c>
      <c r="C1269" s="4">
        <f>B1269&amp;D1269</f>
        <v/>
      </c>
      <c r="D1269" s="4" t="inlineStr">
        <is>
          <t>WT-B830BNZZ</t>
        </is>
      </c>
      <c r="E1269" s="4" t="inlineStr">
        <is>
          <t>211F8000BN1</t>
        </is>
      </c>
      <c r="F1269" s="4" t="inlineStr">
        <is>
          <t>8000二功能落地浴缸龙头拉丝封油</t>
        </is>
      </c>
      <c r="G1269" s="4" t="inlineStr">
        <is>
          <t>刘皓</t>
        </is>
      </c>
      <c r="H1269" s="4" t="inlineStr">
        <is>
          <t>落地浴缸</t>
        </is>
      </c>
      <c r="I1269" s="12" t="inlineStr">
        <is>
          <t>否</t>
        </is>
      </c>
      <c r="J1269" s="34" t="n">
        <v>45541</v>
      </c>
      <c r="K1269" s="34" t="n">
        <v>45541</v>
      </c>
      <c r="L1269" s="0">
        <f>DATEDIF(J1269,$L$1,"M")</f>
        <v/>
      </c>
      <c r="M1269" s="0">
        <f>IF(L1269&lt;18,"新品期",IF(L1269&lt;=36,"老品期","衰退期"))</f>
        <v/>
      </c>
    </row>
    <row r="1270" ht="15" customFormat="1" customHeight="1" s="36">
      <c r="A1270" s="4" t="inlineStr">
        <is>
          <t>Wintap-CA</t>
        </is>
      </c>
      <c r="B1270" s="4" t="inlineStr">
        <is>
          <t>Wintap加拿大站</t>
        </is>
      </c>
      <c r="C1270" s="4">
        <f>B1270&amp;D1270</f>
        <v/>
      </c>
      <c r="D1270" s="4" t="inlineStr">
        <is>
          <t>WT-B830BNZZ</t>
        </is>
      </c>
      <c r="E1270" s="4" t="inlineStr">
        <is>
          <t>211F8000BN1</t>
        </is>
      </c>
      <c r="F1270" s="4" t="inlineStr">
        <is>
          <t>8000二功能落地浴缸龙头拉丝封油</t>
        </is>
      </c>
      <c r="G1270" s="4" t="inlineStr">
        <is>
          <t>刘皓</t>
        </is>
      </c>
      <c r="H1270" s="4" t="inlineStr">
        <is>
          <t>落地浴缸</t>
        </is>
      </c>
      <c r="I1270" s="12" t="inlineStr">
        <is>
          <t>否</t>
        </is>
      </c>
      <c r="J1270" s="34" t="n">
        <v>45541</v>
      </c>
      <c r="K1270" s="34" t="n">
        <v>45541</v>
      </c>
      <c r="L1270" s="0">
        <f>DATEDIF(J1270,$L$1,"M")</f>
        <v/>
      </c>
      <c r="M1270" s="0">
        <f>IF(L1270&lt;18,"新品期",IF(L1270&lt;=36,"老品期","衰退期"))</f>
        <v/>
      </c>
    </row>
    <row r="1271" ht="15" customFormat="1" customHeight="1" s="36">
      <c r="A1271" s="4" t="inlineStr">
        <is>
          <t>Wintap-US</t>
        </is>
      </c>
      <c r="B1271" s="4" t="inlineStr">
        <is>
          <t>Wintap美国站</t>
        </is>
      </c>
      <c r="C1271" s="4">
        <f>B1271&amp;D1271</f>
        <v/>
      </c>
      <c r="D1271" s="4" t="inlineStr">
        <is>
          <t>WT-B830BNZZ02</t>
        </is>
      </c>
      <c r="E1271" s="4" t="inlineStr">
        <is>
          <t>211F8000BN1</t>
        </is>
      </c>
      <c r="F1271" s="4" t="inlineStr">
        <is>
          <t>8000二功能落地浴缸龙头拉丝封油</t>
        </is>
      </c>
      <c r="G1271" s="4" t="inlineStr">
        <is>
          <t>刘皓</t>
        </is>
      </c>
      <c r="H1271" s="4" t="inlineStr">
        <is>
          <t>落地浴缸</t>
        </is>
      </c>
      <c r="I1271" s="12" t="inlineStr">
        <is>
          <t>否</t>
        </is>
      </c>
      <c r="J1271" s="34" t="n">
        <v>45664</v>
      </c>
      <c r="K1271" s="34" t="n">
        <v>45664</v>
      </c>
      <c r="L1271" s="0">
        <f>DATEDIF(J1271,$L$1,"M")</f>
        <v/>
      </c>
      <c r="M1271" s="0">
        <f>IF(L1271&lt;18,"新品期",IF(L1271&lt;=36,"老品期","衰退期"))</f>
        <v/>
      </c>
    </row>
    <row r="1272" ht="15" customFormat="1" customHeight="1" s="36">
      <c r="A1272" s="4" t="inlineStr">
        <is>
          <t>Wintap-CA</t>
        </is>
      </c>
      <c r="B1272" s="4" t="inlineStr">
        <is>
          <t>Wintap加拿大站</t>
        </is>
      </c>
      <c r="C1272" s="4">
        <f>B1272&amp;D1272</f>
        <v/>
      </c>
      <c r="D1272" s="4" t="inlineStr">
        <is>
          <t>WT-B830BNZZ02</t>
        </is>
      </c>
      <c r="E1272" s="4" t="inlineStr">
        <is>
          <t>211F8000BN1</t>
        </is>
      </c>
      <c r="F1272" s="4" t="inlineStr">
        <is>
          <t>8000二功能落地浴缸龙头拉丝封油</t>
        </is>
      </c>
      <c r="G1272" s="4" t="inlineStr">
        <is>
          <t>刘皓</t>
        </is>
      </c>
      <c r="H1272" s="4" t="inlineStr">
        <is>
          <t>落地浴缸</t>
        </is>
      </c>
      <c r="I1272" s="12" t="inlineStr">
        <is>
          <t>否</t>
        </is>
      </c>
      <c r="J1272" s="34" t="n">
        <v>45664</v>
      </c>
      <c r="K1272" s="34" t="n">
        <v>45664</v>
      </c>
      <c r="L1272" s="0">
        <f>DATEDIF(J1272,$L$1,"M")</f>
        <v/>
      </c>
      <c r="M1272" s="0">
        <f>IF(L1272&lt;18,"新品期",IF(L1272&lt;=36,"老品期","衰退期"))</f>
        <v/>
      </c>
    </row>
    <row r="1273" ht="15" customFormat="1" customHeight="1" s="36">
      <c r="A1273" s="4" t="inlineStr">
        <is>
          <t>Wintap-US</t>
        </is>
      </c>
      <c r="B1273" s="4" t="inlineStr">
        <is>
          <t>Wintap美国站</t>
        </is>
      </c>
      <c r="C1273" s="4">
        <f>B1273&amp;D1273</f>
        <v/>
      </c>
      <c r="D1273" s="4" t="inlineStr">
        <is>
          <t>WT-B830BNZZ03</t>
        </is>
      </c>
      <c r="E1273" s="4" t="inlineStr">
        <is>
          <t>211F8000BN1</t>
        </is>
      </c>
      <c r="F1273" s="4" t="inlineStr">
        <is>
          <t>8000二功能落地浴缸龙头拉丝封油</t>
        </is>
      </c>
      <c r="G1273" s="4" t="inlineStr">
        <is>
          <t>刘皓</t>
        </is>
      </c>
      <c r="H1273" s="4" t="inlineStr">
        <is>
          <t>落地浴缸</t>
        </is>
      </c>
      <c r="I1273" s="12" t="inlineStr">
        <is>
          <t>否</t>
        </is>
      </c>
      <c r="J1273" s="34" t="n">
        <v>45664</v>
      </c>
      <c r="K1273" s="34" t="n">
        <v>45664</v>
      </c>
      <c r="L1273" s="0">
        <f>DATEDIF(J1273,$L$1,"M")</f>
        <v/>
      </c>
      <c r="M1273" s="0">
        <f>IF(L1273&lt;18,"新品期",IF(L1273&lt;=36,"老品期","衰退期"))</f>
        <v/>
      </c>
    </row>
    <row r="1274" ht="15" customFormat="1" customHeight="1" s="36">
      <c r="A1274" s="4" t="inlineStr">
        <is>
          <t>Wintap-CA</t>
        </is>
      </c>
      <c r="B1274" s="4" t="inlineStr">
        <is>
          <t>Wintap加拿大站</t>
        </is>
      </c>
      <c r="C1274" s="4">
        <f>B1274&amp;D1274</f>
        <v/>
      </c>
      <c r="D1274" s="4" t="inlineStr">
        <is>
          <t>WT-B830BNZZ03</t>
        </is>
      </c>
      <c r="E1274" s="4" t="inlineStr">
        <is>
          <t>211F8000BN1</t>
        </is>
      </c>
      <c r="F1274" s="4" t="inlineStr">
        <is>
          <t>8000二功能落地浴缸龙头拉丝封油</t>
        </is>
      </c>
      <c r="G1274" s="4" t="inlineStr">
        <is>
          <t>刘皓</t>
        </is>
      </c>
      <c r="H1274" s="4" t="inlineStr">
        <is>
          <t>落地浴缸</t>
        </is>
      </c>
      <c r="I1274" s="12" t="inlineStr">
        <is>
          <t>否</t>
        </is>
      </c>
      <c r="J1274" s="34" t="n">
        <v>45664</v>
      </c>
      <c r="K1274" s="34" t="n">
        <v>45664</v>
      </c>
      <c r="L1274" s="0">
        <f>DATEDIF(J1274,$L$1,"M")</f>
        <v/>
      </c>
      <c r="M1274" s="0">
        <f>IF(L1274&lt;18,"新品期",IF(L1274&lt;=36,"老品期","衰退期"))</f>
        <v/>
      </c>
    </row>
    <row r="1275" ht="15" customFormat="1" customHeight="1" s="36">
      <c r="A1275" s="4" t="inlineStr">
        <is>
          <t>Wintap-BR</t>
        </is>
      </c>
      <c r="B1275" s="4" t="inlineStr">
        <is>
          <t>Wintap巴西站</t>
        </is>
      </c>
      <c r="C1275" s="4">
        <f>B1275&amp;D1275</f>
        <v/>
      </c>
      <c r="D1275" s="4" t="inlineStr">
        <is>
          <t>WT-B830BNZZ03</t>
        </is>
      </c>
      <c r="E1275" s="4" t="inlineStr">
        <is>
          <t>211F8000BN1</t>
        </is>
      </c>
      <c r="F1275" s="4" t="inlineStr">
        <is>
          <t>8000二功能落地浴缸龙头拉丝封油</t>
        </is>
      </c>
      <c r="G1275" s="4" t="inlineStr">
        <is>
          <t>刘皓</t>
        </is>
      </c>
      <c r="H1275" s="4" t="inlineStr">
        <is>
          <t>落地浴缸</t>
        </is>
      </c>
      <c r="I1275" s="12" t="inlineStr">
        <is>
          <t>否</t>
        </is>
      </c>
      <c r="J1275" s="34" t="n">
        <v>45664</v>
      </c>
      <c r="K1275" s="34" t="n">
        <v>45664</v>
      </c>
      <c r="L1275" s="0">
        <f>DATEDIF(J1275,$L$1,"M")</f>
        <v/>
      </c>
      <c r="M1275" s="0">
        <f>IF(L1275&lt;18,"新品期",IF(L1275&lt;=36,"老品期","衰退期"))</f>
        <v/>
      </c>
    </row>
    <row r="1276" ht="15" customFormat="1" customHeight="1" s="36">
      <c r="A1276" s="4" t="inlineStr">
        <is>
          <t>Wintap-US</t>
        </is>
      </c>
      <c r="B1276" s="4" t="inlineStr">
        <is>
          <t>Wintap美国站</t>
        </is>
      </c>
      <c r="C1276" s="4">
        <f>B1276&amp;D1276</f>
        <v/>
      </c>
      <c r="D1276" s="4" t="inlineStr">
        <is>
          <t>WT-B830BNZZ04</t>
        </is>
      </c>
      <c r="E1276" s="4" t="inlineStr">
        <is>
          <t>211F8000BN1</t>
        </is>
      </c>
      <c r="F1276" s="4" t="inlineStr">
        <is>
          <t>8000二功能落地浴缸龙头拉丝封油</t>
        </is>
      </c>
      <c r="G1276" s="4" t="inlineStr">
        <is>
          <t>刘皓</t>
        </is>
      </c>
      <c r="H1276" s="4" t="inlineStr">
        <is>
          <t>落地浴缸</t>
        </is>
      </c>
      <c r="I1276" s="12" t="inlineStr">
        <is>
          <t>否</t>
        </is>
      </c>
      <c r="J1276" s="34" t="n">
        <v>45664</v>
      </c>
      <c r="K1276" s="34" t="n">
        <v>45664</v>
      </c>
      <c r="L1276" s="0">
        <f>DATEDIF(J1276,$L$1,"M")</f>
        <v/>
      </c>
      <c r="M1276" s="0">
        <f>IF(L1276&lt;18,"新品期",IF(L1276&lt;=36,"老品期","衰退期"))</f>
        <v/>
      </c>
    </row>
    <row r="1277" ht="15" customFormat="1" customHeight="1" s="36">
      <c r="A1277" s="4" t="inlineStr">
        <is>
          <t>Wintap-CA</t>
        </is>
      </c>
      <c r="B1277" s="4" t="inlineStr">
        <is>
          <t>Wintap加拿大站</t>
        </is>
      </c>
      <c r="C1277" s="4">
        <f>B1277&amp;D1277</f>
        <v/>
      </c>
      <c r="D1277" s="4" t="inlineStr">
        <is>
          <t>WT-B830BNZZ04</t>
        </is>
      </c>
      <c r="E1277" s="4" t="inlineStr">
        <is>
          <t>211F8000BN1</t>
        </is>
      </c>
      <c r="F1277" s="4" t="inlineStr">
        <is>
          <t>8000二功能落地浴缸龙头拉丝封油</t>
        </is>
      </c>
      <c r="G1277" s="4" t="inlineStr">
        <is>
          <t>刘皓</t>
        </is>
      </c>
      <c r="H1277" s="4" t="inlineStr">
        <is>
          <t>落地浴缸</t>
        </is>
      </c>
      <c r="I1277" s="12" t="inlineStr">
        <is>
          <t>否</t>
        </is>
      </c>
      <c r="J1277" s="34" t="n">
        <v>45664</v>
      </c>
      <c r="K1277" s="34" t="n">
        <v>45664</v>
      </c>
      <c r="L1277" s="0">
        <f>DATEDIF(J1277,$L$1,"M")</f>
        <v/>
      </c>
      <c r="M1277" s="0">
        <f>IF(L1277&lt;18,"新品期",IF(L1277&lt;=36,"老品期","衰退期"))</f>
        <v/>
      </c>
    </row>
    <row r="1278" ht="15" customFormat="1" customHeight="1" s="36">
      <c r="A1278" s="4" t="inlineStr">
        <is>
          <t>Wintap-US</t>
        </is>
      </c>
      <c r="B1278" s="4" t="inlineStr">
        <is>
          <t>Wintap美国站</t>
        </is>
      </c>
      <c r="C1278" s="4">
        <f>B1278&amp;D1278</f>
        <v/>
      </c>
      <c r="D1278" s="4" t="inlineStr">
        <is>
          <t>WT-B830BNZZ05</t>
        </is>
      </c>
      <c r="E1278" s="4" t="inlineStr">
        <is>
          <t>211F8000BN1</t>
        </is>
      </c>
      <c r="F1278" s="4" t="inlineStr">
        <is>
          <t>8000二功能落地浴缸龙头拉丝封油</t>
        </is>
      </c>
      <c r="G1278" s="4" t="inlineStr">
        <is>
          <t>刘皓</t>
        </is>
      </c>
      <c r="H1278" s="4" t="inlineStr">
        <is>
          <t>落地浴缸</t>
        </is>
      </c>
      <c r="I1278" s="12" t="inlineStr">
        <is>
          <t>否</t>
        </is>
      </c>
      <c r="J1278" s="34" t="n">
        <v>45664</v>
      </c>
      <c r="K1278" s="34" t="n">
        <v>45664</v>
      </c>
      <c r="L1278" s="0">
        <f>DATEDIF(J1278,$L$1,"M")</f>
        <v/>
      </c>
      <c r="M1278" s="0">
        <f>IF(L1278&lt;18,"新品期",IF(L1278&lt;=36,"老品期","衰退期"))</f>
        <v/>
      </c>
    </row>
    <row r="1279" ht="15" customFormat="1" customHeight="1" s="36">
      <c r="A1279" s="4" t="inlineStr">
        <is>
          <t>Wintap-CA</t>
        </is>
      </c>
      <c r="B1279" s="4" t="inlineStr">
        <is>
          <t>Wintap加拿大站</t>
        </is>
      </c>
      <c r="C1279" s="4">
        <f>B1279&amp;D1279</f>
        <v/>
      </c>
      <c r="D1279" s="4" t="inlineStr">
        <is>
          <t>WT-B830BNZZ05</t>
        </is>
      </c>
      <c r="E1279" s="4" t="inlineStr">
        <is>
          <t>211F8000BN1</t>
        </is>
      </c>
      <c r="F1279" s="4" t="inlineStr">
        <is>
          <t>8000二功能落地浴缸龙头拉丝封油</t>
        </is>
      </c>
      <c r="G1279" s="4" t="inlineStr">
        <is>
          <t>刘皓</t>
        </is>
      </c>
      <c r="H1279" s="4" t="inlineStr">
        <is>
          <t>落地浴缸</t>
        </is>
      </c>
      <c r="I1279" s="12" t="inlineStr">
        <is>
          <t>否</t>
        </is>
      </c>
      <c r="J1279" s="34" t="n">
        <v>45664</v>
      </c>
      <c r="K1279" s="34" t="n">
        <v>45664</v>
      </c>
      <c r="L1279" s="0">
        <f>DATEDIF(J1279,$L$1,"M")</f>
        <v/>
      </c>
      <c r="M1279" s="0">
        <f>IF(L1279&lt;18,"新品期",IF(L1279&lt;=36,"老品期","衰退期"))</f>
        <v/>
      </c>
    </row>
    <row r="1280" ht="15" customFormat="1" customHeight="1" s="36">
      <c r="A1280" s="4" t="inlineStr">
        <is>
          <t>Wintap-US</t>
        </is>
      </c>
      <c r="B1280" s="4" t="inlineStr">
        <is>
          <t>Wintap美国站</t>
        </is>
      </c>
      <c r="C1280" s="4">
        <f>B1280&amp;D1280</f>
        <v/>
      </c>
      <c r="D1280" s="4" t="inlineStr">
        <is>
          <t>WT-B830BNZZ06</t>
        </is>
      </c>
      <c r="E1280" s="4" t="inlineStr">
        <is>
          <t>211F8000BN1</t>
        </is>
      </c>
      <c r="F1280" s="4" t="inlineStr">
        <is>
          <t>8000二功能落地浴缸龙头拉丝封油</t>
        </is>
      </c>
      <c r="G1280" s="4" t="inlineStr">
        <is>
          <t>刘皓</t>
        </is>
      </c>
      <c r="H1280" s="4" t="inlineStr">
        <is>
          <t>落地浴缸</t>
        </is>
      </c>
      <c r="I1280" s="12" t="inlineStr">
        <is>
          <t>否</t>
        </is>
      </c>
      <c r="J1280" s="34" t="n">
        <v>45664</v>
      </c>
      <c r="K1280" s="34" t="n">
        <v>45664</v>
      </c>
      <c r="L1280" s="0">
        <f>DATEDIF(J1280,$L$1,"M")</f>
        <v/>
      </c>
      <c r="M1280" s="0">
        <f>IF(L1280&lt;18,"新品期",IF(L1280&lt;=36,"老品期","衰退期"))</f>
        <v/>
      </c>
    </row>
    <row r="1281" ht="15" customFormat="1" customHeight="1" s="36">
      <c r="A1281" s="4" t="inlineStr">
        <is>
          <t>Wintap-CA</t>
        </is>
      </c>
      <c r="B1281" s="4" t="inlineStr">
        <is>
          <t>Wintap加拿大站</t>
        </is>
      </c>
      <c r="C1281" s="4">
        <f>B1281&amp;D1281</f>
        <v/>
      </c>
      <c r="D1281" s="4" t="inlineStr">
        <is>
          <t>WT-B830BNZZ06</t>
        </is>
      </c>
      <c r="E1281" s="4" t="inlineStr">
        <is>
          <t>211F8000BN1</t>
        </is>
      </c>
      <c r="F1281" s="4" t="inlineStr">
        <is>
          <t>8000二功能落地浴缸龙头拉丝封油</t>
        </is>
      </c>
      <c r="G1281" s="4" t="inlineStr">
        <is>
          <t>刘皓</t>
        </is>
      </c>
      <c r="H1281" s="4" t="inlineStr">
        <is>
          <t>落地浴缸</t>
        </is>
      </c>
      <c r="I1281" s="12" t="inlineStr">
        <is>
          <t>否</t>
        </is>
      </c>
      <c r="J1281" s="34" t="n">
        <v>45664</v>
      </c>
      <c r="K1281" s="34" t="n">
        <v>45664</v>
      </c>
      <c r="L1281" s="0">
        <f>DATEDIF(J1281,$L$1,"M")</f>
        <v/>
      </c>
      <c r="M1281" s="0">
        <f>IF(L1281&lt;18,"新品期",IF(L1281&lt;=36,"老品期","衰退期"))</f>
        <v/>
      </c>
    </row>
    <row r="1282" ht="15" customFormat="1" customHeight="1" s="36">
      <c r="A1282" s="4" t="inlineStr">
        <is>
          <t>Wintap-US</t>
        </is>
      </c>
      <c r="B1282" s="4" t="inlineStr">
        <is>
          <t>Wintap美国站</t>
        </is>
      </c>
      <c r="C1282" s="4">
        <f>B1282&amp;D1282</f>
        <v/>
      </c>
      <c r="D1282" s="4" t="inlineStr">
        <is>
          <t>WT-B830BNZZ07</t>
        </is>
      </c>
      <c r="E1282" s="4" t="inlineStr">
        <is>
          <t>211F8000BN1</t>
        </is>
      </c>
      <c r="F1282" s="4" t="inlineStr">
        <is>
          <t>8000二功能落地浴缸龙头拉丝封油</t>
        </is>
      </c>
      <c r="G1282" s="4" t="inlineStr">
        <is>
          <t>刘皓</t>
        </is>
      </c>
      <c r="H1282" s="4" t="inlineStr">
        <is>
          <t>落地浴缸</t>
        </is>
      </c>
      <c r="I1282" s="12" t="inlineStr">
        <is>
          <t>否</t>
        </is>
      </c>
      <c r="J1282" s="34" t="n">
        <v>45664</v>
      </c>
      <c r="K1282" s="34" t="n">
        <v>45664</v>
      </c>
      <c r="L1282" s="0">
        <f>DATEDIF(J1282,$L$1,"M")</f>
        <v/>
      </c>
      <c r="M1282" s="0">
        <f>IF(L1282&lt;18,"新品期",IF(L1282&lt;=36,"老品期","衰退期"))</f>
        <v/>
      </c>
    </row>
    <row r="1283" ht="15" customFormat="1" customHeight="1" s="36">
      <c r="A1283" s="4" t="inlineStr">
        <is>
          <t>Wintap-CA</t>
        </is>
      </c>
      <c r="B1283" s="4" t="inlineStr">
        <is>
          <t>Wintap加拿大站</t>
        </is>
      </c>
      <c r="C1283" s="4">
        <f>B1283&amp;D1283</f>
        <v/>
      </c>
      <c r="D1283" s="4" t="inlineStr">
        <is>
          <t>WT-B830BNZZ07</t>
        </is>
      </c>
      <c r="E1283" s="4" t="inlineStr">
        <is>
          <t>211F8000BN1</t>
        </is>
      </c>
      <c r="F1283" s="4" t="inlineStr">
        <is>
          <t>8000二功能落地浴缸龙头拉丝封油</t>
        </is>
      </c>
      <c r="G1283" s="4" t="inlineStr">
        <is>
          <t>刘皓</t>
        </is>
      </c>
      <c r="H1283" s="4" t="inlineStr">
        <is>
          <t>落地浴缸</t>
        </is>
      </c>
      <c r="I1283" s="12" t="inlineStr">
        <is>
          <t>否</t>
        </is>
      </c>
      <c r="J1283" s="34" t="n">
        <v>45664</v>
      </c>
      <c r="K1283" s="34" t="n">
        <v>45664</v>
      </c>
      <c r="L1283" s="0">
        <f>DATEDIF(J1283,$L$1,"M")</f>
        <v/>
      </c>
      <c r="M1283" s="0">
        <f>IF(L1283&lt;18,"新品期",IF(L1283&lt;=36,"老品期","衰退期"))</f>
        <v/>
      </c>
    </row>
    <row r="1284" ht="15" customFormat="1" customHeight="1" s="36">
      <c r="A1284" s="4" t="inlineStr">
        <is>
          <t>Wintap-US</t>
        </is>
      </c>
      <c r="B1284" s="4" t="inlineStr">
        <is>
          <t>Wintap美国站</t>
        </is>
      </c>
      <c r="C1284" s="4">
        <f>B1284&amp;D1284</f>
        <v/>
      </c>
      <c r="D1284" s="4" t="inlineStr">
        <is>
          <t>WT-B830BNZZ08</t>
        </is>
      </c>
      <c r="E1284" s="4" t="inlineStr">
        <is>
          <t>211F8000BN1</t>
        </is>
      </c>
      <c r="F1284" s="4" t="inlineStr">
        <is>
          <t>8000二功能落地浴缸龙头拉丝封油</t>
        </is>
      </c>
      <c r="G1284" s="4" t="inlineStr">
        <is>
          <t>刘皓</t>
        </is>
      </c>
      <c r="H1284" s="4" t="inlineStr">
        <is>
          <t>落地浴缸</t>
        </is>
      </c>
      <c r="I1284" s="12" t="inlineStr">
        <is>
          <t>否</t>
        </is>
      </c>
      <c r="J1284" s="34" t="n">
        <v>45664</v>
      </c>
      <c r="K1284" s="34" t="n">
        <v>45664</v>
      </c>
      <c r="L1284" s="0">
        <f>DATEDIF(J1284,$L$1,"M")</f>
        <v/>
      </c>
      <c r="M1284" s="0">
        <f>IF(L1284&lt;18,"新品期",IF(L1284&lt;=36,"老品期","衰退期"))</f>
        <v/>
      </c>
    </row>
    <row r="1285" ht="15" customFormat="1" customHeight="1" s="36">
      <c r="A1285" s="4" t="inlineStr">
        <is>
          <t>Wintap-US</t>
        </is>
      </c>
      <c r="B1285" s="4" t="inlineStr">
        <is>
          <t>Wintap美国站</t>
        </is>
      </c>
      <c r="C1285" s="4">
        <f>B1285&amp;D1285</f>
        <v/>
      </c>
      <c r="D1285" s="4" t="inlineStr">
        <is>
          <t>WT-B830BNZZ09</t>
        </is>
      </c>
      <c r="E1285" s="4" t="inlineStr">
        <is>
          <t>211F8000BN1</t>
        </is>
      </c>
      <c r="F1285" s="4" t="inlineStr">
        <is>
          <t>8000二功能落地浴缸龙头拉丝封油</t>
        </is>
      </c>
      <c r="G1285" s="4" t="inlineStr">
        <is>
          <t>刘皓</t>
        </is>
      </c>
      <c r="H1285" s="4" t="inlineStr">
        <is>
          <t>落地浴缸</t>
        </is>
      </c>
      <c r="I1285" s="12" t="inlineStr">
        <is>
          <t>否</t>
        </is>
      </c>
      <c r="J1285" s="34" t="n">
        <v>45664</v>
      </c>
      <c r="K1285" s="34" t="n">
        <v>45664</v>
      </c>
      <c r="L1285" s="0">
        <f>DATEDIF(J1285,$L$1,"M")</f>
        <v/>
      </c>
      <c r="M1285" s="0">
        <f>IF(L1285&lt;18,"新品期",IF(L1285&lt;=36,"老品期","衰退期"))</f>
        <v/>
      </c>
    </row>
    <row r="1286" ht="15" customFormat="1" customHeight="1" s="36">
      <c r="A1286" s="4" t="inlineStr">
        <is>
          <t>Wintap-US</t>
        </is>
      </c>
      <c r="B1286" s="4" t="inlineStr">
        <is>
          <t>Wintap美国站</t>
        </is>
      </c>
      <c r="C1286" s="4">
        <f>B1286&amp;D1286</f>
        <v/>
      </c>
      <c r="D1286" s="4" t="inlineStr">
        <is>
          <t>WT-B830BNZZ10</t>
        </is>
      </c>
      <c r="E1286" s="4" t="inlineStr">
        <is>
          <t>211F8000BN1</t>
        </is>
      </c>
      <c r="F1286" s="4" t="inlineStr">
        <is>
          <t>8000二功能落地浴缸龙头拉丝封油</t>
        </is>
      </c>
      <c r="G1286" s="4" t="inlineStr">
        <is>
          <t>刘皓</t>
        </is>
      </c>
      <c r="H1286" s="4" t="inlineStr">
        <is>
          <t>落地浴缸</t>
        </is>
      </c>
      <c r="I1286" s="12" t="inlineStr">
        <is>
          <t>否</t>
        </is>
      </c>
      <c r="J1286" s="34" t="n">
        <v>45664</v>
      </c>
      <c r="K1286" s="34" t="n">
        <v>45664</v>
      </c>
      <c r="L1286" s="0">
        <f>DATEDIF(J1286,$L$1,"M")</f>
        <v/>
      </c>
      <c r="M1286" s="0">
        <f>IF(L1286&lt;18,"新品期",IF(L1286&lt;=36,"老品期","衰退期"))</f>
        <v/>
      </c>
    </row>
    <row r="1287" ht="15" customFormat="1" customHeight="1" s="36">
      <c r="A1287" s="4" t="inlineStr">
        <is>
          <t>Wintap-US</t>
        </is>
      </c>
      <c r="B1287" s="4" t="inlineStr">
        <is>
          <t>Wintap美国站</t>
        </is>
      </c>
      <c r="C1287" s="4">
        <f>B1287&amp;D1287</f>
        <v/>
      </c>
      <c r="D1287" s="4" t="inlineStr">
        <is>
          <t>WT-B830BNZZ11</t>
        </is>
      </c>
      <c r="E1287" s="4" t="inlineStr">
        <is>
          <t>211F8000BN1</t>
        </is>
      </c>
      <c r="F1287" s="4" t="inlineStr">
        <is>
          <t>8000二功能落地浴缸龙头拉丝封油</t>
        </is>
      </c>
      <c r="G1287" s="4" t="inlineStr">
        <is>
          <t>刘皓</t>
        </is>
      </c>
      <c r="H1287" s="4" t="inlineStr">
        <is>
          <t>落地浴缸</t>
        </is>
      </c>
      <c r="I1287" s="12" t="inlineStr">
        <is>
          <t>否</t>
        </is>
      </c>
      <c r="J1287" s="34" t="n">
        <v>45664</v>
      </c>
      <c r="K1287" s="34" t="n">
        <v>45664</v>
      </c>
      <c r="L1287" s="0">
        <f>DATEDIF(J1287,$L$1,"M")</f>
        <v/>
      </c>
      <c r="M1287" s="0">
        <f>IF(L1287&lt;18,"新品期",IF(L1287&lt;=36,"老品期","衰退期"))</f>
        <v/>
      </c>
    </row>
    <row r="1288" ht="15" customFormat="1" customHeight="1" s="36">
      <c r="A1288" s="4" t="inlineStr">
        <is>
          <t>Wintap-US</t>
        </is>
      </c>
      <c r="B1288" s="4" t="inlineStr">
        <is>
          <t>Wintap美国站</t>
        </is>
      </c>
      <c r="C1288" s="4">
        <f>B1288&amp;D1288</f>
        <v/>
      </c>
      <c r="D1288" s="4" t="inlineStr">
        <is>
          <t>WT-B830BNZZ12</t>
        </is>
      </c>
      <c r="E1288" s="4" t="inlineStr">
        <is>
          <t>211F8000BN1</t>
        </is>
      </c>
      <c r="F1288" s="4" t="inlineStr">
        <is>
          <t>8000二功能落地浴缸龙头拉丝封油</t>
        </is>
      </c>
      <c r="G1288" s="4" t="inlineStr">
        <is>
          <t>刘皓</t>
        </is>
      </c>
      <c r="H1288" s="4" t="inlineStr">
        <is>
          <t>落地浴缸</t>
        </is>
      </c>
      <c r="I1288" s="12" t="inlineStr">
        <is>
          <t>否</t>
        </is>
      </c>
      <c r="J1288" s="34" t="n">
        <v>45664</v>
      </c>
      <c r="K1288" s="34" t="n">
        <v>45664</v>
      </c>
      <c r="L1288" s="0">
        <f>DATEDIF(J1288,$L$1,"M")</f>
        <v/>
      </c>
      <c r="M1288" s="0">
        <f>IF(L1288&lt;18,"新品期",IF(L1288&lt;=36,"老品期","衰退期"))</f>
        <v/>
      </c>
    </row>
    <row r="1289" ht="15" customFormat="1" customHeight="1" s="36">
      <c r="A1289" s="4" t="inlineStr">
        <is>
          <t>Wintap-US</t>
        </is>
      </c>
      <c r="B1289" s="4" t="inlineStr">
        <is>
          <t>Wintap美国站</t>
        </is>
      </c>
      <c r="C1289" s="4">
        <f>B1289&amp;D1289</f>
        <v/>
      </c>
      <c r="D1289" s="4" t="inlineStr">
        <is>
          <t>WT-B830BNZZ13</t>
        </is>
      </c>
      <c r="E1289" s="4" t="inlineStr">
        <is>
          <t>211F8000BN1</t>
        </is>
      </c>
      <c r="F1289" s="4" t="inlineStr">
        <is>
          <t>8000二功能落地浴缸龙头拉丝封油</t>
        </is>
      </c>
      <c r="G1289" s="4" t="inlineStr">
        <is>
          <t>刘皓</t>
        </is>
      </c>
      <c r="H1289" s="4" t="inlineStr">
        <is>
          <t>落地浴缸</t>
        </is>
      </c>
      <c r="I1289" s="12" t="inlineStr">
        <is>
          <t>否</t>
        </is>
      </c>
      <c r="J1289" s="34" t="n">
        <v>45664</v>
      </c>
      <c r="K1289" s="34" t="n">
        <v>45664</v>
      </c>
      <c r="L1289" s="0">
        <f>DATEDIF(J1289,$L$1,"M")</f>
        <v/>
      </c>
      <c r="M1289" s="0">
        <f>IF(L1289&lt;18,"新品期",IF(L1289&lt;=36,"老品期","衰退期"))</f>
        <v/>
      </c>
    </row>
    <row r="1290" ht="15" customFormat="1" customHeight="1" s="36">
      <c r="A1290" s="4" t="inlineStr">
        <is>
          <t>Wintap-US</t>
        </is>
      </c>
      <c r="B1290" s="4" t="inlineStr">
        <is>
          <t>Wintap美国站</t>
        </is>
      </c>
      <c r="C1290" s="4">
        <f>B1290&amp;D1290</f>
        <v/>
      </c>
      <c r="D1290" s="4" t="inlineStr">
        <is>
          <t>WT-B830BNZZ14</t>
        </is>
      </c>
      <c r="E1290" s="4" t="inlineStr">
        <is>
          <t>211F8000BN1</t>
        </is>
      </c>
      <c r="F1290" s="4" t="inlineStr">
        <is>
          <t>8000二功能落地浴缸龙头拉丝封油</t>
        </is>
      </c>
      <c r="G1290" s="4" t="inlineStr">
        <is>
          <t>刘皓</t>
        </is>
      </c>
      <c r="H1290" s="4" t="inlineStr">
        <is>
          <t>落地浴缸</t>
        </is>
      </c>
      <c r="I1290" s="12" t="inlineStr">
        <is>
          <t>否</t>
        </is>
      </c>
      <c r="J1290" s="34" t="n">
        <v>45664</v>
      </c>
      <c r="K1290" s="34" t="n">
        <v>45664</v>
      </c>
      <c r="L1290" s="0">
        <f>DATEDIF(J1290,$L$1,"M")</f>
        <v/>
      </c>
      <c r="M1290" s="0">
        <f>IF(L1290&lt;18,"新品期",IF(L1290&lt;=36,"老品期","衰退期"))</f>
        <v/>
      </c>
    </row>
    <row r="1291" ht="15" customFormat="1" customHeight="1" s="36">
      <c r="A1291" s="4" t="inlineStr">
        <is>
          <t>Wintap-US</t>
        </is>
      </c>
      <c r="B1291" s="4" t="inlineStr">
        <is>
          <t>Wintap美国站</t>
        </is>
      </c>
      <c r="C1291" s="4">
        <f>B1291&amp;D1291</f>
        <v/>
      </c>
      <c r="D1291" s="4" t="inlineStr">
        <is>
          <t>WT-B830BNZZ15</t>
        </is>
      </c>
      <c r="E1291" s="4" t="inlineStr">
        <is>
          <t>211F8000BN1</t>
        </is>
      </c>
      <c r="F1291" s="4" t="inlineStr">
        <is>
          <t>8000二功能落地浴缸龙头拉丝封油</t>
        </is>
      </c>
      <c r="G1291" s="4" t="inlineStr">
        <is>
          <t>刘皓</t>
        </is>
      </c>
      <c r="H1291" s="4" t="inlineStr">
        <is>
          <t>落地浴缸</t>
        </is>
      </c>
      <c r="I1291" s="12" t="inlineStr">
        <is>
          <t>否</t>
        </is>
      </c>
      <c r="J1291" s="34" t="n">
        <v>45664</v>
      </c>
      <c r="K1291" s="34" t="n">
        <v>45664</v>
      </c>
      <c r="L1291" s="0">
        <f>DATEDIF(J1291,$L$1,"M")</f>
        <v/>
      </c>
      <c r="M1291" s="0">
        <f>IF(L1291&lt;18,"新品期",IF(L1291&lt;=36,"老品期","衰退期"))</f>
        <v/>
      </c>
    </row>
    <row r="1292" ht="15" customFormat="1" customHeight="1" s="36">
      <c r="A1292" s="4" t="inlineStr">
        <is>
          <t>Wintap-US</t>
        </is>
      </c>
      <c r="B1292" s="4" t="inlineStr">
        <is>
          <t>Wintap美国站</t>
        </is>
      </c>
      <c r="C1292" s="4">
        <f>B1292&amp;D1292</f>
        <v/>
      </c>
      <c r="D1292" s="4" t="inlineStr">
        <is>
          <t>WT-B830CP02</t>
        </is>
      </c>
      <c r="E1292" s="4" t="inlineStr">
        <is>
          <t>211F8000CP1</t>
        </is>
      </c>
      <c r="F1292" s="4" t="inlineStr">
        <is>
          <t>8000二功能落地浴缸龙头铬</t>
        </is>
      </c>
      <c r="G1292" s="4" t="inlineStr">
        <is>
          <t>刘皓</t>
        </is>
      </c>
      <c r="H1292" s="4" t="inlineStr">
        <is>
          <t>落地浴缸</t>
        </is>
      </c>
      <c r="I1292" s="12" t="inlineStr">
        <is>
          <t>否</t>
        </is>
      </c>
      <c r="J1292" s="4" t="inlineStr">
        <is>
          <t>/</t>
        </is>
      </c>
      <c r="K1292" s="4" t="inlineStr">
        <is>
          <t>/</t>
        </is>
      </c>
      <c r="L1292" s="0">
        <f>DATEDIF(J1292,$L$1,"M")</f>
        <v/>
      </c>
      <c r="M1292" s="0">
        <f>IF(L1292&lt;18,"新品期",IF(L1292&lt;=36,"老品期","衰退期"))</f>
        <v/>
      </c>
      <c r="N1292" s="15" t="inlineStr">
        <is>
          <t>备用链接，没发货</t>
        </is>
      </c>
    </row>
    <row r="1293" ht="15" customFormat="1" customHeight="1" s="36">
      <c r="A1293" s="4" t="inlineStr">
        <is>
          <t>Wintap-US</t>
        </is>
      </c>
      <c r="B1293" s="4" t="inlineStr">
        <is>
          <t>Wintap美国站</t>
        </is>
      </c>
      <c r="C1293" s="4">
        <f>B1293&amp;D1293</f>
        <v/>
      </c>
      <c r="D1293" s="4" t="inlineStr">
        <is>
          <t>WT-B830CP03</t>
        </is>
      </c>
      <c r="E1293" s="4" t="inlineStr">
        <is>
          <t>211F8000CP1</t>
        </is>
      </c>
      <c r="F1293" s="4" t="inlineStr">
        <is>
          <t>8000二功能落地浴缸龙头铬</t>
        </is>
      </c>
      <c r="G1293" s="4" t="inlineStr">
        <is>
          <t>刘皓</t>
        </is>
      </c>
      <c r="H1293" s="4" t="inlineStr">
        <is>
          <t>落地浴缸</t>
        </is>
      </c>
      <c r="I1293" s="12" t="inlineStr">
        <is>
          <t>否</t>
        </is>
      </c>
      <c r="J1293" s="4" t="inlineStr">
        <is>
          <t>/</t>
        </is>
      </c>
      <c r="K1293" s="4" t="inlineStr">
        <is>
          <t>/</t>
        </is>
      </c>
      <c r="L1293" s="0">
        <f>DATEDIF(J1293,$L$1,"M")</f>
        <v/>
      </c>
      <c r="M1293" s="0">
        <f>IF(L1293&lt;18,"新品期",IF(L1293&lt;=36,"老品期","衰退期"))</f>
        <v/>
      </c>
      <c r="N1293" s="15" t="inlineStr">
        <is>
          <t>备用链接，没发货</t>
        </is>
      </c>
    </row>
    <row r="1294" ht="15" customFormat="1" customHeight="1" s="36">
      <c r="A1294" s="4" t="inlineStr">
        <is>
          <t>Wintap-US</t>
        </is>
      </c>
      <c r="B1294" s="4" t="inlineStr">
        <is>
          <t>Wintap美国站</t>
        </is>
      </c>
      <c r="C1294" s="4">
        <f>B1294&amp;D1294</f>
        <v/>
      </c>
      <c r="D1294" s="4" t="inlineStr">
        <is>
          <t>WT-B830ORB02</t>
        </is>
      </c>
      <c r="E1294" s="4" t="inlineStr">
        <is>
          <t>211F8000OB1</t>
        </is>
      </c>
      <c r="F1294" s="4" t="inlineStr">
        <is>
          <t>8000二功能落地浴缸龙头拉丝古铜色</t>
        </is>
      </c>
      <c r="G1294" s="4" t="inlineStr">
        <is>
          <t>刘皓</t>
        </is>
      </c>
      <c r="H1294" s="4" t="inlineStr">
        <is>
          <t>落地浴缸</t>
        </is>
      </c>
      <c r="I1294" s="12" t="inlineStr">
        <is>
          <t>否</t>
        </is>
      </c>
      <c r="J1294" s="4" t="inlineStr">
        <is>
          <t>/</t>
        </is>
      </c>
      <c r="K1294" s="4" t="inlineStr">
        <is>
          <t>/</t>
        </is>
      </c>
      <c r="L1294" s="0">
        <f>DATEDIF(J1294,$L$1,"M")</f>
        <v/>
      </c>
      <c r="M1294" s="0">
        <f>IF(L1294&lt;18,"新品期",IF(L1294&lt;=36,"老品期","衰退期"))</f>
        <v/>
      </c>
      <c r="N1294" s="15" t="inlineStr">
        <is>
          <t>备用链接，没发货</t>
        </is>
      </c>
    </row>
    <row r="1295" ht="15" customFormat="1" customHeight="1" s="36">
      <c r="A1295" s="4" t="inlineStr">
        <is>
          <t>Wintap-US</t>
        </is>
      </c>
      <c r="B1295" s="4" t="inlineStr">
        <is>
          <t>Wintap美国站</t>
        </is>
      </c>
      <c r="C1295" s="4">
        <f>B1295&amp;D1295</f>
        <v/>
      </c>
      <c r="D1295" s="4" t="inlineStr">
        <is>
          <t>WT-B830ORB03</t>
        </is>
      </c>
      <c r="E1295" s="4" t="inlineStr">
        <is>
          <t>211F8000OB1</t>
        </is>
      </c>
      <c r="F1295" s="4" t="inlineStr">
        <is>
          <t>8000二功能落地浴缸龙头拉丝古铜色</t>
        </is>
      </c>
      <c r="G1295" s="4" t="inlineStr">
        <is>
          <t>刘皓</t>
        </is>
      </c>
      <c r="H1295" s="4" t="inlineStr">
        <is>
          <t>落地浴缸</t>
        </is>
      </c>
      <c r="I1295" s="12" t="inlineStr">
        <is>
          <t>否</t>
        </is>
      </c>
      <c r="J1295" s="4" t="inlineStr">
        <is>
          <t>/</t>
        </is>
      </c>
      <c r="K1295" s="4" t="inlineStr">
        <is>
          <t>/</t>
        </is>
      </c>
      <c r="L1295" s="0">
        <f>DATEDIF(J1295,$L$1,"M")</f>
        <v/>
      </c>
      <c r="M1295" s="0">
        <f>IF(L1295&lt;18,"新品期",IF(L1295&lt;=36,"老品期","衰退期"))</f>
        <v/>
      </c>
      <c r="N1295" s="15" t="inlineStr">
        <is>
          <t>备用链接，没发货</t>
        </is>
      </c>
    </row>
    <row r="1296" ht="15" customFormat="1" customHeight="1" s="36">
      <c r="A1296" s="4" t="inlineStr">
        <is>
          <t>Wintap-US</t>
        </is>
      </c>
      <c r="B1296" s="4" t="inlineStr">
        <is>
          <t>Wintap美国站</t>
        </is>
      </c>
      <c r="C1296" s="4">
        <f>B1296&amp;D1296</f>
        <v/>
      </c>
      <c r="D1296" s="4" t="inlineStr">
        <is>
          <t>WT-B830ORBZZ</t>
        </is>
      </c>
      <c r="E1296" s="4" t="inlineStr">
        <is>
          <t>211F8000OB1</t>
        </is>
      </c>
      <c r="F1296" s="4" t="inlineStr">
        <is>
          <t>8000二功能落地浴缸龙头拉丝古铜色</t>
        </is>
      </c>
      <c r="G1296" s="4" t="inlineStr">
        <is>
          <t>刘皓</t>
        </is>
      </c>
      <c r="H1296" s="4" t="inlineStr">
        <is>
          <t>落地浴缸</t>
        </is>
      </c>
      <c r="I1296" s="12" t="inlineStr">
        <is>
          <t>否</t>
        </is>
      </c>
      <c r="J1296" s="34" t="n">
        <v>45541</v>
      </c>
      <c r="K1296" s="34" t="n">
        <v>45541</v>
      </c>
      <c r="L1296" s="0">
        <f>DATEDIF(J1296,$L$1,"M")</f>
        <v/>
      </c>
      <c r="M1296" s="0">
        <f>IF(L1296&lt;18,"新品期",IF(L1296&lt;=36,"老品期","衰退期"))</f>
        <v/>
      </c>
    </row>
    <row r="1297" ht="15" customFormat="1" customHeight="1" s="36">
      <c r="A1297" s="4" t="inlineStr">
        <is>
          <t>Wintap-CA</t>
        </is>
      </c>
      <c r="B1297" s="4" t="inlineStr">
        <is>
          <t>Wintap加拿大站</t>
        </is>
      </c>
      <c r="C1297" s="4">
        <f>B1297&amp;D1297</f>
        <v/>
      </c>
      <c r="D1297" s="4" t="inlineStr">
        <is>
          <t>WT-B830ORBZZ</t>
        </is>
      </c>
      <c r="E1297" s="4" t="inlineStr">
        <is>
          <t>211F8000OB1</t>
        </is>
      </c>
      <c r="F1297" s="4" t="inlineStr">
        <is>
          <t>8000二功能落地浴缸龙头拉丝古铜色</t>
        </is>
      </c>
      <c r="G1297" s="4" t="inlineStr">
        <is>
          <t>刘皓</t>
        </is>
      </c>
      <c r="H1297" s="4" t="inlineStr">
        <is>
          <t>落地浴缸</t>
        </is>
      </c>
      <c r="I1297" s="12" t="inlineStr">
        <is>
          <t>否</t>
        </is>
      </c>
      <c r="J1297" s="34" t="n">
        <v>45541</v>
      </c>
      <c r="K1297" s="34" t="n">
        <v>45541</v>
      </c>
      <c r="L1297" s="0">
        <f>DATEDIF(J1297,$L$1,"M")</f>
        <v/>
      </c>
      <c r="M1297" s="0">
        <f>IF(L1297&lt;18,"新品期",IF(L1297&lt;=36,"老品期","衰退期"))</f>
        <v/>
      </c>
    </row>
    <row r="1298" ht="15" customFormat="1" customHeight="1" s="36">
      <c r="A1298" s="4" t="inlineStr">
        <is>
          <t>Wintap-US</t>
        </is>
      </c>
      <c r="B1298" s="4" t="inlineStr">
        <is>
          <t>Wintap美国站</t>
        </is>
      </c>
      <c r="C1298" s="4">
        <f>B1298&amp;D1298</f>
        <v/>
      </c>
      <c r="D1298" s="4" t="inlineStr">
        <is>
          <t>WT-ZZ01BK01</t>
        </is>
      </c>
      <c r="E1298" s="4" t="inlineStr">
        <is>
          <t>390F0001BK1</t>
        </is>
      </c>
      <c r="F1298" s="4" t="inlineStr">
        <is>
          <t>经典型浴缸出水嘴(带提拉)电泳黑</t>
        </is>
      </c>
      <c r="G1298" s="4" t="inlineStr">
        <is>
          <t>刘皓</t>
        </is>
      </c>
      <c r="H1298" s="4" t="inlineStr">
        <is>
          <t>缸边浴缸</t>
        </is>
      </c>
      <c r="I1298" s="12" t="inlineStr">
        <is>
          <t>否</t>
        </is>
      </c>
      <c r="J1298" s="34" t="n">
        <v>45589</v>
      </c>
      <c r="K1298" s="34" t="n">
        <v>45589</v>
      </c>
      <c r="L1298" s="0">
        <f>DATEDIF(J1298,$L$1,"M")</f>
        <v/>
      </c>
      <c r="M1298" s="0">
        <f>IF(L1298&lt;18,"新品期",IF(L1298&lt;=36,"老品期","衰退期"))</f>
        <v/>
      </c>
    </row>
    <row r="1299" ht="15" customFormat="1" customHeight="1" s="36">
      <c r="A1299" s="4" t="inlineStr">
        <is>
          <t>Wintap-US</t>
        </is>
      </c>
      <c r="B1299" s="4" t="inlineStr">
        <is>
          <t>Wintap美国站</t>
        </is>
      </c>
      <c r="C1299" s="4">
        <f>B1299&amp;D1299</f>
        <v/>
      </c>
      <c r="D1299" s="4" t="inlineStr">
        <is>
          <t>WT-ZZ01BK02</t>
        </is>
      </c>
      <c r="E1299" s="4" t="inlineStr">
        <is>
          <t>390F0001BK1</t>
        </is>
      </c>
      <c r="F1299" s="4" t="inlineStr">
        <is>
          <t>经典型浴缸出水嘴(带提拉)电泳黑</t>
        </is>
      </c>
      <c r="G1299" s="4" t="inlineStr">
        <is>
          <t>刘皓</t>
        </is>
      </c>
      <c r="H1299" s="4" t="inlineStr">
        <is>
          <t>缸边浴缸</t>
        </is>
      </c>
      <c r="I1299" s="12" t="inlineStr">
        <is>
          <t>否</t>
        </is>
      </c>
      <c r="J1299" s="34" t="n">
        <v>45589</v>
      </c>
      <c r="K1299" s="34" t="n">
        <v>45589</v>
      </c>
      <c r="L1299" s="0">
        <f>DATEDIF(J1299,$L$1,"M")</f>
        <v/>
      </c>
      <c r="M1299" s="0">
        <f>IF(L1299&lt;18,"新品期",IF(L1299&lt;=36,"老品期","衰退期"))</f>
        <v/>
      </c>
    </row>
    <row r="1300" ht="15" customFormat="1" customHeight="1" s="36">
      <c r="A1300" s="4" t="inlineStr">
        <is>
          <t>Wintap-US</t>
        </is>
      </c>
      <c r="B1300" s="4" t="inlineStr">
        <is>
          <t>Wintap美国站</t>
        </is>
      </c>
      <c r="C1300" s="4">
        <f>B1300&amp;D1300</f>
        <v/>
      </c>
      <c r="D1300" s="4" t="inlineStr">
        <is>
          <t>WT-ZZ01BK03</t>
        </is>
      </c>
      <c r="E1300" s="4" t="inlineStr">
        <is>
          <t>390F0001BK1</t>
        </is>
      </c>
      <c r="F1300" s="4" t="inlineStr">
        <is>
          <t>经典型浴缸出水嘴(带提拉)电泳黑</t>
        </is>
      </c>
      <c r="G1300" s="4" t="inlineStr">
        <is>
          <t>刘皓</t>
        </is>
      </c>
      <c r="H1300" s="4" t="inlineStr">
        <is>
          <t>缸边浴缸</t>
        </is>
      </c>
      <c r="I1300" s="12" t="inlineStr">
        <is>
          <t>否</t>
        </is>
      </c>
      <c r="J1300" s="34" t="n">
        <v>45589</v>
      </c>
      <c r="K1300" s="34" t="n">
        <v>45589</v>
      </c>
      <c r="L1300" s="0">
        <f>DATEDIF(J1300,$L$1,"M")</f>
        <v/>
      </c>
      <c r="M1300" s="0">
        <f>IF(L1300&lt;18,"新品期",IF(L1300&lt;=36,"老品期","衰退期"))</f>
        <v/>
      </c>
    </row>
    <row r="1301" ht="15" customFormat="1" customHeight="1" s="36">
      <c r="A1301" s="4" t="inlineStr">
        <is>
          <t>Wintap-US</t>
        </is>
      </c>
      <c r="B1301" s="4" t="inlineStr">
        <is>
          <t>Wintap美国站</t>
        </is>
      </c>
      <c r="C1301" s="4">
        <f>B1301&amp;D1301</f>
        <v/>
      </c>
      <c r="D1301" s="4" t="inlineStr">
        <is>
          <t>WT-ZZ01BK04</t>
        </is>
      </c>
      <c r="E1301" s="4" t="inlineStr">
        <is>
          <t>390F0001BK1</t>
        </is>
      </c>
      <c r="F1301" s="4" t="inlineStr">
        <is>
          <t>经典型浴缸出水嘴(带提拉)电泳黑</t>
        </is>
      </c>
      <c r="G1301" s="4" t="inlineStr">
        <is>
          <t>刘皓</t>
        </is>
      </c>
      <c r="H1301" s="4" t="inlineStr">
        <is>
          <t>缸边浴缸</t>
        </is>
      </c>
      <c r="I1301" s="12" t="inlineStr">
        <is>
          <t>否</t>
        </is>
      </c>
      <c r="J1301" s="34" t="n">
        <v>45589</v>
      </c>
      <c r="K1301" s="34" t="n">
        <v>45589</v>
      </c>
      <c r="L1301" s="0">
        <f>DATEDIF(J1301,$L$1,"M")</f>
        <v/>
      </c>
      <c r="M1301" s="0">
        <f>IF(L1301&lt;18,"新品期",IF(L1301&lt;=36,"老品期","衰退期"))</f>
        <v/>
      </c>
    </row>
    <row r="1302" ht="15" customFormat="1" customHeight="1" s="36">
      <c r="A1302" s="4" t="inlineStr">
        <is>
          <t>Wintap-US</t>
        </is>
      </c>
      <c r="B1302" s="4" t="inlineStr">
        <is>
          <t>Wintap美国站</t>
        </is>
      </c>
      <c r="C1302" s="4">
        <f>B1302&amp;D1302</f>
        <v/>
      </c>
      <c r="D1302" s="4" t="inlineStr">
        <is>
          <t>WT-ZZ01BK05</t>
        </is>
      </c>
      <c r="E1302" s="4" t="inlineStr">
        <is>
          <t>390F0001BK1</t>
        </is>
      </c>
      <c r="F1302" s="4" t="inlineStr">
        <is>
          <t>经典型浴缸出水嘴(带提拉)电泳黑</t>
        </is>
      </c>
      <c r="G1302" s="4" t="inlineStr">
        <is>
          <t>刘皓</t>
        </is>
      </c>
      <c r="H1302" s="4" t="inlineStr">
        <is>
          <t>缸边浴缸</t>
        </is>
      </c>
      <c r="I1302" s="12" t="inlineStr">
        <is>
          <t>否</t>
        </is>
      </c>
      <c r="J1302" s="34" t="n">
        <v>45589</v>
      </c>
      <c r="K1302" s="34" t="n">
        <v>45589</v>
      </c>
      <c r="L1302" s="0">
        <f>DATEDIF(J1302,$L$1,"M")</f>
        <v/>
      </c>
      <c r="M1302" s="0">
        <f>IF(L1302&lt;18,"新品期",IF(L1302&lt;=36,"老品期","衰退期"))</f>
        <v/>
      </c>
    </row>
    <row r="1303" ht="15" customFormat="1" customHeight="1" s="36">
      <c r="A1303" s="4" t="inlineStr">
        <is>
          <t>Wintap-US</t>
        </is>
      </c>
      <c r="B1303" s="4" t="inlineStr">
        <is>
          <t>Wintap美国站</t>
        </is>
      </c>
      <c r="C1303" s="4">
        <f>B1303&amp;D1303</f>
        <v/>
      </c>
      <c r="D1303" s="4" t="inlineStr">
        <is>
          <t>WT-ZZ01BN01</t>
        </is>
      </c>
      <c r="E1303" s="4" t="inlineStr">
        <is>
          <t>390F0001BN1</t>
        </is>
      </c>
      <c r="F1303" s="4" t="inlineStr">
        <is>
          <t>经典型浴缸出水嘴(带提拉)拉丝封油</t>
        </is>
      </c>
      <c r="G1303" s="4" t="inlineStr">
        <is>
          <t>刘皓</t>
        </is>
      </c>
      <c r="H1303" s="4" t="inlineStr">
        <is>
          <t>缸边浴缸</t>
        </is>
      </c>
      <c r="I1303" s="12" t="inlineStr">
        <is>
          <t>否</t>
        </is>
      </c>
      <c r="J1303" s="34" t="n">
        <v>45589</v>
      </c>
      <c r="K1303" s="34" t="n">
        <v>45589</v>
      </c>
      <c r="L1303" s="0">
        <f>DATEDIF(J1303,$L$1,"M")</f>
        <v/>
      </c>
      <c r="M1303" s="0">
        <f>IF(L1303&lt;18,"新品期",IF(L1303&lt;=36,"老品期","衰退期"))</f>
        <v/>
      </c>
    </row>
    <row r="1304" ht="15" customFormat="1" customHeight="1" s="36">
      <c r="A1304" s="4" t="inlineStr">
        <is>
          <t>Wintap-US</t>
        </is>
      </c>
      <c r="B1304" s="4" t="inlineStr">
        <is>
          <t>Wintap美国站</t>
        </is>
      </c>
      <c r="C1304" s="4">
        <f>B1304&amp;D1304</f>
        <v/>
      </c>
      <c r="D1304" s="4" t="inlineStr">
        <is>
          <t>WT-ZZ01BN02</t>
        </is>
      </c>
      <c r="E1304" s="4" t="inlineStr">
        <is>
          <t>390F0001BN1</t>
        </is>
      </c>
      <c r="F1304" s="4" t="inlineStr">
        <is>
          <t>经典型浴缸出水嘴(带提拉)拉丝封油</t>
        </is>
      </c>
      <c r="G1304" s="4" t="inlineStr">
        <is>
          <t>刘皓</t>
        </is>
      </c>
      <c r="H1304" s="4" t="inlineStr">
        <is>
          <t>缸边浴缸</t>
        </is>
      </c>
      <c r="I1304" s="12" t="inlineStr">
        <is>
          <t>否</t>
        </is>
      </c>
      <c r="J1304" s="34" t="n">
        <v>45589</v>
      </c>
      <c r="K1304" s="34" t="n">
        <v>45589</v>
      </c>
      <c r="L1304" s="0">
        <f>DATEDIF(J1304,$L$1,"M")</f>
        <v/>
      </c>
      <c r="M1304" s="0">
        <f>IF(L1304&lt;18,"新品期",IF(L1304&lt;=36,"老品期","衰退期"))</f>
        <v/>
      </c>
    </row>
    <row r="1305" ht="15" customFormat="1" customHeight="1" s="36">
      <c r="A1305" s="4" t="inlineStr">
        <is>
          <t>Wintap-US</t>
        </is>
      </c>
      <c r="B1305" s="4" t="inlineStr">
        <is>
          <t>Wintap美国站</t>
        </is>
      </c>
      <c r="C1305" s="4">
        <f>B1305&amp;D1305</f>
        <v/>
      </c>
      <c r="D1305" s="4" t="inlineStr">
        <is>
          <t>WT-ZZ01BN03</t>
        </is>
      </c>
      <c r="E1305" s="4" t="inlineStr">
        <is>
          <t>390F0001BN1</t>
        </is>
      </c>
      <c r="F1305" s="4" t="inlineStr">
        <is>
          <t>经典型浴缸出水嘴(带提拉)拉丝封油</t>
        </is>
      </c>
      <c r="G1305" s="4" t="inlineStr">
        <is>
          <t>刘皓</t>
        </is>
      </c>
      <c r="H1305" s="4" t="inlineStr">
        <is>
          <t>缸边浴缸</t>
        </is>
      </c>
      <c r="I1305" s="12" t="inlineStr">
        <is>
          <t>否</t>
        </is>
      </c>
      <c r="J1305" s="34" t="n">
        <v>45589</v>
      </c>
      <c r="K1305" s="34" t="n">
        <v>45589</v>
      </c>
      <c r="L1305" s="0">
        <f>DATEDIF(J1305,$L$1,"M")</f>
        <v/>
      </c>
      <c r="M1305" s="0">
        <f>IF(L1305&lt;18,"新品期",IF(L1305&lt;=36,"老品期","衰退期"))</f>
        <v/>
      </c>
    </row>
    <row r="1306" ht="15" customFormat="1" customHeight="1" s="36">
      <c r="A1306" s="4" t="inlineStr">
        <is>
          <t>Wintap-US</t>
        </is>
      </c>
      <c r="B1306" s="4" t="inlineStr">
        <is>
          <t>Wintap美国站</t>
        </is>
      </c>
      <c r="C1306" s="4">
        <f>B1306&amp;D1306</f>
        <v/>
      </c>
      <c r="D1306" s="4" t="inlineStr">
        <is>
          <t>WT-ZZ01BN04</t>
        </is>
      </c>
      <c r="E1306" s="4" t="inlineStr">
        <is>
          <t>390F0001BN1</t>
        </is>
      </c>
      <c r="F1306" s="4" t="inlineStr">
        <is>
          <t>经典型浴缸出水嘴(带提拉)拉丝封油</t>
        </is>
      </c>
      <c r="G1306" s="4" t="inlineStr">
        <is>
          <t>刘皓</t>
        </is>
      </c>
      <c r="H1306" s="4" t="inlineStr">
        <is>
          <t>缸边浴缸</t>
        </is>
      </c>
      <c r="I1306" s="12" t="inlineStr">
        <is>
          <t>否</t>
        </is>
      </c>
      <c r="J1306" s="34" t="n">
        <v>45589</v>
      </c>
      <c r="K1306" s="34" t="n">
        <v>45589</v>
      </c>
      <c r="L1306" s="0">
        <f>DATEDIF(J1306,$L$1,"M")</f>
        <v/>
      </c>
      <c r="M1306" s="0">
        <f>IF(L1306&lt;18,"新品期",IF(L1306&lt;=36,"老品期","衰退期"))</f>
        <v/>
      </c>
    </row>
    <row r="1307" ht="15" customFormat="1" customHeight="1" s="36">
      <c r="A1307" s="4" t="inlineStr">
        <is>
          <t>Wintap-US</t>
        </is>
      </c>
      <c r="B1307" s="4" t="inlineStr">
        <is>
          <t>Wintap美国站</t>
        </is>
      </c>
      <c r="C1307" s="4">
        <f>B1307&amp;D1307</f>
        <v/>
      </c>
      <c r="D1307" s="4" t="inlineStr">
        <is>
          <t>WT-ZZ01BN05</t>
        </is>
      </c>
      <c r="E1307" s="4" t="inlineStr">
        <is>
          <t>390F0001BN1</t>
        </is>
      </c>
      <c r="F1307" s="4" t="inlineStr">
        <is>
          <t>经典型浴缸出水嘴(带提拉)拉丝封油</t>
        </is>
      </c>
      <c r="G1307" s="4" t="inlineStr">
        <is>
          <t>刘皓</t>
        </is>
      </c>
      <c r="H1307" s="4" t="inlineStr">
        <is>
          <t>缸边浴缸</t>
        </is>
      </c>
      <c r="I1307" s="12" t="inlineStr">
        <is>
          <t>否</t>
        </is>
      </c>
      <c r="J1307" s="34" t="n">
        <v>45589</v>
      </c>
      <c r="K1307" s="34" t="n">
        <v>45589</v>
      </c>
      <c r="L1307" s="0">
        <f>DATEDIF(J1307,$L$1,"M")</f>
        <v/>
      </c>
      <c r="M1307" s="0">
        <f>IF(L1307&lt;18,"新品期",IF(L1307&lt;=36,"老品期","衰退期"))</f>
        <v/>
      </c>
    </row>
    <row r="1308" ht="15" customFormat="1" customHeight="1" s="36">
      <c r="A1308" s="4" t="inlineStr">
        <is>
          <t>Wintap-US</t>
        </is>
      </c>
      <c r="B1308" s="4" t="inlineStr">
        <is>
          <t>Wintap美国站</t>
        </is>
      </c>
      <c r="C1308" s="4">
        <f>B1308&amp;D1308</f>
        <v/>
      </c>
      <c r="D1308" s="4" t="inlineStr">
        <is>
          <t>WT-ZZ01CP01</t>
        </is>
      </c>
      <c r="E1308" s="4" t="inlineStr">
        <is>
          <t>390F0001CP1</t>
        </is>
      </c>
      <c r="F1308" s="4" t="inlineStr">
        <is>
          <t>经典型浴缸出水嘴(带提拉)铬</t>
        </is>
      </c>
      <c r="G1308" s="4" t="inlineStr">
        <is>
          <t>刘皓</t>
        </is>
      </c>
      <c r="H1308" s="4" t="inlineStr">
        <is>
          <t>缸边浴缸</t>
        </is>
      </c>
      <c r="I1308" s="12" t="inlineStr">
        <is>
          <t>否</t>
        </is>
      </c>
      <c r="J1308" s="34" t="n">
        <v>45589</v>
      </c>
      <c r="K1308" s="34" t="n">
        <v>45589</v>
      </c>
      <c r="L1308" s="0">
        <f>DATEDIF(J1308,$L$1,"M")</f>
        <v/>
      </c>
      <c r="M1308" s="0">
        <f>IF(L1308&lt;18,"新品期",IF(L1308&lt;=36,"老品期","衰退期"))</f>
        <v/>
      </c>
    </row>
    <row r="1309" ht="15" customFormat="1" customHeight="1" s="36">
      <c r="A1309" s="4" t="inlineStr">
        <is>
          <t>Wintap-US</t>
        </is>
      </c>
      <c r="B1309" s="4" t="inlineStr">
        <is>
          <t>Wintap美国站</t>
        </is>
      </c>
      <c r="C1309" s="4">
        <f>B1309&amp;D1309</f>
        <v/>
      </c>
      <c r="D1309" s="4" t="inlineStr">
        <is>
          <t>WT-ZZ01CP02</t>
        </is>
      </c>
      <c r="E1309" s="4" t="inlineStr">
        <is>
          <t>390F0001CP1</t>
        </is>
      </c>
      <c r="F1309" s="4" t="inlineStr">
        <is>
          <t>经典型浴缸出水嘴(带提拉)铬</t>
        </is>
      </c>
      <c r="G1309" s="4" t="inlineStr">
        <is>
          <t>刘皓</t>
        </is>
      </c>
      <c r="H1309" s="4" t="inlineStr">
        <is>
          <t>缸边浴缸</t>
        </is>
      </c>
      <c r="I1309" s="12" t="inlineStr">
        <is>
          <t>否</t>
        </is>
      </c>
      <c r="J1309" s="34" t="n">
        <v>45589</v>
      </c>
      <c r="K1309" s="34" t="n">
        <v>45589</v>
      </c>
      <c r="L1309" s="0">
        <f>DATEDIF(J1309,$L$1,"M")</f>
        <v/>
      </c>
      <c r="M1309" s="0">
        <f>IF(L1309&lt;18,"新品期",IF(L1309&lt;=36,"老品期","衰退期"))</f>
        <v/>
      </c>
    </row>
    <row r="1310" ht="15" customFormat="1" customHeight="1" s="36">
      <c r="A1310" s="4" t="inlineStr">
        <is>
          <t>Wintap-US</t>
        </is>
      </c>
      <c r="B1310" s="4" t="inlineStr">
        <is>
          <t>Wintap美国站</t>
        </is>
      </c>
      <c r="C1310" s="4">
        <f>B1310&amp;D1310</f>
        <v/>
      </c>
      <c r="D1310" s="4" t="inlineStr">
        <is>
          <t>WT-ZZ01CP03</t>
        </is>
      </c>
      <c r="E1310" s="4" t="inlineStr">
        <is>
          <t>390F0001CP1</t>
        </is>
      </c>
      <c r="F1310" s="4" t="inlineStr">
        <is>
          <t>经典型浴缸出水嘴(带提拉)铬</t>
        </is>
      </c>
      <c r="G1310" s="4" t="inlineStr">
        <is>
          <t>刘皓</t>
        </is>
      </c>
      <c r="H1310" s="4" t="inlineStr">
        <is>
          <t>缸边浴缸</t>
        </is>
      </c>
      <c r="I1310" s="12" t="inlineStr">
        <is>
          <t>否</t>
        </is>
      </c>
      <c r="J1310" s="34" t="n">
        <v>45589</v>
      </c>
      <c r="K1310" s="34" t="n">
        <v>45589</v>
      </c>
      <c r="L1310" s="0">
        <f>DATEDIF(J1310,$L$1,"M")</f>
        <v/>
      </c>
      <c r="M1310" s="0">
        <f>IF(L1310&lt;18,"新品期",IF(L1310&lt;=36,"老品期","衰退期"))</f>
        <v/>
      </c>
    </row>
    <row r="1311" ht="15" customFormat="1" customHeight="1" s="36">
      <c r="A1311" s="4" t="inlineStr">
        <is>
          <t>Wintap-US</t>
        </is>
      </c>
      <c r="B1311" s="4" t="inlineStr">
        <is>
          <t>Wintap美国站</t>
        </is>
      </c>
      <c r="C1311" s="4">
        <f>B1311&amp;D1311</f>
        <v/>
      </c>
      <c r="D1311" s="4" t="inlineStr">
        <is>
          <t>WT-ZZ01CP04</t>
        </is>
      </c>
      <c r="E1311" s="4" t="inlineStr">
        <is>
          <t>390F0001CP1</t>
        </is>
      </c>
      <c r="F1311" s="4" t="inlineStr">
        <is>
          <t>经典型浴缸出水嘴(带提拉)铬</t>
        </is>
      </c>
      <c r="G1311" s="4" t="inlineStr">
        <is>
          <t>刘皓</t>
        </is>
      </c>
      <c r="H1311" s="4" t="inlineStr">
        <is>
          <t>缸边浴缸</t>
        </is>
      </c>
      <c r="I1311" s="12" t="inlineStr">
        <is>
          <t>否</t>
        </is>
      </c>
      <c r="J1311" s="34" t="n">
        <v>45589</v>
      </c>
      <c r="K1311" s="34" t="n">
        <v>45589</v>
      </c>
      <c r="L1311" s="0">
        <f>DATEDIF(J1311,$L$1,"M")</f>
        <v/>
      </c>
      <c r="M1311" s="0">
        <f>IF(L1311&lt;18,"新品期",IF(L1311&lt;=36,"老品期","衰退期"))</f>
        <v/>
      </c>
    </row>
    <row r="1312" ht="15" customFormat="1" customHeight="1" s="36">
      <c r="A1312" s="4" t="inlineStr">
        <is>
          <t>Wintap-US</t>
        </is>
      </c>
      <c r="B1312" s="4" t="inlineStr">
        <is>
          <t>Wintap美国站</t>
        </is>
      </c>
      <c r="C1312" s="4">
        <f>B1312&amp;D1312</f>
        <v/>
      </c>
      <c r="D1312" s="4" t="inlineStr">
        <is>
          <t>WT-ZZ01CP05</t>
        </is>
      </c>
      <c r="E1312" s="4" t="inlineStr">
        <is>
          <t>390F0001CP1</t>
        </is>
      </c>
      <c r="F1312" s="4" t="inlineStr">
        <is>
          <t>经典型浴缸出水嘴(带提拉)铬</t>
        </is>
      </c>
      <c r="G1312" s="4" t="inlineStr">
        <is>
          <t>刘皓</t>
        </is>
      </c>
      <c r="H1312" s="4" t="inlineStr">
        <is>
          <t>缸边浴缸</t>
        </is>
      </c>
      <c r="I1312" s="12" t="inlineStr">
        <is>
          <t>否</t>
        </is>
      </c>
      <c r="J1312" s="34" t="n">
        <v>45589</v>
      </c>
      <c r="K1312" s="34" t="n">
        <v>45589</v>
      </c>
      <c r="L1312" s="0">
        <f>DATEDIF(J1312,$L$1,"M")</f>
        <v/>
      </c>
      <c r="M1312" s="0">
        <f>IF(L1312&lt;18,"新品期",IF(L1312&lt;=36,"老品期","衰退期"))</f>
        <v/>
      </c>
    </row>
    <row r="1313" ht="15" customFormat="1" customHeight="1" s="36">
      <c r="A1313" s="4" t="inlineStr">
        <is>
          <t>Wintap-US</t>
        </is>
      </c>
      <c r="B1313" s="4" t="inlineStr">
        <is>
          <t>Wintap美国站</t>
        </is>
      </c>
      <c r="C1313" s="4">
        <f>B1313&amp;D1313</f>
        <v/>
      </c>
      <c r="D1313" s="4" t="inlineStr">
        <is>
          <t>WT-ZZ01CP06</t>
        </is>
      </c>
      <c r="E1313" s="4" t="inlineStr">
        <is>
          <t>390F0001CP1</t>
        </is>
      </c>
      <c r="F1313" s="4" t="inlineStr">
        <is>
          <t>经典型浴缸出水嘴(带提拉)铬</t>
        </is>
      </c>
      <c r="G1313" s="4" t="inlineStr">
        <is>
          <t>刘皓</t>
        </is>
      </c>
      <c r="H1313" s="4" t="inlineStr">
        <is>
          <t>缸边浴缸</t>
        </is>
      </c>
      <c r="I1313" s="12" t="inlineStr">
        <is>
          <t>否</t>
        </is>
      </c>
      <c r="J1313" s="34" t="n">
        <v>45589</v>
      </c>
      <c r="K1313" s="34" t="n">
        <v>45589</v>
      </c>
      <c r="L1313" s="0">
        <f>DATEDIF(J1313,$L$1,"M")</f>
        <v/>
      </c>
      <c r="M1313" s="0">
        <f>IF(L1313&lt;18,"新品期",IF(L1313&lt;=36,"老品期","衰退期"))</f>
        <v/>
      </c>
    </row>
    <row r="1314" ht="15" customFormat="1" customHeight="1" s="36">
      <c r="A1314" s="4" t="inlineStr">
        <is>
          <t>Wintap-US</t>
        </is>
      </c>
      <c r="B1314" s="4" t="inlineStr">
        <is>
          <t>Wintap美国站</t>
        </is>
      </c>
      <c r="C1314" s="4">
        <f>B1314&amp;D1314</f>
        <v/>
      </c>
      <c r="D1314" s="4" t="inlineStr">
        <is>
          <t>WT-ZZ01CP07</t>
        </is>
      </c>
      <c r="E1314" s="4" t="inlineStr">
        <is>
          <t>390F0001CP1</t>
        </is>
      </c>
      <c r="F1314" s="4" t="inlineStr">
        <is>
          <t>经典型浴缸出水嘴(带提拉)铬</t>
        </is>
      </c>
      <c r="G1314" s="4" t="inlineStr">
        <is>
          <t>刘皓</t>
        </is>
      </c>
      <c r="H1314" s="4" t="inlineStr">
        <is>
          <t>缸边浴缸</t>
        </is>
      </c>
      <c r="I1314" s="12" t="inlineStr">
        <is>
          <t>否</t>
        </is>
      </c>
      <c r="J1314" s="34" t="n">
        <v>45589</v>
      </c>
      <c r="K1314" s="34" t="n">
        <v>45589</v>
      </c>
      <c r="L1314" s="0">
        <f>DATEDIF(J1314,$L$1,"M")</f>
        <v/>
      </c>
      <c r="M1314" s="0">
        <f>IF(L1314&lt;18,"新品期",IF(L1314&lt;=36,"老品期","衰退期"))</f>
        <v/>
      </c>
    </row>
    <row r="1315" ht="15" customFormat="1" customHeight="1" s="36">
      <c r="A1315" s="4" t="inlineStr">
        <is>
          <t>Wintap-US</t>
        </is>
      </c>
      <c r="B1315" s="4" t="inlineStr">
        <is>
          <t>Wintap美国站</t>
        </is>
      </c>
      <c r="C1315" s="4">
        <f>B1315&amp;D1315</f>
        <v/>
      </c>
      <c r="D1315" s="4" t="inlineStr">
        <is>
          <t>WT-ZZ01CP08</t>
        </is>
      </c>
      <c r="E1315" s="4" t="inlineStr">
        <is>
          <t>390F0001CP1</t>
        </is>
      </c>
      <c r="F1315" s="4" t="inlineStr">
        <is>
          <t>经典型浴缸出水嘴(带提拉)铬</t>
        </is>
      </c>
      <c r="G1315" s="4" t="inlineStr">
        <is>
          <t>刘皓</t>
        </is>
      </c>
      <c r="H1315" s="4" t="inlineStr">
        <is>
          <t>缸边浴缸</t>
        </is>
      </c>
      <c r="I1315" s="12" t="inlineStr">
        <is>
          <t>否</t>
        </is>
      </c>
      <c r="J1315" s="34" t="n">
        <v>45589</v>
      </c>
      <c r="K1315" s="34" t="n">
        <v>45589</v>
      </c>
      <c r="L1315" s="0">
        <f>DATEDIF(J1315,$L$1,"M")</f>
        <v/>
      </c>
      <c r="M1315" s="0">
        <f>IF(L1315&lt;18,"新品期",IF(L1315&lt;=36,"老品期","衰退期"))</f>
        <v/>
      </c>
    </row>
    <row r="1316" ht="15" customFormat="1" customHeight="1" s="36">
      <c r="A1316" s="4" t="inlineStr">
        <is>
          <t>Wintap-US</t>
        </is>
      </c>
      <c r="B1316" s="4" t="inlineStr">
        <is>
          <t>Wintap美国站</t>
        </is>
      </c>
      <c r="C1316" s="4">
        <f>B1316&amp;D1316</f>
        <v/>
      </c>
      <c r="D1316" s="4" t="inlineStr">
        <is>
          <t>WT-ZZ01CP09</t>
        </is>
      </c>
      <c r="E1316" s="4" t="inlineStr">
        <is>
          <t>390F0001CP1</t>
        </is>
      </c>
      <c r="F1316" s="4" t="inlineStr">
        <is>
          <t>经典型浴缸出水嘴(带提拉)铬</t>
        </is>
      </c>
      <c r="G1316" s="4" t="inlineStr">
        <is>
          <t>刘皓</t>
        </is>
      </c>
      <c r="H1316" s="4" t="inlineStr">
        <is>
          <t>缸边浴缸</t>
        </is>
      </c>
      <c r="I1316" s="12" t="inlineStr">
        <is>
          <t>否</t>
        </is>
      </c>
      <c r="J1316" s="34" t="n">
        <v>45589</v>
      </c>
      <c r="K1316" s="34" t="n">
        <v>45589</v>
      </c>
      <c r="L1316" s="0">
        <f>DATEDIF(J1316,$L$1,"M")</f>
        <v/>
      </c>
      <c r="M1316" s="0">
        <f>IF(L1316&lt;18,"新品期",IF(L1316&lt;=36,"老品期","衰退期"))</f>
        <v/>
      </c>
    </row>
    <row r="1317" ht="15" customFormat="1" customHeight="1" s="36">
      <c r="A1317" s="4" t="inlineStr">
        <is>
          <t>Wintap-US</t>
        </is>
      </c>
      <c r="B1317" s="4" t="inlineStr">
        <is>
          <t>Wintap美国站</t>
        </is>
      </c>
      <c r="C1317" s="4">
        <f>B1317&amp;D1317</f>
        <v/>
      </c>
      <c r="D1317" s="4" t="inlineStr">
        <is>
          <t>WT-ZZ01CP10</t>
        </is>
      </c>
      <c r="E1317" s="4" t="inlineStr">
        <is>
          <t>390F0001CP1</t>
        </is>
      </c>
      <c r="F1317" s="4" t="inlineStr">
        <is>
          <t>经典型浴缸出水嘴(带提拉)铬</t>
        </is>
      </c>
      <c r="G1317" s="4" t="inlineStr">
        <is>
          <t>刘皓</t>
        </is>
      </c>
      <c r="H1317" s="4" t="inlineStr">
        <is>
          <t>缸边浴缸</t>
        </is>
      </c>
      <c r="I1317" s="12" t="inlineStr">
        <is>
          <t>否</t>
        </is>
      </c>
      <c r="J1317" s="34" t="n">
        <v>45589</v>
      </c>
      <c r="K1317" s="34" t="n">
        <v>45589</v>
      </c>
      <c r="L1317" s="0">
        <f>DATEDIF(J1317,$L$1,"M")</f>
        <v/>
      </c>
      <c r="M1317" s="0">
        <f>IF(L1317&lt;18,"新品期",IF(L1317&lt;=36,"老品期","衰退期"))</f>
        <v/>
      </c>
    </row>
    <row r="1318" ht="15" customFormat="1" customHeight="1" s="36">
      <c r="A1318" s="4" t="inlineStr">
        <is>
          <t>Wintap-US</t>
        </is>
      </c>
      <c r="B1318" s="4" t="inlineStr">
        <is>
          <t>Wintap美国站</t>
        </is>
      </c>
      <c r="C1318" s="4">
        <f>B1318&amp;D1318</f>
        <v/>
      </c>
      <c r="D1318" s="4" t="inlineStr">
        <is>
          <t>WT-ZZ01CP11</t>
        </is>
      </c>
      <c r="E1318" s="4" t="inlineStr">
        <is>
          <t>390F0001CP1</t>
        </is>
      </c>
      <c r="F1318" s="4" t="inlineStr">
        <is>
          <t>经典型浴缸出水嘴(带提拉)铬</t>
        </is>
      </c>
      <c r="G1318" s="4" t="inlineStr">
        <is>
          <t>刘皓</t>
        </is>
      </c>
      <c r="H1318" s="4" t="inlineStr">
        <is>
          <t>缸边浴缸</t>
        </is>
      </c>
      <c r="I1318" s="12" t="inlineStr">
        <is>
          <t>否</t>
        </is>
      </c>
      <c r="J1318" s="34" t="n">
        <v>45589</v>
      </c>
      <c r="K1318" s="34" t="n">
        <v>45589</v>
      </c>
      <c r="L1318" s="0">
        <f>DATEDIF(J1318,$L$1,"M")</f>
        <v/>
      </c>
      <c r="M1318" s="0">
        <f>IF(L1318&lt;18,"新品期",IF(L1318&lt;=36,"老品期","衰退期"))</f>
        <v/>
      </c>
    </row>
    <row r="1319" ht="15" customFormat="1" customHeight="1" s="36">
      <c r="A1319" s="4" t="inlineStr">
        <is>
          <t>Wintap-US</t>
        </is>
      </c>
      <c r="B1319" s="4" t="inlineStr">
        <is>
          <t>Wintap美国站</t>
        </is>
      </c>
      <c r="C1319" s="4">
        <f>B1319&amp;D1319</f>
        <v/>
      </c>
      <c r="D1319" s="4" t="inlineStr">
        <is>
          <t>WT-ZZ01CP12</t>
        </is>
      </c>
      <c r="E1319" s="4" t="inlineStr">
        <is>
          <t>390F0001CP1</t>
        </is>
      </c>
      <c r="F1319" s="4" t="inlineStr">
        <is>
          <t>经典型浴缸出水嘴(带提拉)铬</t>
        </is>
      </c>
      <c r="G1319" s="4" t="inlineStr">
        <is>
          <t>刘皓</t>
        </is>
      </c>
      <c r="H1319" s="4" t="inlineStr">
        <is>
          <t>缸边浴缸</t>
        </is>
      </c>
      <c r="I1319" s="12" t="inlineStr">
        <is>
          <t>否</t>
        </is>
      </c>
      <c r="J1319" s="34" t="n">
        <v>45589</v>
      </c>
      <c r="K1319" s="34" t="n">
        <v>45589</v>
      </c>
      <c r="L1319" s="0">
        <f>DATEDIF(J1319,$L$1,"M")</f>
        <v/>
      </c>
      <c r="M1319" s="0">
        <f>IF(L1319&lt;18,"新品期",IF(L1319&lt;=36,"老品期","衰退期"))</f>
        <v/>
      </c>
    </row>
    <row r="1320" ht="15" customFormat="1" customHeight="1" s="36">
      <c r="A1320" s="4" t="inlineStr">
        <is>
          <t>Wintap-US</t>
        </is>
      </c>
      <c r="B1320" s="4" t="inlineStr">
        <is>
          <t>Wintap美国站</t>
        </is>
      </c>
      <c r="C1320" s="4">
        <f>B1320&amp;D1320</f>
        <v/>
      </c>
      <c r="D1320" s="4" t="inlineStr">
        <is>
          <t>WT-ZZ01CP13</t>
        </is>
      </c>
      <c r="E1320" s="4" t="inlineStr">
        <is>
          <t>390F0001CP1</t>
        </is>
      </c>
      <c r="F1320" s="4" t="inlineStr">
        <is>
          <t>经典型浴缸出水嘴(带提拉)铬</t>
        </is>
      </c>
      <c r="G1320" s="4" t="inlineStr">
        <is>
          <t>刘皓</t>
        </is>
      </c>
      <c r="H1320" s="4" t="inlineStr">
        <is>
          <t>缸边浴缸</t>
        </is>
      </c>
      <c r="I1320" s="12" t="inlineStr">
        <is>
          <t>否</t>
        </is>
      </c>
      <c r="J1320" s="34" t="n">
        <v>45589</v>
      </c>
      <c r="K1320" s="34" t="n">
        <v>45589</v>
      </c>
      <c r="L1320" s="0">
        <f>DATEDIF(J1320,$L$1,"M")</f>
        <v/>
      </c>
      <c r="M1320" s="0">
        <f>IF(L1320&lt;18,"新品期",IF(L1320&lt;=36,"老品期","衰退期"))</f>
        <v/>
      </c>
    </row>
    <row r="1321" ht="15" customFormat="1" customHeight="1" s="36">
      <c r="A1321" s="4" t="inlineStr">
        <is>
          <t>Wintap-US</t>
        </is>
      </c>
      <c r="B1321" s="4" t="inlineStr">
        <is>
          <t>Wintap美国站</t>
        </is>
      </c>
      <c r="C1321" s="4">
        <f>B1321&amp;D1321</f>
        <v/>
      </c>
      <c r="D1321" s="4" t="inlineStr">
        <is>
          <t>WT-ZZ01CP14</t>
        </is>
      </c>
      <c r="E1321" s="4" t="inlineStr">
        <is>
          <t>390F0001CP1</t>
        </is>
      </c>
      <c r="F1321" s="4" t="inlineStr">
        <is>
          <t>经典型浴缸出水嘴(带提拉)铬</t>
        </is>
      </c>
      <c r="G1321" s="4" t="inlineStr">
        <is>
          <t>刘皓</t>
        </is>
      </c>
      <c r="H1321" s="4" t="inlineStr">
        <is>
          <t>缸边浴缸</t>
        </is>
      </c>
      <c r="I1321" s="12" t="inlineStr">
        <is>
          <t>否</t>
        </is>
      </c>
      <c r="J1321" s="34" t="n">
        <v>45589</v>
      </c>
      <c r="K1321" s="34" t="n">
        <v>45589</v>
      </c>
      <c r="L1321" s="0">
        <f>DATEDIF(J1321,$L$1,"M")</f>
        <v/>
      </c>
      <c r="M1321" s="0">
        <f>IF(L1321&lt;18,"新品期",IF(L1321&lt;=36,"老品期","衰退期"))</f>
        <v/>
      </c>
    </row>
    <row r="1322" ht="15" customFormat="1" customHeight="1" s="36">
      <c r="A1322" s="4" t="inlineStr">
        <is>
          <t>Wintap-US</t>
        </is>
      </c>
      <c r="B1322" s="4" t="inlineStr">
        <is>
          <t>Wintap美国站</t>
        </is>
      </c>
      <c r="C1322" s="4">
        <f>B1322&amp;D1322</f>
        <v/>
      </c>
      <c r="D1322" s="4" t="inlineStr">
        <is>
          <t>WT-ZZ01CP15</t>
        </is>
      </c>
      <c r="E1322" s="4" t="inlineStr">
        <is>
          <t>390F0001CP1</t>
        </is>
      </c>
      <c r="F1322" s="4" t="inlineStr">
        <is>
          <t>经典型浴缸出水嘴(带提拉)铬</t>
        </is>
      </c>
      <c r="G1322" s="4" t="inlineStr">
        <is>
          <t>刘皓</t>
        </is>
      </c>
      <c r="H1322" s="4" t="inlineStr">
        <is>
          <t>缸边浴缸</t>
        </is>
      </c>
      <c r="I1322" s="12" t="inlineStr">
        <is>
          <t>否</t>
        </is>
      </c>
      <c r="J1322" s="34" t="n">
        <v>45589</v>
      </c>
      <c r="K1322" s="34" t="n">
        <v>45589</v>
      </c>
      <c r="L1322" s="0">
        <f>DATEDIF(J1322,$L$1,"M")</f>
        <v/>
      </c>
      <c r="M1322" s="0">
        <f>IF(L1322&lt;18,"新品期",IF(L1322&lt;=36,"老品期","衰退期"))</f>
        <v/>
      </c>
    </row>
    <row r="1323" ht="15" customFormat="1" customHeight="1" s="36">
      <c r="A1323" s="4" t="inlineStr">
        <is>
          <t>KZ-liu-US</t>
        </is>
      </c>
      <c r="B1323" s="4" t="inlineStr">
        <is>
          <t>Kruzoo美国站</t>
        </is>
      </c>
      <c r="C1323" s="4">
        <f>B1323&amp;D1323</f>
        <v/>
      </c>
      <c r="D1323" s="4" t="inlineStr">
        <is>
          <t>YG6302BG</t>
        </is>
      </c>
      <c r="E1323" s="4" t="inlineStr">
        <is>
          <t>221F6301BG4</t>
        </is>
      </c>
      <c r="F1323" s="4" t="inlineStr">
        <is>
          <t>6301三件套缸边浴缸龙头拉丝钛金</t>
        </is>
      </c>
      <c r="G1323" s="4" t="inlineStr">
        <is>
          <t>胡娟娟</t>
        </is>
      </c>
      <c r="H1323" s="4" t="inlineStr">
        <is>
          <t>缸边浴缸</t>
        </is>
      </c>
      <c r="I1323" s="12" t="inlineStr">
        <is>
          <t>是</t>
        </is>
      </c>
      <c r="J1323" s="34" t="n">
        <v>43989</v>
      </c>
      <c r="K1323" s="34" t="n">
        <v>43989</v>
      </c>
      <c r="L1323" s="0">
        <f>DATEDIF(J1323,$L$1,"M")</f>
        <v/>
      </c>
      <c r="M1323" s="0">
        <f>IF(L1323&lt;18,"新品期",IF(L1323&lt;=36,"老品期","衰退期"))</f>
        <v/>
      </c>
    </row>
    <row r="1324" ht="15" customFormat="1" customHeight="1" s="36">
      <c r="A1324" s="4" t="inlineStr">
        <is>
          <t>KZ-liu-CA</t>
        </is>
      </c>
      <c r="B1324" s="4" t="inlineStr">
        <is>
          <t>Kruzoo加拿大站</t>
        </is>
      </c>
      <c r="C1324" s="4">
        <f>B1324&amp;D1324</f>
        <v/>
      </c>
      <c r="D1324" s="4" t="inlineStr">
        <is>
          <t>YG6302BG</t>
        </is>
      </c>
      <c r="E1324" s="4" t="inlineStr">
        <is>
          <t>221F6301BG4</t>
        </is>
      </c>
      <c r="F1324" s="4" t="inlineStr">
        <is>
          <t>6301三件套缸边浴缸龙头拉丝钛金</t>
        </is>
      </c>
      <c r="G1324" s="4" t="inlineStr">
        <is>
          <t>胡娟娟</t>
        </is>
      </c>
      <c r="H1324" s="4" t="inlineStr">
        <is>
          <t>缸边浴缸</t>
        </is>
      </c>
      <c r="I1324" s="12" t="inlineStr">
        <is>
          <t>是</t>
        </is>
      </c>
      <c r="J1324" s="34" t="n">
        <v>43989</v>
      </c>
      <c r="K1324" s="34" t="n">
        <v>43989</v>
      </c>
      <c r="L1324" s="0">
        <f>DATEDIF(J1324,$L$1,"M")</f>
        <v/>
      </c>
      <c r="M1324" s="0">
        <f>IF(L1324&lt;18,"新品期",IF(L1324&lt;=36,"老品期","衰退期"))</f>
        <v/>
      </c>
    </row>
    <row r="1325" ht="15" customFormat="1" customHeight="1" s="36">
      <c r="A1325" s="4" t="inlineStr">
        <is>
          <t>KZ-liu-US</t>
        </is>
      </c>
      <c r="B1325" s="4" t="inlineStr">
        <is>
          <t>Kruzoo美国站</t>
        </is>
      </c>
      <c r="C1325" s="4">
        <f>B1325&amp;D1325</f>
        <v/>
      </c>
      <c r="D1325" s="4" t="inlineStr">
        <is>
          <t>YG6302BN</t>
        </is>
      </c>
      <c r="E1325" s="4" t="inlineStr">
        <is>
          <t>221F6301BN3</t>
        </is>
      </c>
      <c r="F1325" s="4" t="inlineStr">
        <is>
          <t>6301三件套缸边浴缸龙头拉丝PVD</t>
        </is>
      </c>
      <c r="G1325" s="4" t="inlineStr">
        <is>
          <t>胡娟娟</t>
        </is>
      </c>
      <c r="H1325" s="4" t="inlineStr">
        <is>
          <t>缸边浴缸</t>
        </is>
      </c>
      <c r="I1325" s="12" t="inlineStr">
        <is>
          <t>是</t>
        </is>
      </c>
      <c r="J1325" s="34" t="n">
        <v>43989</v>
      </c>
      <c r="K1325" s="34" t="n">
        <v>43989</v>
      </c>
      <c r="L1325" s="0">
        <f>DATEDIF(J1325,$L$1,"M")</f>
        <v/>
      </c>
      <c r="M1325" s="0">
        <f>IF(L1325&lt;18,"新品期",IF(L1325&lt;=36,"老品期","衰退期"))</f>
        <v/>
      </c>
    </row>
    <row r="1326" ht="15" customFormat="1" customHeight="1" s="36">
      <c r="A1326" s="4" t="inlineStr">
        <is>
          <t>KZ-liu-CA</t>
        </is>
      </c>
      <c r="B1326" s="4" t="inlineStr">
        <is>
          <t>Kruzoo加拿大站</t>
        </is>
      </c>
      <c r="C1326" s="4">
        <f>B1326&amp;D1326</f>
        <v/>
      </c>
      <c r="D1326" s="4" t="inlineStr">
        <is>
          <t>YG6302BN</t>
        </is>
      </c>
      <c r="E1326" s="4" t="inlineStr">
        <is>
          <t>221F6301BN3</t>
        </is>
      </c>
      <c r="F1326" s="4" t="inlineStr">
        <is>
          <t>6301三件套缸边浴缸龙头拉丝PVD</t>
        </is>
      </c>
      <c r="G1326" s="4" t="inlineStr">
        <is>
          <t>胡娟娟</t>
        </is>
      </c>
      <c r="H1326" s="4" t="inlineStr">
        <is>
          <t>缸边浴缸</t>
        </is>
      </c>
      <c r="I1326" s="12" t="inlineStr">
        <is>
          <t>是</t>
        </is>
      </c>
      <c r="J1326" s="34" t="n">
        <v>43989</v>
      </c>
      <c r="K1326" s="34" t="n">
        <v>43989</v>
      </c>
      <c r="L1326" s="0">
        <f>DATEDIF(J1326,$L$1,"M")</f>
        <v/>
      </c>
      <c r="M1326" s="0">
        <f>IF(L1326&lt;18,"新品期",IF(L1326&lt;=36,"老品期","衰退期"))</f>
        <v/>
      </c>
    </row>
    <row r="1327" ht="15" customFormat="1" customHeight="1" s="36">
      <c r="A1327" s="4" t="inlineStr">
        <is>
          <t>KZ-liu-US</t>
        </is>
      </c>
      <c r="B1327" s="4" t="inlineStr">
        <is>
          <t>Kruzoo美国站</t>
        </is>
      </c>
      <c r="C1327" s="4">
        <f>B1327&amp;D1327</f>
        <v/>
      </c>
      <c r="D1327" s="4" t="inlineStr">
        <is>
          <t>YG6302CP</t>
        </is>
      </c>
      <c r="E1327" s="4" t="inlineStr">
        <is>
          <t>221F6301CP1</t>
        </is>
      </c>
      <c r="F1327" s="4" t="inlineStr">
        <is>
          <t>6301三件套缸边浴缸龙头铬</t>
        </is>
      </c>
      <c r="G1327" s="4" t="inlineStr">
        <is>
          <t>胡娟娟</t>
        </is>
      </c>
      <c r="H1327" s="4" t="inlineStr">
        <is>
          <t>缸边浴缸</t>
        </is>
      </c>
      <c r="I1327" s="12" t="inlineStr">
        <is>
          <t>是</t>
        </is>
      </c>
      <c r="J1327" s="34" t="n">
        <v>43989</v>
      </c>
      <c r="K1327" s="34" t="n">
        <v>43989</v>
      </c>
      <c r="L1327" s="0">
        <f>DATEDIF(J1327,$L$1,"M")</f>
        <v/>
      </c>
      <c r="M1327" s="0">
        <f>IF(L1327&lt;18,"新品期",IF(L1327&lt;=36,"老品期","衰退期"))</f>
        <v/>
      </c>
    </row>
    <row r="1328" ht="15" customFormat="1" customHeight="1" s="36">
      <c r="A1328" s="4" t="inlineStr">
        <is>
          <t>KZ-liu-US</t>
        </is>
      </c>
      <c r="B1328" s="4" t="inlineStr">
        <is>
          <t>Kruzoo美国站</t>
        </is>
      </c>
      <c r="C1328" s="4">
        <f>B1328&amp;D1328</f>
        <v/>
      </c>
      <c r="D1328" s="4" t="inlineStr">
        <is>
          <t>YG6302MB</t>
        </is>
      </c>
      <c r="E1328" s="4" t="inlineStr">
        <is>
          <t>221F6301BK1</t>
        </is>
      </c>
      <c r="F1328" s="4" t="inlineStr">
        <is>
          <t>6301三件套缸边浴缸龙头电泳黑</t>
        </is>
      </c>
      <c r="G1328" s="4" t="inlineStr">
        <is>
          <t>胡娟娟</t>
        </is>
      </c>
      <c r="H1328" s="4" t="inlineStr">
        <is>
          <t>缸边浴缸</t>
        </is>
      </c>
      <c r="I1328" s="12" t="inlineStr">
        <is>
          <t>是</t>
        </is>
      </c>
      <c r="J1328" s="34" t="n">
        <v>43989</v>
      </c>
      <c r="K1328" s="34" t="n">
        <v>43989</v>
      </c>
      <c r="L1328" s="0">
        <f>DATEDIF(J1328,$L$1,"M")</f>
        <v/>
      </c>
      <c r="M1328" s="0">
        <f>IF(L1328&lt;18,"新品期",IF(L1328&lt;=36,"老品期","衰退期"))</f>
        <v/>
      </c>
    </row>
    <row r="1329" ht="15" customFormat="1" customHeight="1" s="36">
      <c r="A1329" s="4" t="inlineStr">
        <is>
          <t>KZ-liu-CA</t>
        </is>
      </c>
      <c r="B1329" s="4" t="inlineStr">
        <is>
          <t>Kruzoo加拿大站</t>
        </is>
      </c>
      <c r="C1329" s="4">
        <f>B1329&amp;D1329</f>
        <v/>
      </c>
      <c r="D1329" s="4" t="inlineStr">
        <is>
          <t>YG6302MB</t>
        </is>
      </c>
      <c r="E1329" s="4" t="inlineStr">
        <is>
          <t>221F6301BK1</t>
        </is>
      </c>
      <c r="F1329" s="4" t="inlineStr">
        <is>
          <t>6301三件套缸边浴缸龙头电泳黑</t>
        </is>
      </c>
      <c r="G1329" s="4" t="inlineStr">
        <is>
          <t>胡娟娟</t>
        </is>
      </c>
      <c r="H1329" s="4" t="inlineStr">
        <is>
          <t>缸边浴缸</t>
        </is>
      </c>
      <c r="I1329" s="12" t="inlineStr">
        <is>
          <t>是</t>
        </is>
      </c>
      <c r="J1329" s="34" t="n">
        <v>43989</v>
      </c>
      <c r="K1329" s="34" t="n">
        <v>43989</v>
      </c>
      <c r="L1329" s="0">
        <f>DATEDIF(J1329,$L$1,"M")</f>
        <v/>
      </c>
      <c r="M1329" s="0">
        <f>IF(L1329&lt;18,"新品期",IF(L1329&lt;=36,"老品期","衰退期"))</f>
        <v/>
      </c>
    </row>
    <row r="1330" ht="15" customFormat="1" customHeight="1" s="36">
      <c r="A1330" s="4" t="inlineStr">
        <is>
          <t>KZ-liu-US</t>
        </is>
      </c>
      <c r="B1330" s="4" t="inlineStr">
        <is>
          <t>Kruzoo美国站</t>
        </is>
      </c>
      <c r="C1330" s="4">
        <f>B1330&amp;D1330</f>
        <v/>
      </c>
      <c r="D1330" s="4" t="inlineStr">
        <is>
          <t>YG6302ORB</t>
        </is>
      </c>
      <c r="E1330" s="4" t="inlineStr">
        <is>
          <t>221F6301OB1</t>
        </is>
      </c>
      <c r="F1330" s="4" t="inlineStr">
        <is>
          <t>6301三件套缸边浴缸龙头 拉丝古铜色</t>
        </is>
      </c>
      <c r="G1330" s="4" t="inlineStr">
        <is>
          <t>胡娟娟</t>
        </is>
      </c>
      <c r="H1330" s="4" t="inlineStr">
        <is>
          <t>缸边浴缸</t>
        </is>
      </c>
      <c r="I1330" s="12" t="inlineStr">
        <is>
          <t>是</t>
        </is>
      </c>
      <c r="J1330" s="34" t="n">
        <v>43989</v>
      </c>
      <c r="K1330" s="34" t="n">
        <v>43989</v>
      </c>
      <c r="L1330" s="0">
        <f>DATEDIF(J1330,$L$1,"M")</f>
        <v/>
      </c>
      <c r="M1330" s="0">
        <f>IF(L1330&lt;18,"新品期",IF(L1330&lt;=36,"老品期","衰退期"))</f>
        <v/>
      </c>
    </row>
    <row r="1331" ht="15" customFormat="1" customHeight="1" s="36">
      <c r="A1331" s="4" t="inlineStr">
        <is>
          <t>KZ-liu-CA</t>
        </is>
      </c>
      <c r="B1331" s="4" t="inlineStr">
        <is>
          <t>Kruzoo加拿大站</t>
        </is>
      </c>
      <c r="C1331" s="4">
        <f>B1331&amp;D1331</f>
        <v/>
      </c>
      <c r="D1331" s="4" t="inlineStr">
        <is>
          <t>YG6302ORB</t>
        </is>
      </c>
      <c r="E1331" s="4" t="inlineStr">
        <is>
          <t>221F6301OB1</t>
        </is>
      </c>
      <c r="F1331" s="4" t="inlineStr">
        <is>
          <t>6301三件套缸边浴缸龙头 拉丝古铜色</t>
        </is>
      </c>
      <c r="G1331" s="4" t="inlineStr">
        <is>
          <t>胡娟娟</t>
        </is>
      </c>
      <c r="H1331" s="4" t="inlineStr">
        <is>
          <t>缸边浴缸</t>
        </is>
      </c>
      <c r="I1331" s="12" t="inlineStr">
        <is>
          <t>是</t>
        </is>
      </c>
      <c r="J1331" s="34" t="n">
        <v>43989</v>
      </c>
      <c r="K1331" s="34" t="n">
        <v>43989</v>
      </c>
      <c r="L1331" s="0">
        <f>DATEDIF(J1331,$L$1,"M")</f>
        <v/>
      </c>
      <c r="M1331" s="0">
        <f>IF(L1331&lt;18,"新品期",IF(L1331&lt;=36,"老品期","衰退期"))</f>
        <v/>
      </c>
    </row>
    <row r="1332" ht="15" customFormat="1" customHeight="1" s="36">
      <c r="A1332" s="4" t="inlineStr">
        <is>
          <t>KZ-liu-US</t>
        </is>
      </c>
      <c r="B1332" s="4" t="inlineStr">
        <is>
          <t>Kruzoo美国站</t>
        </is>
      </c>
      <c r="C1332" s="4">
        <f>B1332&amp;D1332</f>
        <v/>
      </c>
      <c r="D1332" s="4" t="inlineStr">
        <is>
          <t>YG6353BG</t>
        </is>
      </c>
      <c r="E1332" s="4" t="inlineStr">
        <is>
          <t>223F5300BG1</t>
        </is>
      </c>
      <c r="F1332" s="4" t="inlineStr">
        <is>
          <t>5300五件套缸边浴缸龙头拉丝钛金封油</t>
        </is>
      </c>
      <c r="G1332" s="4" t="inlineStr">
        <is>
          <t>胡娟娟</t>
        </is>
      </c>
      <c r="H1332" s="4" t="inlineStr">
        <is>
          <t>缸边浴缸</t>
        </is>
      </c>
      <c r="I1332" s="12" t="inlineStr">
        <is>
          <t>是</t>
        </is>
      </c>
      <c r="J1332" s="34" t="n">
        <v>43989</v>
      </c>
      <c r="K1332" s="34" t="n">
        <v>43989</v>
      </c>
      <c r="L1332" s="0">
        <f>DATEDIF(J1332,$L$1,"M")</f>
        <v/>
      </c>
      <c r="M1332" s="0">
        <f>IF(L1332&lt;18,"新品期",IF(L1332&lt;=36,"老品期","衰退期"))</f>
        <v/>
      </c>
    </row>
    <row r="1333" ht="15" customFormat="1" customHeight="1" s="36">
      <c r="A1333" s="4" t="inlineStr">
        <is>
          <t>KZ-liu-CA</t>
        </is>
      </c>
      <c r="B1333" s="4" t="inlineStr">
        <is>
          <t>Kruzoo加拿大站</t>
        </is>
      </c>
      <c r="C1333" s="4">
        <f>B1333&amp;D1333</f>
        <v/>
      </c>
      <c r="D1333" s="4" t="inlineStr">
        <is>
          <t>YG6353BG</t>
        </is>
      </c>
      <c r="E1333" s="4" t="inlineStr">
        <is>
          <t>223F5300BG1</t>
        </is>
      </c>
      <c r="F1333" s="4" t="inlineStr">
        <is>
          <t>5300五件套缸边浴缸龙头拉丝钛金封油</t>
        </is>
      </c>
      <c r="G1333" s="4" t="inlineStr">
        <is>
          <t>胡娟娟</t>
        </is>
      </c>
      <c r="H1333" s="4" t="inlineStr">
        <is>
          <t>缸边浴缸</t>
        </is>
      </c>
      <c r="I1333" s="12" t="inlineStr">
        <is>
          <t>是</t>
        </is>
      </c>
      <c r="J1333" s="34" t="n">
        <v>43989</v>
      </c>
      <c r="K1333" s="34" t="n">
        <v>43989</v>
      </c>
      <c r="L1333" s="0">
        <f>DATEDIF(J1333,$L$1,"M")</f>
        <v/>
      </c>
      <c r="M1333" s="0">
        <f>IF(L1333&lt;18,"新品期",IF(L1333&lt;=36,"老品期","衰退期"))</f>
        <v/>
      </c>
    </row>
    <row r="1334" ht="15" customFormat="1" customHeight="1" s="36">
      <c r="A1334" s="4" t="inlineStr">
        <is>
          <t>KZ-liu-US</t>
        </is>
      </c>
      <c r="B1334" s="4" t="inlineStr">
        <is>
          <t>Kruzoo美国站</t>
        </is>
      </c>
      <c r="C1334" s="4">
        <f>B1334&amp;D1334</f>
        <v/>
      </c>
      <c r="D1334" s="4" t="inlineStr">
        <is>
          <t>YG6353BN</t>
        </is>
      </c>
      <c r="E1334" s="4" t="inlineStr">
        <is>
          <t>223F5300BN2</t>
        </is>
      </c>
      <c r="F1334" s="4" t="inlineStr">
        <is>
          <t>5300五件套缸边浴缸龙头拉丝封半哑油</t>
        </is>
      </c>
      <c r="G1334" s="4" t="inlineStr">
        <is>
          <t>胡娟娟</t>
        </is>
      </c>
      <c r="H1334" s="4" t="inlineStr">
        <is>
          <t>缸边浴缸</t>
        </is>
      </c>
      <c r="I1334" s="12" t="inlineStr">
        <is>
          <t>是</t>
        </is>
      </c>
      <c r="J1334" s="34" t="n">
        <v>43989</v>
      </c>
      <c r="K1334" s="34" t="n">
        <v>43989</v>
      </c>
      <c r="L1334" s="0">
        <f>DATEDIF(J1334,$L$1,"M")</f>
        <v/>
      </c>
      <c r="M1334" s="0">
        <f>IF(L1334&lt;18,"新品期",IF(L1334&lt;=36,"老品期","衰退期"))</f>
        <v/>
      </c>
    </row>
    <row r="1335" ht="15" customFormat="1" customHeight="1" s="36">
      <c r="A1335" s="4" t="inlineStr">
        <is>
          <t>KZ-liu-CA</t>
        </is>
      </c>
      <c r="B1335" s="4" t="inlineStr">
        <is>
          <t>Kruzoo加拿大站</t>
        </is>
      </c>
      <c r="C1335" s="4">
        <f>B1335&amp;D1335</f>
        <v/>
      </c>
      <c r="D1335" s="4" t="inlineStr">
        <is>
          <t>YG6353BN</t>
        </is>
      </c>
      <c r="E1335" s="4" t="inlineStr">
        <is>
          <t>223F5300BN2</t>
        </is>
      </c>
      <c r="F1335" s="4" t="inlineStr">
        <is>
          <t>5300五件套缸边浴缸龙头拉丝封半哑油</t>
        </is>
      </c>
      <c r="G1335" s="4" t="inlineStr">
        <is>
          <t>胡娟娟</t>
        </is>
      </c>
      <c r="H1335" s="4" t="inlineStr">
        <is>
          <t>缸边浴缸</t>
        </is>
      </c>
      <c r="I1335" s="12" t="inlineStr">
        <is>
          <t>是</t>
        </is>
      </c>
      <c r="J1335" s="34" t="n">
        <v>43989</v>
      </c>
      <c r="K1335" s="34" t="n">
        <v>43989</v>
      </c>
      <c r="L1335" s="0">
        <f>DATEDIF(J1335,$L$1,"M")</f>
        <v/>
      </c>
      <c r="M1335" s="0">
        <f>IF(L1335&lt;18,"新品期",IF(L1335&lt;=36,"老品期","衰退期"))</f>
        <v/>
      </c>
    </row>
    <row r="1336" ht="15" customFormat="1" customHeight="1" s="36">
      <c r="A1336" s="4" t="inlineStr">
        <is>
          <t>KZ-liu-CA</t>
        </is>
      </c>
      <c r="B1336" s="4" t="inlineStr">
        <is>
          <t>Kruzoo加拿大站</t>
        </is>
      </c>
      <c r="C1336" s="4">
        <f>B1336&amp;D1336</f>
        <v/>
      </c>
      <c r="D1336" s="4" t="inlineStr">
        <is>
          <t>YG6353CP</t>
        </is>
      </c>
      <c r="E1336" s="4" t="inlineStr">
        <is>
          <t>223F5300CP1</t>
        </is>
      </c>
      <c r="F1336" s="4" t="inlineStr">
        <is>
          <t>5300五件套缸边浴缸龙头铬</t>
        </is>
      </c>
      <c r="G1336" s="4" t="inlineStr">
        <is>
          <t>胡娟娟</t>
        </is>
      </c>
      <c r="H1336" s="4" t="inlineStr">
        <is>
          <t>缸边浴缸</t>
        </is>
      </c>
      <c r="I1336" s="12" t="inlineStr">
        <is>
          <t>是</t>
        </is>
      </c>
      <c r="J1336" s="34" t="n">
        <v>43989</v>
      </c>
      <c r="K1336" s="34" t="n">
        <v>43989</v>
      </c>
      <c r="L1336" s="0">
        <f>DATEDIF(J1336,$L$1,"M")</f>
        <v/>
      </c>
      <c r="M1336" s="0">
        <f>IF(L1336&lt;18,"新品期",IF(L1336&lt;=36,"老品期","衰退期"))</f>
        <v/>
      </c>
    </row>
    <row r="1337" ht="15" customFormat="1" customHeight="1" s="36">
      <c r="A1337" s="4" t="inlineStr">
        <is>
          <t>KZ-liu-CA</t>
        </is>
      </c>
      <c r="B1337" s="4" t="inlineStr">
        <is>
          <t>Kruzoo加拿大站</t>
        </is>
      </c>
      <c r="C1337" s="4">
        <f>B1337&amp;D1337</f>
        <v/>
      </c>
      <c r="D1337" s="4" t="inlineStr">
        <is>
          <t>YG6353MB</t>
        </is>
      </c>
      <c r="E1337" s="4" t="inlineStr">
        <is>
          <t>223F5300BK1</t>
        </is>
      </c>
      <c r="F1337" s="4" t="inlineStr">
        <is>
          <t>5300五件套缸边浴缸龙头电泳黑</t>
        </is>
      </c>
      <c r="G1337" s="4" t="inlineStr">
        <is>
          <t>胡娟娟</t>
        </is>
      </c>
      <c r="H1337" s="4" t="inlineStr">
        <is>
          <t>缸边浴缸</t>
        </is>
      </c>
      <c r="I1337" s="12" t="inlineStr">
        <is>
          <t>是</t>
        </is>
      </c>
      <c r="J1337" s="34" t="n">
        <v>43989</v>
      </c>
      <c r="K1337" s="34" t="n">
        <v>43989</v>
      </c>
      <c r="L1337" s="0">
        <f>DATEDIF(J1337,$L$1,"M")</f>
        <v/>
      </c>
      <c r="M1337" s="0">
        <f>IF(L1337&lt;18,"新品期",IF(L1337&lt;=36,"老品期","衰退期"))</f>
        <v/>
      </c>
    </row>
    <row r="1338" ht="15" customFormat="1" customHeight="1" s="36">
      <c r="A1338" s="4" t="inlineStr">
        <is>
          <t>KZ-liu-US</t>
        </is>
      </c>
      <c r="B1338" s="4" t="inlineStr">
        <is>
          <t>Kruzoo美国站</t>
        </is>
      </c>
      <c r="C1338" s="4">
        <f>B1338&amp;D1338</f>
        <v/>
      </c>
      <c r="D1338" s="4" t="inlineStr">
        <is>
          <t>YG6353ORB</t>
        </is>
      </c>
      <c r="E1338" s="4" t="inlineStr">
        <is>
          <t>223F5300OB1</t>
        </is>
      </c>
      <c r="F1338" s="4" t="inlineStr">
        <is>
          <t>5300五件套缸边浴缸龙头 拉丝古铜色</t>
        </is>
      </c>
      <c r="G1338" s="4" t="inlineStr">
        <is>
          <t>胡娟娟</t>
        </is>
      </c>
      <c r="H1338" s="4" t="inlineStr">
        <is>
          <t>缸边浴缸</t>
        </is>
      </c>
      <c r="I1338" s="12" t="inlineStr">
        <is>
          <t>是</t>
        </is>
      </c>
      <c r="J1338" s="34" t="n">
        <v>43989</v>
      </c>
      <c r="K1338" s="34" t="n">
        <v>43989</v>
      </c>
      <c r="L1338" s="0">
        <f>DATEDIF(J1338,$L$1,"M")</f>
        <v/>
      </c>
      <c r="M1338" s="0">
        <f>IF(L1338&lt;18,"新品期",IF(L1338&lt;=36,"老品期","衰退期"))</f>
        <v/>
      </c>
    </row>
    <row r="1339" ht="15" customFormat="1" customHeight="1" s="36">
      <c r="A1339" s="4" t="inlineStr">
        <is>
          <t>KZ-liu-CA</t>
        </is>
      </c>
      <c r="B1339" s="4" t="inlineStr">
        <is>
          <t>Kruzoo加拿大站</t>
        </is>
      </c>
      <c r="C1339" s="4">
        <f>B1339&amp;D1339</f>
        <v/>
      </c>
      <c r="D1339" s="4" t="inlineStr">
        <is>
          <t>YG6353ORB</t>
        </is>
      </c>
      <c r="E1339" s="4" t="inlineStr">
        <is>
          <t>223F5300OB1</t>
        </is>
      </c>
      <c r="F1339" s="4" t="inlineStr">
        <is>
          <t>5300五件套缸边浴缸龙头 拉丝古铜色</t>
        </is>
      </c>
      <c r="G1339" s="4" t="inlineStr">
        <is>
          <t>胡娟娟</t>
        </is>
      </c>
      <c r="H1339" s="4" t="inlineStr">
        <is>
          <t>缸边浴缸</t>
        </is>
      </c>
      <c r="I1339" s="12" t="inlineStr">
        <is>
          <t>是</t>
        </is>
      </c>
      <c r="J1339" s="34" t="n">
        <v>43989</v>
      </c>
      <c r="K1339" s="34" t="n">
        <v>43989</v>
      </c>
      <c r="L1339" s="0">
        <f>DATEDIF(J1339,$L$1,"M")</f>
        <v/>
      </c>
      <c r="M1339" s="0">
        <f>IF(L1339&lt;18,"新品期",IF(L1339&lt;=36,"老品期","衰退期"))</f>
        <v/>
      </c>
    </row>
    <row r="1340" ht="15" customFormat="1" customHeight="1" s="36">
      <c r="A1340" s="4" t="inlineStr">
        <is>
          <t>soebiz-US</t>
        </is>
      </c>
      <c r="B1340" s="4" t="inlineStr">
        <is>
          <t>Soebiz美国站</t>
        </is>
      </c>
      <c r="C1340" s="4">
        <f>B1340&amp;D1340</f>
        <v/>
      </c>
      <c r="D1340" s="23" t="inlineStr">
        <is>
          <t>SZ-B9911BK02</t>
        </is>
      </c>
      <c r="E1340" s="4" t="inlineStr">
        <is>
          <t>211F0099BK2</t>
        </is>
      </c>
      <c r="F1340" s="4" t="inlineStr">
        <is>
          <t>99系列二功能落地浴缸龙头酸铜发黑</t>
        </is>
      </c>
      <c r="G1340" s="4" t="inlineStr">
        <is>
          <t>刘皓</t>
        </is>
      </c>
      <c r="H1340" s="4" t="inlineStr">
        <is>
          <t>落地浴缸</t>
        </is>
      </c>
      <c r="I1340" s="12" t="inlineStr">
        <is>
          <t>是</t>
        </is>
      </c>
      <c r="J1340" s="34" t="n">
        <v>45323</v>
      </c>
      <c r="K1340" s="34" t="n">
        <v>45323</v>
      </c>
      <c r="L1340" s="0">
        <f>DATEDIF(J1340,$L$1,"M")</f>
        <v/>
      </c>
      <c r="M1340" s="0">
        <f>IF(L1340&lt;18,"新品期",IF(L1340&lt;=36,"老品期","衰退期"))</f>
        <v/>
      </c>
    </row>
    <row r="1341" ht="15" customFormat="1" customHeight="1" s="36">
      <c r="A1341" s="24" t="inlineStr">
        <is>
          <t>Jabbol-US</t>
        </is>
      </c>
      <c r="B1341" s="4" t="inlineStr">
        <is>
          <t>Jabbol美国站</t>
        </is>
      </c>
      <c r="C1341" s="4">
        <f>B1341&amp;D1341</f>
        <v/>
      </c>
      <c r="D1341" s="18" t="inlineStr">
        <is>
          <t>8807CPJB-ZZ</t>
        </is>
      </c>
      <c r="E1341" s="4" t="inlineStr">
        <is>
          <t>221F0088CP1</t>
        </is>
      </c>
      <c r="F1341" s="4" t="inlineStr">
        <is>
          <t>88系列三件套缸边浴缸龙头铬色</t>
        </is>
      </c>
      <c r="G1341" s="4" t="inlineStr">
        <is>
          <t>朱艺璇</t>
        </is>
      </c>
      <c r="H1341" s="4" t="inlineStr">
        <is>
          <t>缸边浴缸</t>
        </is>
      </c>
      <c r="I1341" s="12" t="inlineStr">
        <is>
          <t>是</t>
        </is>
      </c>
      <c r="J1341" s="34" t="n">
        <v>45488</v>
      </c>
      <c r="K1341" s="34" t="n">
        <v>45659</v>
      </c>
      <c r="L1341" s="0">
        <f>DATEDIF(J1341,$L$1,"M")</f>
        <v/>
      </c>
      <c r="M1341" s="0">
        <f>IF(L1341&lt;18,"新品期",IF(L1341&lt;=36,"老品期","衰退期"))</f>
        <v/>
      </c>
    </row>
    <row r="1342" ht="15" customFormat="1" customHeight="1" s="36">
      <c r="A1342" s="4" t="inlineStr">
        <is>
          <t>Lexdale-US</t>
        </is>
      </c>
      <c r="B1342" s="4" t="inlineStr">
        <is>
          <t>Lexdale美国站</t>
        </is>
      </c>
      <c r="C1342" s="4">
        <f>B1342&amp;D1342</f>
        <v/>
      </c>
      <c r="D1342" s="18" t="inlineStr">
        <is>
          <t>LD-B2311BN-ZZ</t>
        </is>
      </c>
      <c r="E1342" s="4" t="inlineStr">
        <is>
          <t>211F0023BN2</t>
        </is>
      </c>
      <c r="F1342" s="4" t="inlineStr">
        <is>
          <t>22系列二功能落地浴缸龙头拉丝封油</t>
        </is>
      </c>
      <c r="G1342" s="4" t="inlineStr">
        <is>
          <t>刘皓</t>
        </is>
      </c>
      <c r="H1342" s="4" t="inlineStr">
        <is>
          <t>落地浴缸</t>
        </is>
      </c>
      <c r="I1342" s="12" t="inlineStr">
        <is>
          <t>是</t>
        </is>
      </c>
      <c r="J1342" s="34" t="n">
        <v>45583</v>
      </c>
      <c r="K1342" s="34" t="n">
        <v>45583</v>
      </c>
      <c r="L1342" s="0">
        <f>DATEDIF(J1342,$L$1,"M")</f>
        <v/>
      </c>
      <c r="M1342" s="0">
        <f>IF(L1342&lt;18,"新品期",IF(L1342&lt;=36,"老品期","衰退期"))</f>
        <v/>
      </c>
    </row>
    <row r="1343" ht="15" customFormat="1" customHeight="1" s="36">
      <c r="A1343" s="4" t="inlineStr">
        <is>
          <t>NAUKWAN-US</t>
        </is>
      </c>
      <c r="B1343" s="4" t="inlineStr">
        <is>
          <t>Naukwan美国站</t>
        </is>
      </c>
      <c r="C1343" s="4">
        <f>B1343&amp;D1343</f>
        <v/>
      </c>
      <c r="D1343" s="18" t="inlineStr">
        <is>
          <t>B6206-ORB</t>
        </is>
      </c>
      <c r="E1343" s="4" t="inlineStr">
        <is>
          <t>230F3005OB1</t>
        </is>
      </c>
      <c r="F1343" s="4" t="inlineStr">
        <is>
          <t>3005单功能入墙浴缸龙头拉丝古铜色</t>
        </is>
      </c>
      <c r="G1343" s="4" t="inlineStr">
        <is>
          <t>刘皓</t>
        </is>
      </c>
      <c r="H1343" s="4" t="inlineStr">
        <is>
          <t>缸边浴缸</t>
        </is>
      </c>
      <c r="I1343" s="12" t="inlineStr">
        <is>
          <t>是</t>
        </is>
      </c>
      <c r="J1343" s="34" t="n">
        <v>45373</v>
      </c>
      <c r="K1343" s="34" t="n">
        <v>45373</v>
      </c>
      <c r="L1343" s="0">
        <f>DATEDIF(J1343,$L$1,"M")</f>
        <v/>
      </c>
      <c r="M1343" s="0">
        <f>IF(L1343&lt;18,"新品期",IF(L1343&lt;=36,"老品期","衰退期"))</f>
        <v/>
      </c>
    </row>
    <row r="1344" ht="15" customFormat="1" customHeight="1" s="36">
      <c r="A1344" s="4" t="inlineStr">
        <is>
          <t>Qinkell-US</t>
        </is>
      </c>
      <c r="B1344" s="4" t="inlineStr">
        <is>
          <t>Qinkell美国站</t>
        </is>
      </c>
      <c r="C1344" s="4">
        <f>B1344&amp;D1344</f>
        <v/>
      </c>
      <c r="D1344" s="18" t="inlineStr">
        <is>
          <t>8907CP QC1</t>
        </is>
      </c>
      <c r="E1344" s="4" t="inlineStr">
        <is>
          <t>221F0089CP1</t>
        </is>
      </c>
      <c r="F1344" s="4" t="inlineStr">
        <is>
          <t>89系列三件套缸边浴缸龙头铬色</t>
        </is>
      </c>
      <c r="G1344" s="4" t="inlineStr">
        <is>
          <t>陈巧娴</t>
        </is>
      </c>
      <c r="H1344" s="4" t="inlineStr">
        <is>
          <t>缸边浴缸</t>
        </is>
      </c>
      <c r="I1344" s="12" t="inlineStr">
        <is>
          <t>否</t>
        </is>
      </c>
      <c r="J1344" s="34" t="n">
        <v>45461</v>
      </c>
      <c r="K1344" s="34" t="n">
        <v>45669</v>
      </c>
      <c r="L1344" s="0">
        <f>DATEDIF(J1344,$L$1,"M")</f>
        <v/>
      </c>
      <c r="M1344" s="0">
        <f>IF(L1344&lt;18,"新品期",IF(L1344&lt;=36,"老品期","衰退期"))</f>
        <v/>
      </c>
      <c r="N1344" s="36" t="inlineStr">
        <is>
          <t>2025年6月（含6月）前艺璇负责</t>
        </is>
      </c>
    </row>
    <row r="1345" ht="15" customFormat="1" customHeight="1" s="36">
      <c r="A1345" s="4" t="inlineStr">
        <is>
          <t>Qinkell-US</t>
        </is>
      </c>
      <c r="B1345" s="4" t="inlineStr">
        <is>
          <t>Qinkell美国站</t>
        </is>
      </c>
      <c r="C1345" s="4">
        <f>B1345&amp;D1345</f>
        <v/>
      </c>
      <c r="D1345" s="18" t="inlineStr">
        <is>
          <t>8907ORB QC1</t>
        </is>
      </c>
      <c r="E1345" s="4" t="inlineStr">
        <is>
          <t>221F0089OB1</t>
        </is>
      </c>
      <c r="F1345" s="4" t="inlineStr">
        <is>
          <t>89系列三件套缸边浴缸龙头拉丝红古铜</t>
        </is>
      </c>
      <c r="G1345" s="4" t="inlineStr">
        <is>
          <t>陈巧娴</t>
        </is>
      </c>
      <c r="H1345" s="4" t="inlineStr">
        <is>
          <t>缸边浴缸</t>
        </is>
      </c>
      <c r="I1345" s="12" t="inlineStr">
        <is>
          <t>否</t>
        </is>
      </c>
      <c r="J1345" s="34" t="n">
        <v>45461</v>
      </c>
      <c r="K1345" s="34" t="n">
        <v>45669</v>
      </c>
      <c r="L1345" s="0">
        <f>DATEDIF(J1345,$L$1,"M")</f>
        <v/>
      </c>
      <c r="M1345" s="0">
        <f>IF(L1345&lt;18,"新品期",IF(L1345&lt;=36,"老品期","衰退期"))</f>
        <v/>
      </c>
      <c r="N1345" s="36" t="inlineStr">
        <is>
          <t>2025年6月（含6月）前艺璇负责</t>
        </is>
      </c>
    </row>
    <row r="1346" ht="15" customFormat="1" customHeight="1" s="36">
      <c r="A1346" s="4" t="inlineStr">
        <is>
          <t>Qinkell-US</t>
        </is>
      </c>
      <c r="B1346" s="4" t="inlineStr">
        <is>
          <t>Qinkell美国站</t>
        </is>
      </c>
      <c r="C1346" s="4">
        <f>B1346&amp;D1346</f>
        <v/>
      </c>
      <c r="D1346" s="18" t="inlineStr">
        <is>
          <t>8908BG QC1</t>
        </is>
      </c>
      <c r="E1346" s="4" t="inlineStr">
        <is>
          <t>222F0089BG1</t>
        </is>
      </c>
      <c r="F1346" s="4" t="inlineStr">
        <is>
          <t>89系列四件套缸边浴缸龙头拉丝钛金封油</t>
        </is>
      </c>
      <c r="G1346" s="4" t="inlineStr">
        <is>
          <t>陈巧娴</t>
        </is>
      </c>
      <c r="H1346" s="4" t="inlineStr">
        <is>
          <t>缸边浴缸</t>
        </is>
      </c>
      <c r="I1346" s="12" t="inlineStr">
        <is>
          <t>否</t>
        </is>
      </c>
      <c r="J1346" s="34" t="n">
        <v>45461</v>
      </c>
      <c r="K1346" s="34" t="n">
        <v>45669</v>
      </c>
      <c r="L1346" s="0">
        <f>DATEDIF(J1346,$L$1,"M")</f>
        <v/>
      </c>
      <c r="M1346" s="0">
        <f>IF(L1346&lt;18,"新品期",IF(L1346&lt;=36,"老品期","衰退期"))</f>
        <v/>
      </c>
      <c r="N1346" s="36" t="inlineStr">
        <is>
          <t>2025年6月（含6月）前艺璇负责</t>
        </is>
      </c>
    </row>
    <row r="1347" ht="15" customFormat="1" customHeight="1" s="36">
      <c r="A1347" s="4" t="inlineStr">
        <is>
          <t>Qinkell-US</t>
        </is>
      </c>
      <c r="B1347" s="4" t="inlineStr">
        <is>
          <t>Qinkell美国站</t>
        </is>
      </c>
      <c r="C1347" s="4">
        <f>B1347&amp;D1347</f>
        <v/>
      </c>
      <c r="D1347" s="18" t="inlineStr">
        <is>
          <t>8909CP QC1</t>
        </is>
      </c>
      <c r="E1347" s="4" t="inlineStr">
        <is>
          <t>223F0089CP1</t>
        </is>
      </c>
      <c r="F1347" s="4" t="inlineStr">
        <is>
          <t>89系列五件套缸边浴缸龙头铬色</t>
        </is>
      </c>
      <c r="G1347" s="4" t="inlineStr">
        <is>
          <t>陈巧娴</t>
        </is>
      </c>
      <c r="H1347" s="4" t="inlineStr">
        <is>
          <t>缸边浴缸</t>
        </is>
      </c>
      <c r="I1347" s="12" t="inlineStr">
        <is>
          <t>是</t>
        </is>
      </c>
      <c r="J1347" s="34" t="n">
        <v>45461</v>
      </c>
      <c r="K1347" s="34" t="n">
        <v>45669</v>
      </c>
      <c r="L1347" s="0">
        <f>DATEDIF(J1347,$L$1,"M")</f>
        <v/>
      </c>
      <c r="M1347" s="0">
        <f>IF(L1347&lt;18,"新品期",IF(L1347&lt;=36,"老品期","衰退期"))</f>
        <v/>
      </c>
      <c r="N1347" s="36" t="inlineStr">
        <is>
          <t>2025年6月（含6月）前艺璇负责</t>
        </is>
      </c>
    </row>
    <row r="1348" ht="15" customFormat="1" customHeight="1" s="36">
      <c r="A1348" s="4" t="inlineStr">
        <is>
          <t>soebiz-US</t>
        </is>
      </c>
      <c r="B1348" s="4" t="inlineStr">
        <is>
          <t>Soebiz美国站</t>
        </is>
      </c>
      <c r="C1348" s="4">
        <f>B1348&amp;D1348</f>
        <v/>
      </c>
      <c r="D1348" s="18" t="inlineStr">
        <is>
          <t>SZ-B9906BG</t>
        </is>
      </c>
      <c r="E1348" s="4" t="inlineStr">
        <is>
          <t>230F0099BG1</t>
        </is>
      </c>
      <c r="F1348" s="4" t="inlineStr">
        <is>
          <t>99系列单功能入墙浴缸龙头拉丝钛金封油</t>
        </is>
      </c>
      <c r="G1348" s="4" t="inlineStr">
        <is>
          <t>陈巧娴</t>
        </is>
      </c>
      <c r="H1348" s="4" t="inlineStr">
        <is>
          <t>缸边浴缸</t>
        </is>
      </c>
      <c r="I1348" s="12" t="inlineStr">
        <is>
          <t>是</t>
        </is>
      </c>
      <c r="J1348" s="34" t="n">
        <v>45514</v>
      </c>
      <c r="K1348" s="34" t="n">
        <v>45514</v>
      </c>
      <c r="L1348" s="0">
        <f>DATEDIF(J1348,$L$1,"M")</f>
        <v/>
      </c>
      <c r="M1348" s="0">
        <f>IF(L1348&lt;18,"新品期",IF(L1348&lt;=36,"老品期","衰退期"))</f>
        <v/>
      </c>
      <c r="N1348" s="15" t="inlineStr">
        <is>
          <t>25年5月前胡娟娟负责</t>
        </is>
      </c>
    </row>
    <row r="1349" ht="15" customFormat="1" customHeight="1" s="36">
      <c r="A1349" s="18" t="inlineStr">
        <is>
          <t>Wintap-CA</t>
        </is>
      </c>
      <c r="B1349" s="19" t="inlineStr">
        <is>
          <t>Wintap加拿大站</t>
        </is>
      </c>
      <c r="C1349" s="4">
        <f>B1349&amp;D1349</f>
        <v/>
      </c>
      <c r="D1349" s="18" t="inlineStr">
        <is>
          <t>WT-9002BG</t>
        </is>
      </c>
      <c r="E1349" s="18" t="inlineStr">
        <is>
          <t>211F9002BG1</t>
        </is>
      </c>
      <c r="F1349" s="4" t="inlineStr">
        <is>
          <t>B9002落地浴缸龙头拉丝钛金封油</t>
        </is>
      </c>
      <c r="G1349" s="4" t="inlineStr">
        <is>
          <t>刘皓</t>
        </is>
      </c>
      <c r="H1349" s="4" t="inlineStr">
        <is>
          <t>落地浴缸</t>
        </is>
      </c>
      <c r="I1349" s="12" t="inlineStr">
        <is>
          <t>否</t>
        </is>
      </c>
      <c r="J1349" s="34" t="n">
        <v>45538</v>
      </c>
      <c r="K1349" s="34" t="n">
        <v>45538</v>
      </c>
      <c r="L1349" s="0">
        <f>DATEDIF(J1349,$L$1,"M")</f>
        <v/>
      </c>
      <c r="M1349" s="0">
        <f>IF(L1349&lt;18,"新品期",IF(L1349&lt;=36,"老品期","衰退期"))</f>
        <v/>
      </c>
    </row>
    <row r="1350" ht="15" customFormat="1" customHeight="1" s="36">
      <c r="A1350" s="18" t="inlineStr">
        <is>
          <t>Wintap-CA</t>
        </is>
      </c>
      <c r="B1350" s="19" t="inlineStr">
        <is>
          <t>Wintap加拿大站</t>
        </is>
      </c>
      <c r="C1350" s="4">
        <f>B1350&amp;D1350</f>
        <v/>
      </c>
      <c r="D1350" s="18" t="inlineStr">
        <is>
          <t>WT-9002BK</t>
        </is>
      </c>
      <c r="E1350" s="18" t="inlineStr">
        <is>
          <t>211F9002BK1</t>
        </is>
      </c>
      <c r="F1350" s="4" t="inlineStr">
        <is>
          <t>B9002落地浴缸龙头哑黑</t>
        </is>
      </c>
      <c r="G1350" s="4" t="inlineStr">
        <is>
          <t>刘皓</t>
        </is>
      </c>
      <c r="H1350" s="4" t="inlineStr">
        <is>
          <t>落地浴缸</t>
        </is>
      </c>
      <c r="I1350" s="12" t="inlineStr">
        <is>
          <t>否</t>
        </is>
      </c>
      <c r="J1350" s="34" t="n">
        <v>45538</v>
      </c>
      <c r="K1350" s="34" t="n">
        <v>45538</v>
      </c>
      <c r="L1350" s="0">
        <f>DATEDIF(J1350,$L$1,"M")</f>
        <v/>
      </c>
      <c r="M1350" s="0">
        <f>IF(L1350&lt;18,"新品期",IF(L1350&lt;=36,"老品期","衰退期"))</f>
        <v/>
      </c>
    </row>
    <row r="1351" ht="15" customFormat="1" customHeight="1" s="36">
      <c r="A1351" s="18" t="inlineStr">
        <is>
          <t>Wintap-CA</t>
        </is>
      </c>
      <c r="B1351" s="19" t="inlineStr">
        <is>
          <t>Wintap加拿大站</t>
        </is>
      </c>
      <c r="C1351" s="4">
        <f>B1351&amp;D1351</f>
        <v/>
      </c>
      <c r="D1351" s="18" t="inlineStr">
        <is>
          <t>WT-9002BN</t>
        </is>
      </c>
      <c r="E1351" s="18" t="inlineStr">
        <is>
          <t>211F9002BN1</t>
        </is>
      </c>
      <c r="F1351" s="4" t="inlineStr">
        <is>
          <t>B9002落地浴缸龙头拉丝封油</t>
        </is>
      </c>
      <c r="G1351" s="4" t="inlineStr">
        <is>
          <t>刘皓</t>
        </is>
      </c>
      <c r="H1351" s="4" t="inlineStr">
        <is>
          <t>落地浴缸</t>
        </is>
      </c>
      <c r="I1351" s="12" t="inlineStr">
        <is>
          <t>否</t>
        </is>
      </c>
      <c r="J1351" s="34" t="n">
        <v>45538</v>
      </c>
      <c r="K1351" s="34" t="n">
        <v>45538</v>
      </c>
      <c r="L1351" s="0">
        <f>DATEDIF(J1351,$L$1,"M")</f>
        <v/>
      </c>
      <c r="M1351" s="0">
        <f>IF(L1351&lt;18,"新品期",IF(L1351&lt;=36,"老品期","衰退期"))</f>
        <v/>
      </c>
    </row>
    <row r="1352" ht="15" customFormat="1" customHeight="1" s="36">
      <c r="A1352" s="18" t="inlineStr">
        <is>
          <t>Wintap-CA</t>
        </is>
      </c>
      <c r="B1352" s="19" t="inlineStr">
        <is>
          <t>Wintap加拿大站</t>
        </is>
      </c>
      <c r="C1352" s="4">
        <f>B1352&amp;D1352</f>
        <v/>
      </c>
      <c r="D1352" s="18" t="inlineStr">
        <is>
          <t>WT-9002CP</t>
        </is>
      </c>
      <c r="E1352" s="18" t="inlineStr">
        <is>
          <t>211F9002CP1</t>
        </is>
      </c>
      <c r="F1352" s="4" t="inlineStr">
        <is>
          <t>B9002落地浴缸龙头铬色</t>
        </is>
      </c>
      <c r="G1352" s="4" t="inlineStr">
        <is>
          <t>刘皓</t>
        </is>
      </c>
      <c r="H1352" s="4" t="inlineStr">
        <is>
          <t>落地浴缸</t>
        </is>
      </c>
      <c r="I1352" s="12" t="inlineStr">
        <is>
          <t>否</t>
        </is>
      </c>
      <c r="J1352" s="34" t="n">
        <v>45538</v>
      </c>
      <c r="K1352" s="34" t="n">
        <v>45538</v>
      </c>
      <c r="L1352" s="0">
        <f>DATEDIF(J1352,$L$1,"M")</f>
        <v/>
      </c>
      <c r="M1352" s="0">
        <f>IF(L1352&lt;18,"新品期",IF(L1352&lt;=36,"老品期","衰退期"))</f>
        <v/>
      </c>
    </row>
    <row r="1353" ht="15" customFormat="1" customHeight="1" s="36">
      <c r="A1353" s="18" t="inlineStr">
        <is>
          <t>Wintap-CA</t>
        </is>
      </c>
      <c r="B1353" s="19" t="inlineStr">
        <is>
          <t>Wintap加拿大站</t>
        </is>
      </c>
      <c r="C1353" s="4">
        <f>B1353&amp;D1353</f>
        <v/>
      </c>
      <c r="D1353" s="18" t="inlineStr">
        <is>
          <t>WT-9002ORB</t>
        </is>
      </c>
      <c r="E1353" s="18" t="inlineStr">
        <is>
          <t>211F9002OB1</t>
        </is>
      </c>
      <c r="F1353" s="4" t="inlineStr">
        <is>
          <t>B9002落地浴缸龙头拉丝古铜色</t>
        </is>
      </c>
      <c r="G1353" s="4" t="inlineStr">
        <is>
          <t>刘皓</t>
        </is>
      </c>
      <c r="H1353" s="4" t="inlineStr">
        <is>
          <t>落地浴缸</t>
        </is>
      </c>
      <c r="I1353" s="12" t="inlineStr">
        <is>
          <t>否</t>
        </is>
      </c>
      <c r="J1353" s="34" t="n">
        <v>45538</v>
      </c>
      <c r="K1353" s="34" t="n">
        <v>45538</v>
      </c>
      <c r="L1353" s="0">
        <f>DATEDIF(J1353,$L$1,"M")</f>
        <v/>
      </c>
      <c r="M1353" s="0">
        <f>IF(L1353&lt;18,"新品期",IF(L1353&lt;=36,"老品期","衰退期"))</f>
        <v/>
      </c>
    </row>
    <row r="1354" ht="15" customFormat="1" customHeight="1" s="36">
      <c r="A1354" s="18" t="inlineStr">
        <is>
          <t>KZ-liu-CA</t>
        </is>
      </c>
      <c r="B1354" s="19" t="inlineStr">
        <is>
          <t>Kruzoo加拿大站</t>
        </is>
      </c>
      <c r="C1354" s="4">
        <f>B1354&amp;D1354</f>
        <v/>
      </c>
      <c r="D1354" s="18" t="inlineStr">
        <is>
          <t>LY08083BG</t>
        </is>
      </c>
      <c r="E1354" s="18" t="inlineStr">
        <is>
          <t>321F0122BG1</t>
        </is>
      </c>
      <c r="F1354" s="4" t="inlineStr">
        <is>
          <t>0122二功能吊顶暗装淋浴龙头(顶喷+手持)拉丝钛金封油（12寸吊顶）</t>
        </is>
      </c>
      <c r="G1354" s="4" t="inlineStr">
        <is>
          <t>宋江</t>
        </is>
      </c>
      <c r="H1354" s="4" t="inlineStr">
        <is>
          <t>暗装淋浴</t>
        </is>
      </c>
      <c r="I1354" s="12" t="inlineStr">
        <is>
          <t>是</t>
        </is>
      </c>
      <c r="J1354" s="34" t="n">
        <v>44697</v>
      </c>
      <c r="K1354" s="34" t="n">
        <v>44758</v>
      </c>
      <c r="L1354" s="0">
        <f>DATEDIF(J1354,$L$1,"M")</f>
        <v/>
      </c>
      <c r="M1354" s="0">
        <f>IF(L1354&lt;18,"新品期",IF(L1354&lt;=36,"老品期","衰退期"))</f>
        <v/>
      </c>
      <c r="N1354" s="36" t="inlineStr">
        <is>
          <t>2025年9月8以前何嘉威负责</t>
        </is>
      </c>
    </row>
    <row r="1355" ht="15" customFormat="1" customHeight="1" s="36">
      <c r="A1355" s="18" t="inlineStr">
        <is>
          <t>KZ-liu-CA</t>
        </is>
      </c>
      <c r="B1355" s="19" t="inlineStr">
        <is>
          <t>Kruzoo加拿大站</t>
        </is>
      </c>
      <c r="C1355" s="4">
        <f>B1355&amp;D1355</f>
        <v/>
      </c>
      <c r="D1355" s="18" t="inlineStr">
        <is>
          <t>YG6302CP</t>
        </is>
      </c>
      <c r="E1355" s="18" t="inlineStr">
        <is>
          <t>221F6301CP1</t>
        </is>
      </c>
      <c r="F1355" s="4" t="inlineStr">
        <is>
          <t>6301三件套缸边浴缸龙头铬</t>
        </is>
      </c>
      <c r="G1355" s="4" t="inlineStr">
        <is>
          <t>胡娟娟</t>
        </is>
      </c>
      <c r="H1355" s="4" t="inlineStr">
        <is>
          <t>缸边浴缸</t>
        </is>
      </c>
      <c r="I1355" s="12" t="inlineStr">
        <is>
          <t>是</t>
        </is>
      </c>
      <c r="J1355" s="34" t="n">
        <v>43989</v>
      </c>
      <c r="K1355" s="34" t="n">
        <v>43989</v>
      </c>
      <c r="L1355" s="0">
        <f>DATEDIF(J1355,$L$1,"M")</f>
        <v/>
      </c>
      <c r="M1355" s="0">
        <f>IF(L1355&lt;18,"新品期",IF(L1355&lt;=36,"老品期","衰退期"))</f>
        <v/>
      </c>
    </row>
    <row r="1356" ht="15" customFormat="1" customHeight="1" s="36">
      <c r="A1356" s="18" t="inlineStr">
        <is>
          <t>Lexdale-US</t>
        </is>
      </c>
      <c r="B1356" s="19" t="inlineStr">
        <is>
          <t>Lexdale美国站</t>
        </is>
      </c>
      <c r="C1356" s="4">
        <f>B1356&amp;D1356</f>
        <v/>
      </c>
      <c r="D1356" s="18" t="inlineStr">
        <is>
          <t>LD8911BN</t>
        </is>
      </c>
      <c r="E1356" s="18" t="inlineStr">
        <is>
          <t>211F0089BN1</t>
        </is>
      </c>
      <c r="F1356" s="4" t="inlineStr">
        <is>
          <t>8911落地浴缸龙头拉丝封油</t>
        </is>
      </c>
      <c r="G1356" s="36" t="inlineStr">
        <is>
          <t>刘皓</t>
        </is>
      </c>
      <c r="H1356" s="4" t="inlineStr">
        <is>
          <t>落地浴缸</t>
        </is>
      </c>
      <c r="I1356" s="12" t="inlineStr">
        <is>
          <t>否</t>
        </is>
      </c>
      <c r="J1356" s="34" t="n">
        <v>45717</v>
      </c>
      <c r="K1356" s="13" t="n">
        <v>45806</v>
      </c>
      <c r="L1356" s="0">
        <f>DATEDIF(J1356,$L$1,"M")</f>
        <v/>
      </c>
      <c r="M1356" s="0">
        <f>IF(L1356&lt;18,"新品期",IF(L1356&lt;=36,"老品期","衰退期"))</f>
        <v/>
      </c>
      <c r="N1356" s="36" t="inlineStr">
        <is>
          <t>2026年4月17日之前王幸负责</t>
        </is>
      </c>
    </row>
    <row r="1357" ht="15" customFormat="1" customHeight="1" s="36">
      <c r="A1357" s="4" t="inlineStr">
        <is>
          <t>Wintap-US</t>
        </is>
      </c>
      <c r="B1357" s="4" t="inlineStr">
        <is>
          <t>Wintap美国站</t>
        </is>
      </c>
      <c r="C1357" s="4">
        <f>B1357&amp;D1357</f>
        <v/>
      </c>
      <c r="D1357" s="4" t="inlineStr">
        <is>
          <t>WT-0002ZZ</t>
        </is>
      </c>
      <c r="E1357" s="4" t="inlineStr">
        <is>
          <t>130F0104BK1</t>
        </is>
      </c>
      <c r="F1357" s="4" t="inlineStr">
        <is>
          <t>0104四寸连体面盆龙头电泳黑</t>
        </is>
      </c>
      <c r="G1357" s="4" t="inlineStr">
        <is>
          <t>童劲威</t>
        </is>
      </c>
      <c r="H1357" s="4" t="inlineStr">
        <is>
          <t>面盆</t>
        </is>
      </c>
      <c r="I1357" s="12" t="inlineStr">
        <is>
          <t>是</t>
        </is>
      </c>
      <c r="J1357" s="34" t="n">
        <v>44786</v>
      </c>
      <c r="K1357" s="34" t="n">
        <v>44786</v>
      </c>
      <c r="L1357" s="0">
        <f>DATEDIF(J1357,$L$1,"M")</f>
        <v/>
      </c>
      <c r="M1357" s="0">
        <f>IF(L1357&lt;18,"新品期",IF(L1357&lt;=36,"老品期","衰退期"))</f>
        <v/>
      </c>
    </row>
    <row r="1358" ht="15" customFormat="1" customHeight="1" s="36">
      <c r="A1358" s="4" t="inlineStr">
        <is>
          <t>Wintap-US</t>
        </is>
      </c>
      <c r="B1358" s="4" t="inlineStr">
        <is>
          <t>Wintap美国站</t>
        </is>
      </c>
      <c r="C1358" s="4">
        <f>B1358&amp;D1358</f>
        <v/>
      </c>
      <c r="D1358" s="4" t="inlineStr">
        <is>
          <t>WT-0003ZZ</t>
        </is>
      </c>
      <c r="E1358" s="4" t="inlineStr">
        <is>
          <t>130F0104BN1</t>
        </is>
      </c>
      <c r="F1358" s="4" t="inlineStr">
        <is>
          <t>0104四寸连体面盆龙头拉丝封油</t>
        </is>
      </c>
      <c r="G1358" s="4" t="inlineStr">
        <is>
          <t>童劲威</t>
        </is>
      </c>
      <c r="H1358" s="4" t="inlineStr">
        <is>
          <t>面盆</t>
        </is>
      </c>
      <c r="I1358" s="12" t="inlineStr">
        <is>
          <t>是</t>
        </is>
      </c>
      <c r="J1358" s="34" t="n">
        <v>44786</v>
      </c>
      <c r="K1358" s="34" t="n">
        <v>44786</v>
      </c>
      <c r="L1358" s="0">
        <f>DATEDIF(J1358,$L$1,"M")</f>
        <v/>
      </c>
      <c r="M1358" s="0">
        <f>IF(L1358&lt;18,"新品期",IF(L1358&lt;=36,"老品期","衰退期"))</f>
        <v/>
      </c>
    </row>
    <row r="1359" ht="15" customFormat="1" customHeight="1" s="36">
      <c r="A1359" s="4" t="inlineStr">
        <is>
          <t>Wintap-US</t>
        </is>
      </c>
      <c r="B1359" s="4" t="inlineStr">
        <is>
          <t>Wintap美国站</t>
        </is>
      </c>
      <c r="C1359" s="4">
        <f>B1359&amp;D1359</f>
        <v/>
      </c>
      <c r="D1359" s="4" t="inlineStr">
        <is>
          <t>WT-0004ZZ</t>
        </is>
      </c>
      <c r="E1359" s="4" t="inlineStr">
        <is>
          <t>130F0104BG1</t>
        </is>
      </c>
      <c r="F1359" s="4" t="inlineStr">
        <is>
          <t>0104四寸连体面盆龙头拉丝钛金封油</t>
        </is>
      </c>
      <c r="G1359" s="4" t="inlineStr">
        <is>
          <t>童劲威</t>
        </is>
      </c>
      <c r="H1359" s="4" t="inlineStr">
        <is>
          <t>面盆</t>
        </is>
      </c>
      <c r="I1359" s="12" t="inlineStr">
        <is>
          <t>是</t>
        </is>
      </c>
      <c r="J1359" s="34" t="n">
        <v>44786</v>
      </c>
      <c r="K1359" s="34" t="n">
        <v>44786</v>
      </c>
      <c r="L1359" s="0">
        <f>DATEDIF(J1359,$L$1,"M")</f>
        <v/>
      </c>
      <c r="M1359" s="0">
        <f>IF(L1359&lt;18,"新品期",IF(L1359&lt;=36,"老品期","衰退期"))</f>
        <v/>
      </c>
    </row>
    <row r="1360" ht="15" customFormat="1" customHeight="1" s="36">
      <c r="A1360" s="18" t="inlineStr">
        <is>
          <t>Wintap-US</t>
        </is>
      </c>
      <c r="B1360" s="19" t="inlineStr">
        <is>
          <t>Wintap美国站</t>
        </is>
      </c>
      <c r="C1360" s="4">
        <f>B1360&amp;D1360</f>
        <v/>
      </c>
      <c r="D1360" s="18" t="inlineStr">
        <is>
          <t>WT-9805BK</t>
        </is>
      </c>
      <c r="E1360" s="18" t="inlineStr">
        <is>
          <t>150F0098BK1</t>
        </is>
      </c>
      <c r="F1360" s="4" t="inlineStr">
        <is>
          <t>98系列入墙面盆龙头电泳黑</t>
        </is>
      </c>
      <c r="G1360" s="4" t="inlineStr">
        <is>
          <t>曾志发</t>
        </is>
      </c>
      <c r="H1360" s="4" t="inlineStr">
        <is>
          <t>面盆</t>
        </is>
      </c>
      <c r="I1360" s="12" t="inlineStr">
        <is>
          <t>是</t>
        </is>
      </c>
      <c r="J1360" s="34" t="n">
        <v>44786</v>
      </c>
      <c r="K1360" s="34" t="n">
        <v>44786</v>
      </c>
      <c r="L1360" s="0">
        <f>DATEDIF(J1360,$L$1,"M")</f>
        <v/>
      </c>
      <c r="M1360" s="0">
        <f>IF(L1360&lt;18,"新品期",IF(L1360&lt;=36,"老品期","衰退期"))</f>
        <v/>
      </c>
      <c r="N1360" s="36" t="inlineStr">
        <is>
          <t>2025年9月1号以前梁丽梅负责</t>
        </is>
      </c>
    </row>
    <row r="1361" ht="15" customFormat="1" customHeight="1" s="36">
      <c r="A1361" s="18" t="inlineStr">
        <is>
          <t>Wintap-US</t>
        </is>
      </c>
      <c r="B1361" s="19" t="inlineStr">
        <is>
          <t>Wintap美国站</t>
        </is>
      </c>
      <c r="C1361" s="4">
        <f>B1361&amp;D1361</f>
        <v/>
      </c>
      <c r="D1361" s="18" t="inlineStr">
        <is>
          <t>WT-9805BKZZ03</t>
        </is>
      </c>
      <c r="E1361" s="18" t="inlineStr">
        <is>
          <t>150F0098BK1</t>
        </is>
      </c>
      <c r="F1361" s="4" t="inlineStr">
        <is>
          <t>98系列入墙面盆龙头电泳黑</t>
        </is>
      </c>
      <c r="G1361" s="4" t="inlineStr">
        <is>
          <t>曾志发</t>
        </is>
      </c>
      <c r="H1361" s="4" t="inlineStr">
        <is>
          <t>面盆</t>
        </is>
      </c>
      <c r="I1361" s="12" t="inlineStr">
        <is>
          <t>是</t>
        </is>
      </c>
      <c r="J1361" s="34" t="n">
        <v>44786</v>
      </c>
      <c r="K1361" s="34" t="n">
        <v>44786</v>
      </c>
      <c r="L1361" s="0">
        <f>DATEDIF(J1361,$L$1,"M")</f>
        <v/>
      </c>
      <c r="M1361" s="0">
        <f>IF(L1361&lt;18,"新品期",IF(L1361&lt;=36,"老品期","衰退期"))</f>
        <v/>
      </c>
      <c r="N1361" s="36" t="inlineStr">
        <is>
          <t>2025年9月1号以前梁丽梅负责</t>
        </is>
      </c>
    </row>
    <row r="1362" ht="15" customFormat="1" customHeight="1" s="36">
      <c r="A1362" s="18" t="inlineStr">
        <is>
          <t>Wintap-US</t>
        </is>
      </c>
      <c r="B1362" s="19" t="inlineStr">
        <is>
          <t>Wintap美国站</t>
        </is>
      </c>
      <c r="C1362" s="4">
        <f>B1362&amp;D1362</f>
        <v/>
      </c>
      <c r="D1362" s="18" t="inlineStr">
        <is>
          <t>WT-9808BNZZ</t>
        </is>
      </c>
      <c r="E1362" s="18" t="inlineStr">
        <is>
          <t>222F0098BN1</t>
        </is>
      </c>
      <c r="F1362" s="4" t="inlineStr">
        <is>
          <t>98系列四件套缸边浴缸龙头拉丝封油</t>
        </is>
      </c>
      <c r="G1362" s="4" t="inlineStr">
        <is>
          <t>陈巧娴</t>
        </is>
      </c>
      <c r="H1362" s="4" t="inlineStr">
        <is>
          <t>缸边浴缸</t>
        </is>
      </c>
      <c r="I1362" s="12" t="inlineStr">
        <is>
          <t>否</t>
        </is>
      </c>
      <c r="J1362" s="34" t="n">
        <v>45588</v>
      </c>
      <c r="K1362" s="34" t="n">
        <v>45588</v>
      </c>
      <c r="L1362" s="0">
        <f>DATEDIF(J1362,$L$1,"M")</f>
        <v/>
      </c>
      <c r="M1362" s="0">
        <f>IF(L1362&lt;18,"新品期",IF(L1362&lt;=36,"老品期","衰退期"))</f>
        <v/>
      </c>
      <c r="N1362" s="15" t="inlineStr">
        <is>
          <t>25年5月前胡娟娟负责</t>
        </is>
      </c>
    </row>
    <row r="1363" ht="15" customFormat="1" customHeight="1" s="36">
      <c r="A1363" s="4" t="inlineStr">
        <is>
          <t>Hanallx-US</t>
        </is>
      </c>
      <c r="B1363" s="4" t="inlineStr">
        <is>
          <t>Hanallx美国站</t>
        </is>
      </c>
      <c r="C1363" s="4">
        <f>B1363&amp;D1363</f>
        <v/>
      </c>
      <c r="D1363" s="4" t="inlineStr">
        <is>
          <t>HM-1005-BNZZ</t>
        </is>
      </c>
      <c r="E1363" s="4" t="inlineStr">
        <is>
          <t>211F1005BN3</t>
        </is>
      </c>
      <c r="F1363" s="4" t="inlineStr">
        <is>
          <t>1005二功能落地浴缸龙头拉丝PVD</t>
        </is>
      </c>
      <c r="G1363" s="4" t="inlineStr">
        <is>
          <t>刘皓</t>
        </is>
      </c>
      <c r="H1363" s="4" t="inlineStr">
        <is>
          <t>落地浴缸</t>
        </is>
      </c>
      <c r="I1363" s="12" t="inlineStr">
        <is>
          <t>否</t>
        </is>
      </c>
      <c r="J1363" s="34" t="n">
        <v>45796</v>
      </c>
      <c r="K1363" s="34" t="n">
        <v>45796</v>
      </c>
      <c r="L1363" s="0">
        <f>DATEDIF(J1363,$L$1,"M")</f>
        <v/>
      </c>
      <c r="M1363" s="0">
        <f>IF(L1363&lt;18,"新品期",IF(L1363&lt;=36,"老品期","衰退期"))</f>
        <v/>
      </c>
    </row>
    <row r="1364" ht="15" customFormat="1" customHeight="1" s="36">
      <c r="A1364" s="4" t="inlineStr">
        <is>
          <t>Hanallx-US</t>
        </is>
      </c>
      <c r="B1364" s="4" t="inlineStr">
        <is>
          <t>Hanallx美国站</t>
        </is>
      </c>
      <c r="C1364" s="4">
        <f>B1364&amp;D1364</f>
        <v/>
      </c>
      <c r="D1364" s="4" t="inlineStr">
        <is>
          <t>HM-9911-BGZZ</t>
        </is>
      </c>
      <c r="E1364" s="4" t="inlineStr">
        <is>
          <t>211F0099BG1</t>
        </is>
      </c>
      <c r="F1364" s="4" t="inlineStr">
        <is>
          <t>99系列二功能落地浴缸龙头拉丝钛金封油</t>
        </is>
      </c>
      <c r="G1364" s="4" t="inlineStr">
        <is>
          <t>刘皓</t>
        </is>
      </c>
      <c r="H1364" s="4" t="inlineStr">
        <is>
          <t>落地浴缸</t>
        </is>
      </c>
      <c r="I1364" s="12" t="inlineStr">
        <is>
          <t>否</t>
        </is>
      </c>
      <c r="J1364" s="34" t="n">
        <v>45796</v>
      </c>
      <c r="K1364" s="34" t="n">
        <v>45796</v>
      </c>
      <c r="L1364" s="0">
        <f>DATEDIF(J1364,$L$1,"M")</f>
        <v/>
      </c>
      <c r="M1364" s="0">
        <f>IF(L1364&lt;18,"新品期",IF(L1364&lt;=36,"老品期","衰退期"))</f>
        <v/>
      </c>
    </row>
    <row r="1365" ht="15" customFormat="1" customHeight="1" s="36">
      <c r="A1365" s="4" t="inlineStr">
        <is>
          <t>Hanallx-US</t>
        </is>
      </c>
      <c r="B1365" s="4" t="inlineStr">
        <is>
          <t>Hanallx美国站</t>
        </is>
      </c>
      <c r="C1365" s="4">
        <f>B1365&amp;D1365</f>
        <v/>
      </c>
      <c r="D1365" s="4" t="inlineStr">
        <is>
          <t>HM-9911-BNZZ</t>
        </is>
      </c>
      <c r="E1365" s="4" t="inlineStr">
        <is>
          <t>211F0099BN1</t>
        </is>
      </c>
      <c r="F1365" s="4" t="inlineStr">
        <is>
          <t>99系列二功能落地浴缸龙头拉丝封油</t>
        </is>
      </c>
      <c r="G1365" s="4" t="inlineStr">
        <is>
          <t>刘皓</t>
        </is>
      </c>
      <c r="H1365" s="4" t="inlineStr">
        <is>
          <t>落地浴缸</t>
        </is>
      </c>
      <c r="I1365" s="12" t="inlineStr">
        <is>
          <t>否</t>
        </is>
      </c>
      <c r="J1365" s="34" t="n">
        <v>45796</v>
      </c>
      <c r="K1365" s="34" t="n">
        <v>45796</v>
      </c>
      <c r="L1365" s="0">
        <f>DATEDIF(J1365,$L$1,"M")</f>
        <v/>
      </c>
      <c r="M1365" s="0">
        <f>IF(L1365&lt;18,"新品期",IF(L1365&lt;=36,"老品期","衰退期"))</f>
        <v/>
      </c>
    </row>
    <row r="1366" ht="15" customFormat="1" customHeight="1" s="36">
      <c r="A1366" s="4" t="inlineStr">
        <is>
          <t>NAUKWAN-US</t>
        </is>
      </c>
      <c r="B1366" s="4" t="inlineStr">
        <is>
          <t>Naukwan美国站</t>
        </is>
      </c>
      <c r="C1366" s="4">
        <f>B1366&amp;D1366</f>
        <v/>
      </c>
      <c r="D1366" s="4" t="inlineStr">
        <is>
          <t>11-BK-ZZ1</t>
        </is>
      </c>
      <c r="E1366" s="4" t="inlineStr">
        <is>
          <t>211F1005BK2</t>
        </is>
      </c>
      <c r="F1366" s="4" t="inlineStr">
        <is>
          <t>1005二功能落地浴缸龙头酸铜发黑</t>
        </is>
      </c>
      <c r="G1366" s="4" t="inlineStr">
        <is>
          <t>刘皓</t>
        </is>
      </c>
      <c r="H1366" s="4" t="inlineStr">
        <is>
          <t>落地浴缸</t>
        </is>
      </c>
      <c r="I1366" s="12" t="inlineStr">
        <is>
          <t>是</t>
        </is>
      </c>
      <c r="J1366" s="25" t="n">
        <v>45710</v>
      </c>
      <c r="K1366" s="25" t="n">
        <v>45710</v>
      </c>
      <c r="L1366" s="0">
        <f>DATEDIF(J1366,$L$1,"M")</f>
        <v/>
      </c>
      <c r="M1366" s="0">
        <f>IF(L1366&lt;18,"新品期",IF(L1366&lt;=36,"老品期","衰退期"))</f>
        <v/>
      </c>
      <c r="N1366" s="36" t="inlineStr">
        <is>
          <t>种子链接</t>
        </is>
      </c>
    </row>
    <row r="1367" ht="15" customFormat="1" customHeight="1" s="36">
      <c r="A1367" s="4" t="inlineStr">
        <is>
          <t>NAUKWAN-US</t>
        </is>
      </c>
      <c r="B1367" s="4" t="inlineStr">
        <is>
          <t>Naukwan美国站</t>
        </is>
      </c>
      <c r="C1367" s="4">
        <f>B1367&amp;D1367</f>
        <v/>
      </c>
      <c r="D1367" s="4" t="inlineStr">
        <is>
          <t>11-BN-ZZ1</t>
        </is>
      </c>
      <c r="E1367" s="4" t="inlineStr">
        <is>
          <t>211F1005BN3</t>
        </is>
      </c>
      <c r="F1367" s="4" t="inlineStr">
        <is>
          <t>1005二功能落地浴缸龙头拉丝PVD</t>
        </is>
      </c>
      <c r="G1367" s="4" t="inlineStr">
        <is>
          <t>刘皓</t>
        </is>
      </c>
      <c r="H1367" s="4" t="inlineStr">
        <is>
          <t>落地浴缸</t>
        </is>
      </c>
      <c r="I1367" s="12" t="inlineStr">
        <is>
          <t>是</t>
        </is>
      </c>
      <c r="J1367" s="25" t="n">
        <v>45710</v>
      </c>
      <c r="K1367" s="25" t="n">
        <v>45710</v>
      </c>
      <c r="L1367" s="0">
        <f>DATEDIF(J1367,$L$1,"M")</f>
        <v/>
      </c>
      <c r="M1367" s="0">
        <f>IF(L1367&lt;18,"新品期",IF(L1367&lt;=36,"老品期","衰退期"))</f>
        <v/>
      </c>
      <c r="N1367" s="36" t="inlineStr">
        <is>
          <t>种子链接</t>
        </is>
      </c>
    </row>
    <row r="1368" ht="15" customFormat="1" customHeight="1" s="36">
      <c r="A1368" s="4" t="inlineStr">
        <is>
          <t>NAUKWAN-US</t>
        </is>
      </c>
      <c r="B1368" s="4" t="inlineStr">
        <is>
          <t>Naukwan美国站</t>
        </is>
      </c>
      <c r="C1368" s="4">
        <f>B1368&amp;D1368</f>
        <v/>
      </c>
      <c r="D1368" s="4" t="inlineStr">
        <is>
          <t>11-BN-ZZ2</t>
        </is>
      </c>
      <c r="E1368" s="4" t="inlineStr">
        <is>
          <t>211F1005BN3</t>
        </is>
      </c>
      <c r="F1368" s="4" t="inlineStr">
        <is>
          <t>1005二功能落地浴缸龙头拉丝PVD</t>
        </is>
      </c>
      <c r="G1368" s="4" t="inlineStr">
        <is>
          <t>刘皓</t>
        </is>
      </c>
      <c r="H1368" s="4" t="inlineStr">
        <is>
          <t>落地浴缸</t>
        </is>
      </c>
      <c r="I1368" s="12" t="inlineStr">
        <is>
          <t>是</t>
        </is>
      </c>
      <c r="J1368" s="25" t="n">
        <v>45710</v>
      </c>
      <c r="K1368" s="25" t="n">
        <v>45710</v>
      </c>
      <c r="L1368" s="0">
        <f>DATEDIF(J1368,$L$1,"M")</f>
        <v/>
      </c>
      <c r="M1368" s="0">
        <f>IF(L1368&lt;18,"新品期",IF(L1368&lt;=36,"老品期","衰退期"))</f>
        <v/>
      </c>
      <c r="N1368" s="36" t="inlineStr">
        <is>
          <t>种子链接</t>
        </is>
      </c>
    </row>
    <row r="1369" ht="15" customFormat="1" customHeight="1" s="36">
      <c r="A1369" s="4" t="inlineStr">
        <is>
          <t>NAUKWAN-US</t>
        </is>
      </c>
      <c r="B1369" s="4" t="inlineStr">
        <is>
          <t>Naukwan美国站</t>
        </is>
      </c>
      <c r="C1369" s="4">
        <f>B1369&amp;D1369</f>
        <v/>
      </c>
      <c r="D1369" s="4" t="inlineStr">
        <is>
          <t>11-ORB-ZZ1</t>
        </is>
      </c>
      <c r="E1369" s="4" t="inlineStr">
        <is>
          <t>211F1005OB1</t>
        </is>
      </c>
      <c r="F1369" s="4" t="inlineStr">
        <is>
          <t>1005二功能落地浴缸龙头拉丝古铜色</t>
        </is>
      </c>
      <c r="G1369" s="4" t="inlineStr">
        <is>
          <t>刘皓</t>
        </is>
      </c>
      <c r="H1369" s="4" t="inlineStr">
        <is>
          <t>落地浴缸</t>
        </is>
      </c>
      <c r="I1369" s="12" t="inlineStr">
        <is>
          <t>是</t>
        </is>
      </c>
      <c r="J1369" s="25" t="n">
        <v>45710</v>
      </c>
      <c r="K1369" s="25" t="n">
        <v>45710</v>
      </c>
      <c r="L1369" s="0">
        <f>DATEDIF(J1369,$L$1,"M")</f>
        <v/>
      </c>
      <c r="M1369" s="0">
        <f>IF(L1369&lt;18,"新品期",IF(L1369&lt;=36,"老品期","衰退期"))</f>
        <v/>
      </c>
      <c r="N1369" s="36" t="inlineStr">
        <is>
          <t>种子链接</t>
        </is>
      </c>
    </row>
    <row r="1370" ht="15" customFormat="1" customHeight="1" s="36">
      <c r="A1370" s="4" t="inlineStr">
        <is>
          <t>NAUKWAN-US</t>
        </is>
      </c>
      <c r="B1370" s="4" t="inlineStr">
        <is>
          <t>Naukwan美国站</t>
        </is>
      </c>
      <c r="C1370" s="4">
        <f>B1370&amp;D1370</f>
        <v/>
      </c>
      <c r="D1370" s="4" t="inlineStr">
        <is>
          <t>11-ORB-ZZ2</t>
        </is>
      </c>
      <c r="E1370" s="4" t="inlineStr">
        <is>
          <t>211F1005OB1</t>
        </is>
      </c>
      <c r="F1370" s="4" t="inlineStr">
        <is>
          <t>1005二功能落地浴缸龙头拉丝古铜色</t>
        </is>
      </c>
      <c r="G1370" s="4" t="inlineStr">
        <is>
          <t>刘皓</t>
        </is>
      </c>
      <c r="H1370" s="4" t="inlineStr">
        <is>
          <t>落地浴缸</t>
        </is>
      </c>
      <c r="I1370" s="12" t="inlineStr">
        <is>
          <t>是</t>
        </is>
      </c>
      <c r="J1370" s="25" t="n">
        <v>45710</v>
      </c>
      <c r="K1370" s="25" t="n">
        <v>45710</v>
      </c>
      <c r="L1370" s="0">
        <f>DATEDIF(J1370,$L$1,"M")</f>
        <v/>
      </c>
      <c r="M1370" s="0">
        <f>IF(L1370&lt;18,"新品期",IF(L1370&lt;=36,"老品期","衰退期"))</f>
        <v/>
      </c>
      <c r="N1370" s="36" t="inlineStr">
        <is>
          <t>种子链接</t>
        </is>
      </c>
    </row>
    <row r="1371" ht="15" customFormat="1" customHeight="1" s="36">
      <c r="A1371" s="4" t="inlineStr">
        <is>
          <t>NAUKWAN-US</t>
        </is>
      </c>
      <c r="B1371" s="4" t="inlineStr">
        <is>
          <t>Naukwan美国站</t>
        </is>
      </c>
      <c r="C1371" s="4">
        <f>B1371&amp;D1371</f>
        <v/>
      </c>
      <c r="D1371" s="4" t="inlineStr">
        <is>
          <t>12-BK-ZZ-1</t>
        </is>
      </c>
      <c r="E1371" s="4" t="inlineStr">
        <is>
          <t>320F0099BK1</t>
        </is>
      </c>
      <c r="F1371" s="4" t="inlineStr">
        <is>
          <t>99系列二功能入墙暗装淋浴龙头（顶喷+手持）电泳黑</t>
        </is>
      </c>
      <c r="G1371" s="4" t="inlineStr">
        <is>
          <t>宋江</t>
        </is>
      </c>
      <c r="H1371" s="4" t="inlineStr">
        <is>
          <t>暗装淋浴</t>
        </is>
      </c>
      <c r="I1371" s="12" t="inlineStr">
        <is>
          <t>是</t>
        </is>
      </c>
      <c r="J1371" s="34" t="n">
        <v>45620</v>
      </c>
      <c r="K1371" s="25" t="n">
        <v>45681</v>
      </c>
      <c r="L1371" s="0">
        <f>DATEDIF(J1371,$L$1,"M")</f>
        <v/>
      </c>
      <c r="M1371" s="0">
        <f>IF(L1371&lt;18,"新品期",IF(L1371&lt;=36,"老品期","衰退期"))</f>
        <v/>
      </c>
      <c r="N1371" s="36" t="inlineStr">
        <is>
          <t>清完不卖，2025年9月8以前何嘉威负责</t>
        </is>
      </c>
    </row>
    <row r="1372" ht="15" customFormat="1" customHeight="1" s="36">
      <c r="A1372" s="4" t="inlineStr">
        <is>
          <t>NAUKWAN-US</t>
        </is>
      </c>
      <c r="B1372" s="4" t="inlineStr">
        <is>
          <t>Naukwan美国站</t>
        </is>
      </c>
      <c r="C1372" s="4">
        <f>B1372&amp;D1372</f>
        <v/>
      </c>
      <c r="D1372" s="4" t="inlineStr">
        <is>
          <t>12-BK-ZZ-2</t>
        </is>
      </c>
      <c r="E1372" s="4" t="inlineStr">
        <is>
          <t>320F0099BK1</t>
        </is>
      </c>
      <c r="F1372" s="4" t="inlineStr">
        <is>
          <t>99系列二功能入墙暗装淋浴龙头（顶喷+手持）电泳黑</t>
        </is>
      </c>
      <c r="G1372" s="4" t="inlineStr">
        <is>
          <t>宋江</t>
        </is>
      </c>
      <c r="H1372" s="4" t="inlineStr">
        <is>
          <t>暗装淋浴</t>
        </is>
      </c>
      <c r="I1372" s="12" t="inlineStr">
        <is>
          <t>是</t>
        </is>
      </c>
      <c r="J1372" s="34" t="n">
        <v>45620</v>
      </c>
      <c r="K1372" s="25" t="n">
        <v>45681</v>
      </c>
      <c r="L1372" s="0">
        <f>DATEDIF(J1372,$L$1,"M")</f>
        <v/>
      </c>
      <c r="M1372" s="0">
        <f>IF(L1372&lt;18,"新品期",IF(L1372&lt;=36,"老品期","衰退期"))</f>
        <v/>
      </c>
      <c r="N1372" s="36" t="inlineStr">
        <is>
          <t>清完不卖，2025年9月8以前何嘉威负责</t>
        </is>
      </c>
    </row>
    <row r="1373" ht="15" customFormat="1" customHeight="1" s="36">
      <c r="A1373" s="4" t="inlineStr">
        <is>
          <t>NAUKWAN-US</t>
        </is>
      </c>
      <c r="B1373" s="4" t="inlineStr">
        <is>
          <t>Naukwan美国站</t>
        </is>
      </c>
      <c r="C1373" s="4">
        <f>B1373&amp;D1373</f>
        <v/>
      </c>
      <c r="D1373" s="4" t="inlineStr">
        <is>
          <t>12-BN-ZZ-1</t>
        </is>
      </c>
      <c r="E1373" s="4" t="inlineStr">
        <is>
          <t>320F0099BN1</t>
        </is>
      </c>
      <c r="F1373" s="4" t="inlineStr">
        <is>
          <t>99系列二功能入墙暗装淋浴龙头（顶喷+手持）拉丝封油</t>
        </is>
      </c>
      <c r="G1373" s="4" t="inlineStr">
        <is>
          <t>宋江</t>
        </is>
      </c>
      <c r="H1373" s="4" t="inlineStr">
        <is>
          <t>暗装淋浴</t>
        </is>
      </c>
      <c r="I1373" s="12" t="inlineStr">
        <is>
          <t>是</t>
        </is>
      </c>
      <c r="J1373" s="34" t="n">
        <v>45620</v>
      </c>
      <c r="K1373" s="25" t="n">
        <v>45681</v>
      </c>
      <c r="L1373" s="0">
        <f>DATEDIF(J1373,$L$1,"M")</f>
        <v/>
      </c>
      <c r="M1373" s="0">
        <f>IF(L1373&lt;18,"新品期",IF(L1373&lt;=36,"老品期","衰退期"))</f>
        <v/>
      </c>
      <c r="N1373" s="36" t="inlineStr">
        <is>
          <t>清完不卖，2025年9月8以前何嘉威负责</t>
        </is>
      </c>
    </row>
    <row r="1374" ht="15" customFormat="1" customHeight="1" s="36">
      <c r="A1374" s="4" t="inlineStr">
        <is>
          <t>NAUKWAN-US</t>
        </is>
      </c>
      <c r="B1374" s="4" t="inlineStr">
        <is>
          <t>Naukwan美国站</t>
        </is>
      </c>
      <c r="C1374" s="4">
        <f>B1374&amp;D1374</f>
        <v/>
      </c>
      <c r="D1374" s="4" t="inlineStr">
        <is>
          <t>12-ORB-ZZ-1</t>
        </is>
      </c>
      <c r="E1374" s="4" t="inlineStr">
        <is>
          <t>320F0099OB1</t>
        </is>
      </c>
      <c r="F1374" s="4" t="inlineStr">
        <is>
          <t>99系列二功能入墙暗装淋浴龙头（顶喷+手持） 拉丝古铜色</t>
        </is>
      </c>
      <c r="G1374" s="4" t="inlineStr">
        <is>
          <t>宋江</t>
        </is>
      </c>
      <c r="H1374" s="4" t="inlineStr">
        <is>
          <t>暗装淋浴</t>
        </is>
      </c>
      <c r="I1374" s="12" t="inlineStr">
        <is>
          <t>是</t>
        </is>
      </c>
      <c r="J1374" s="34" t="n">
        <v>45620</v>
      </c>
      <c r="K1374" s="25" t="n">
        <v>45681</v>
      </c>
      <c r="L1374" s="0">
        <f>DATEDIF(J1374,$L$1,"M")</f>
        <v/>
      </c>
      <c r="M1374" s="0">
        <f>IF(L1374&lt;18,"新品期",IF(L1374&lt;=36,"老品期","衰退期"))</f>
        <v/>
      </c>
      <c r="N1374" s="36" t="inlineStr">
        <is>
          <t>清完不卖，2025年9月8以前何嘉威负责</t>
        </is>
      </c>
    </row>
    <row r="1375" ht="15" customFormat="1" customHeight="1" s="36">
      <c r="A1375" s="4" t="inlineStr">
        <is>
          <t>Wintap-US</t>
        </is>
      </c>
      <c r="B1375" s="4" t="inlineStr">
        <is>
          <t>Wintap美国站</t>
        </is>
      </c>
      <c r="C1375" s="4">
        <f>B1375&amp;D1375</f>
        <v/>
      </c>
      <c r="D1375" s="4" t="inlineStr">
        <is>
          <t>I1-RT7Z-QBUW</t>
        </is>
      </c>
      <c r="E1375" s="4" t="inlineStr">
        <is>
          <t>211F9002BK1</t>
        </is>
      </c>
      <c r="F1375" s="4" t="inlineStr">
        <is>
          <t>B9002落地浴缸龙头哑黑</t>
        </is>
      </c>
      <c r="G1375" s="4" t="inlineStr">
        <is>
          <t>/</t>
        </is>
      </c>
      <c r="H1375" s="4" t="inlineStr">
        <is>
          <t>落地浴缸</t>
        </is>
      </c>
      <c r="I1375" s="12" t="n"/>
      <c r="J1375" s="4" t="inlineStr">
        <is>
          <t>/</t>
        </is>
      </c>
      <c r="K1375" s="4" t="inlineStr">
        <is>
          <t>/</t>
        </is>
      </c>
      <c r="L1375" s="0">
        <f>DATEDIF(J1375,$L$1,"M")</f>
        <v/>
      </c>
      <c r="M1375" s="0">
        <f>IF(L1375&lt;18,"新品期",IF(L1375&lt;=36,"老品期","衰退期"))</f>
        <v/>
      </c>
      <c r="N1375" s="36" t="inlineStr">
        <is>
          <t>后台没找到，已删</t>
        </is>
      </c>
    </row>
    <row r="1376" ht="15" customFormat="1" customHeight="1" s="36">
      <c r="A1376" s="4" t="inlineStr">
        <is>
          <t>Wintap-US</t>
        </is>
      </c>
      <c r="B1376" s="4" t="inlineStr">
        <is>
          <t>Wintap美国站</t>
        </is>
      </c>
      <c r="C1376" s="4">
        <f>B1376&amp;D1376</f>
        <v/>
      </c>
      <c r="D1376" s="4" t="inlineStr">
        <is>
          <t>WT-1005-BGZZ</t>
        </is>
      </c>
      <c r="E1376" s="4" t="inlineStr">
        <is>
          <t>211F1005BG4</t>
        </is>
      </c>
      <c r="F1376" s="4" t="inlineStr">
        <is>
          <t>1005二功能落地浴缸龙头拉丝钛金</t>
        </is>
      </c>
      <c r="G1376" s="4" t="inlineStr">
        <is>
          <t>刘皓</t>
        </is>
      </c>
      <c r="H1376" s="4" t="inlineStr">
        <is>
          <t>落地浴缸</t>
        </is>
      </c>
      <c r="I1376" s="12" t="inlineStr">
        <is>
          <t xml:space="preserve">否 </t>
        </is>
      </c>
      <c r="J1376" s="25" t="n">
        <v>45766</v>
      </c>
      <c r="K1376" s="25" t="n">
        <v>45806</v>
      </c>
      <c r="L1376" s="0">
        <f>DATEDIF(J1376,$L$1,"M")</f>
        <v/>
      </c>
      <c r="M1376" s="0">
        <f>IF(L1376&lt;18,"新品期",IF(L1376&lt;=36,"老品期","衰退期"))</f>
        <v/>
      </c>
      <c r="N1376" s="36" t="inlineStr">
        <is>
          <t>种子链接，被冻不可售</t>
        </is>
      </c>
    </row>
    <row r="1377" ht="15" customFormat="1" customHeight="1" s="36">
      <c r="A1377" s="4" t="inlineStr">
        <is>
          <t>Wintap-US</t>
        </is>
      </c>
      <c r="B1377" s="4" t="inlineStr">
        <is>
          <t>Wintap美国站</t>
        </is>
      </c>
      <c r="C1377" s="4">
        <f>B1377&amp;D1377</f>
        <v/>
      </c>
      <c r="D1377" s="4" t="inlineStr">
        <is>
          <t>WT-1005-BKZZ</t>
        </is>
      </c>
      <c r="E1377" s="4" t="inlineStr">
        <is>
          <t>211F1005BK2</t>
        </is>
      </c>
      <c r="F1377" s="4" t="inlineStr">
        <is>
          <t>1005二功能落地浴缸龙头酸铜发黑</t>
        </is>
      </c>
      <c r="G1377" s="4" t="inlineStr">
        <is>
          <t>刘皓</t>
        </is>
      </c>
      <c r="H1377" s="4" t="inlineStr">
        <is>
          <t>落地浴缸</t>
        </is>
      </c>
      <c r="I1377" s="12" t="inlineStr">
        <is>
          <t>否</t>
        </is>
      </c>
      <c r="J1377" s="25" t="n">
        <v>45766</v>
      </c>
      <c r="K1377" s="25" t="n">
        <v>45806</v>
      </c>
      <c r="L1377" s="0">
        <f>DATEDIF(J1377,$L$1,"M")</f>
        <v/>
      </c>
      <c r="M1377" s="0">
        <f>IF(L1377&lt;18,"新品期",IF(L1377&lt;=36,"老品期","衰退期"))</f>
        <v/>
      </c>
      <c r="N1377" s="36" t="inlineStr">
        <is>
          <t>种子链接，被冻不可售</t>
        </is>
      </c>
    </row>
    <row r="1378" ht="15" customFormat="1" customHeight="1" s="36">
      <c r="A1378" s="4" t="inlineStr">
        <is>
          <t>Wintap-US</t>
        </is>
      </c>
      <c r="B1378" s="4" t="inlineStr">
        <is>
          <t>Wintap美国站</t>
        </is>
      </c>
      <c r="C1378" s="4">
        <f>B1378&amp;D1378</f>
        <v/>
      </c>
      <c r="D1378" s="4" t="inlineStr">
        <is>
          <t>WT-1005-CPZZ</t>
        </is>
      </c>
      <c r="E1378" s="4" t="inlineStr">
        <is>
          <t>211F1005CP1</t>
        </is>
      </c>
      <c r="F1378" s="4" t="inlineStr">
        <is>
          <t>1005二功能落地浴缸龙头铬</t>
        </is>
      </c>
      <c r="G1378" s="4" t="inlineStr">
        <is>
          <t>刘皓</t>
        </is>
      </c>
      <c r="H1378" s="4" t="inlineStr">
        <is>
          <t>落地浴缸</t>
        </is>
      </c>
      <c r="I1378" s="12" t="inlineStr">
        <is>
          <t>否</t>
        </is>
      </c>
      <c r="J1378" s="25" t="n">
        <v>45766</v>
      </c>
      <c r="K1378" s="25" t="n">
        <v>45806</v>
      </c>
      <c r="L1378" s="0">
        <f>DATEDIF(J1378,$L$1,"M")</f>
        <v/>
      </c>
      <c r="M1378" s="0">
        <f>IF(L1378&lt;18,"新品期",IF(L1378&lt;=36,"老品期","衰退期"))</f>
        <v/>
      </c>
      <c r="N1378" s="36" t="inlineStr">
        <is>
          <t>种子链接，被冻不可售</t>
        </is>
      </c>
    </row>
    <row r="1379" ht="15" customFormat="1" customHeight="1" s="36">
      <c r="A1379" s="4" t="inlineStr">
        <is>
          <t>Wintap-US</t>
        </is>
      </c>
      <c r="B1379" s="4" t="inlineStr">
        <is>
          <t>Wintap美国站</t>
        </is>
      </c>
      <c r="C1379" s="4">
        <f>B1379&amp;D1379</f>
        <v/>
      </c>
      <c r="D1379" s="4" t="inlineStr">
        <is>
          <t>WT-1005-ORBZZ</t>
        </is>
      </c>
      <c r="E1379" s="4" t="inlineStr">
        <is>
          <t>211F1005OB1</t>
        </is>
      </c>
      <c r="F1379" s="4" t="inlineStr">
        <is>
          <t>1005二功能落地浴缸龙头拉丝古铜色</t>
        </is>
      </c>
      <c r="G1379" s="4" t="inlineStr">
        <is>
          <t>刘皓</t>
        </is>
      </c>
      <c r="H1379" s="4" t="inlineStr">
        <is>
          <t>落地浴缸</t>
        </is>
      </c>
      <c r="I1379" s="12" t="inlineStr">
        <is>
          <t>否</t>
        </is>
      </c>
      <c r="J1379" s="25" t="n">
        <v>45766</v>
      </c>
      <c r="K1379" s="25" t="n">
        <v>45806</v>
      </c>
      <c r="L1379" s="0">
        <f>DATEDIF(J1379,$L$1,"M")</f>
        <v/>
      </c>
      <c r="M1379" s="0">
        <f>IF(L1379&lt;18,"新品期",IF(L1379&lt;=36,"老品期","衰退期"))</f>
        <v/>
      </c>
      <c r="N1379" s="36" t="inlineStr">
        <is>
          <t>种子链接，被冻不可售</t>
        </is>
      </c>
    </row>
    <row r="1380" ht="15" customFormat="1" customHeight="1" s="36">
      <c r="A1380" s="4" t="inlineStr">
        <is>
          <t>Wintap-US</t>
        </is>
      </c>
      <c r="B1380" s="4" t="inlineStr">
        <is>
          <t>Wintap美国站</t>
        </is>
      </c>
      <c r="C1380" s="4">
        <f>B1380&amp;D1380</f>
        <v/>
      </c>
      <c r="D1380" s="4" t="inlineStr">
        <is>
          <t>WT-1007-BNZZ</t>
        </is>
      </c>
      <c r="E1380" s="4" t="inlineStr">
        <is>
          <t>211F1007BN3</t>
        </is>
      </c>
      <c r="F1380" s="4" t="inlineStr">
        <is>
          <t>1007二功能落地浴缸龙头拉丝PVD</t>
        </is>
      </c>
      <c r="G1380" s="4" t="inlineStr">
        <is>
          <t>刘皓</t>
        </is>
      </c>
      <c r="H1380" s="4" t="inlineStr">
        <is>
          <t>落地浴缸</t>
        </is>
      </c>
      <c r="I1380" s="12" t="inlineStr">
        <is>
          <t>否</t>
        </is>
      </c>
      <c r="J1380" s="25" t="n">
        <v>45766</v>
      </c>
      <c r="K1380" s="25" t="n">
        <v>45806</v>
      </c>
      <c r="L1380" s="0">
        <f>DATEDIF(J1380,$L$1,"M")</f>
        <v/>
      </c>
      <c r="M1380" s="0">
        <f>IF(L1380&lt;18,"新品期",IF(L1380&lt;=36,"老品期","衰退期"))</f>
        <v/>
      </c>
      <c r="N1380" s="36" t="inlineStr">
        <is>
          <t>种子链接，被冻不可售</t>
        </is>
      </c>
    </row>
    <row r="1381" ht="15" customFormat="1" customHeight="1" s="36">
      <c r="A1381" s="4" t="inlineStr">
        <is>
          <t>Wintap-US</t>
        </is>
      </c>
      <c r="B1381" s="4" t="inlineStr">
        <is>
          <t>Wintap美国站</t>
        </is>
      </c>
      <c r="C1381" s="4">
        <f>B1381&amp;D1381</f>
        <v/>
      </c>
      <c r="D1381" s="4" t="inlineStr">
        <is>
          <t>WT-1007-CPZZ</t>
        </is>
      </c>
      <c r="E1381" s="4" t="inlineStr">
        <is>
          <t>211F1007CP1</t>
        </is>
      </c>
      <c r="F1381" s="4" t="inlineStr">
        <is>
          <t>1007二功能落地浴缸龙头铬</t>
        </is>
      </c>
      <c r="G1381" s="4" t="inlineStr">
        <is>
          <t>刘皓</t>
        </is>
      </c>
      <c r="H1381" s="4" t="inlineStr">
        <is>
          <t>落地浴缸</t>
        </is>
      </c>
      <c r="I1381" s="12" t="inlineStr">
        <is>
          <t>否</t>
        </is>
      </c>
      <c r="J1381" s="25" t="n">
        <v>45766</v>
      </c>
      <c r="K1381" s="25" t="n">
        <v>45806</v>
      </c>
      <c r="L1381" s="0">
        <f>DATEDIF(J1381,$L$1,"M")</f>
        <v/>
      </c>
      <c r="M1381" s="0">
        <f>IF(L1381&lt;18,"新品期",IF(L1381&lt;=36,"老品期","衰退期"))</f>
        <v/>
      </c>
      <c r="N1381" s="36" t="inlineStr">
        <is>
          <t>种子链接，被冻不可售</t>
        </is>
      </c>
    </row>
    <row r="1382" ht="15" customFormat="1" customHeight="1" s="36">
      <c r="A1382" s="4" t="inlineStr">
        <is>
          <t>Wintap-US</t>
        </is>
      </c>
      <c r="B1382" s="4" t="inlineStr">
        <is>
          <t>Wintap美国站</t>
        </is>
      </c>
      <c r="C1382" s="4">
        <f>B1382&amp;D1382</f>
        <v/>
      </c>
      <c r="D1382" s="4" t="inlineStr">
        <is>
          <t>WT-1007-ORBZZ</t>
        </is>
      </c>
      <c r="E1382" s="4" t="inlineStr">
        <is>
          <t>211F1007OB1</t>
        </is>
      </c>
      <c r="F1382" s="4" t="inlineStr">
        <is>
          <t>1007二功能落地浴缸龙头拉丝古铜色</t>
        </is>
      </c>
      <c r="G1382" s="4" t="inlineStr">
        <is>
          <t>刘皓</t>
        </is>
      </c>
      <c r="H1382" s="4" t="inlineStr">
        <is>
          <t>落地浴缸</t>
        </is>
      </c>
      <c r="I1382" s="12" t="inlineStr">
        <is>
          <t>否</t>
        </is>
      </c>
      <c r="J1382" s="25" t="n">
        <v>45766</v>
      </c>
      <c r="K1382" s="25" t="n">
        <v>45806</v>
      </c>
      <c r="L1382" s="0">
        <f>DATEDIF(J1382,$L$1,"M")</f>
        <v/>
      </c>
      <c r="M1382" s="0">
        <f>IF(L1382&lt;18,"新品期",IF(L1382&lt;=36,"老品期","衰退期"))</f>
        <v/>
      </c>
      <c r="N1382" s="36" t="inlineStr">
        <is>
          <t>种子链接，被冻不可售</t>
        </is>
      </c>
    </row>
    <row r="1383" ht="15" customFormat="1" customHeight="1" s="36">
      <c r="A1383" s="4" t="inlineStr">
        <is>
          <t>Hanallx-US</t>
        </is>
      </c>
      <c r="B1383" s="18" t="inlineStr">
        <is>
          <t>Hanallx美国站</t>
        </is>
      </c>
      <c r="C1383" s="4">
        <f>B1383&amp;D1383</f>
        <v/>
      </c>
      <c r="D1383" s="18" t="inlineStr">
        <is>
          <t>HM-1005-BGZZ</t>
        </is>
      </c>
      <c r="E1383" s="18" t="inlineStr">
        <is>
          <t>211F1005BG4</t>
        </is>
      </c>
      <c r="F1383" s="4" t="inlineStr">
        <is>
          <t>1005二功能落地浴缸龙头拉丝钛金</t>
        </is>
      </c>
      <c r="G1383" s="18" t="inlineStr">
        <is>
          <t>刘皓</t>
        </is>
      </c>
      <c r="H1383" s="4" t="inlineStr">
        <is>
          <t>落地浴缸</t>
        </is>
      </c>
      <c r="I1383" s="12" t="inlineStr">
        <is>
          <t>否</t>
        </is>
      </c>
      <c r="J1383" s="25" t="n">
        <v>45810</v>
      </c>
      <c r="K1383" s="25" t="n">
        <v>45810</v>
      </c>
      <c r="L1383" s="0">
        <f>DATEDIF(J1383,$L$1,"M")</f>
        <v/>
      </c>
      <c r="M1383" s="0">
        <f>IF(L1383&lt;18,"新品期",IF(L1383&lt;=36,"老品期","衰退期"))</f>
        <v/>
      </c>
    </row>
    <row r="1384" ht="15" customFormat="1" customHeight="1" s="36">
      <c r="A1384" s="4" t="inlineStr">
        <is>
          <t>Qinkell-US</t>
        </is>
      </c>
      <c r="B1384" s="18" t="inlineStr">
        <is>
          <t>Qinkell美国站</t>
        </is>
      </c>
      <c r="C1384" s="4">
        <f>B1384&amp;D1384</f>
        <v/>
      </c>
      <c r="D1384" s="18" t="inlineStr">
        <is>
          <t>QC-3012BGZZ</t>
        </is>
      </c>
      <c r="E1384" s="18" t="inlineStr">
        <is>
          <t>230F3012BG1</t>
        </is>
      </c>
      <c r="F1384" s="4" t="inlineStr">
        <is>
          <t>3012单功能入墙浴缸龙头拉丝钛金封油</t>
        </is>
      </c>
      <c r="G1384" s="18" t="inlineStr">
        <is>
          <t>朱艺璇</t>
        </is>
      </c>
      <c r="H1384" s="4" t="inlineStr">
        <is>
          <t>缸边浴缸</t>
        </is>
      </c>
      <c r="I1384" s="12" t="inlineStr">
        <is>
          <t>是</t>
        </is>
      </c>
      <c r="J1384" s="25" t="n">
        <v>45848</v>
      </c>
      <c r="K1384" s="25" t="n">
        <v>45848</v>
      </c>
      <c r="L1384" s="0">
        <f>DATEDIF(J1384,$L$1,"M")</f>
        <v/>
      </c>
      <c r="M1384" s="0">
        <f>IF(L1384&lt;18,"新品期",IF(L1384&lt;=36,"老品期","衰退期"))</f>
        <v/>
      </c>
    </row>
    <row r="1385" ht="15" customFormat="1" customHeight="1" s="36">
      <c r="A1385" s="4" t="inlineStr">
        <is>
          <t>Qinkell-US</t>
        </is>
      </c>
      <c r="B1385" s="18" t="inlineStr">
        <is>
          <t>Qinkell美国站</t>
        </is>
      </c>
      <c r="C1385" s="4">
        <f>B1385&amp;D1385</f>
        <v/>
      </c>
      <c r="D1385" s="18" t="inlineStr">
        <is>
          <t>QC-3012BNZZ01</t>
        </is>
      </c>
      <c r="E1385" s="18" t="inlineStr">
        <is>
          <t>230F3012BN1</t>
        </is>
      </c>
      <c r="F1385" s="4" t="inlineStr">
        <is>
          <t>3012单功能入墙浴缸龙头拉丝封半哑油</t>
        </is>
      </c>
      <c r="G1385" s="18" t="inlineStr">
        <is>
          <t>朱艺璇</t>
        </is>
      </c>
      <c r="H1385" s="4" t="inlineStr">
        <is>
          <t>缸边浴缸</t>
        </is>
      </c>
      <c r="I1385" s="12" t="inlineStr">
        <is>
          <t>是</t>
        </is>
      </c>
      <c r="J1385" s="25" t="n">
        <v>45848</v>
      </c>
      <c r="K1385" s="25" t="n">
        <v>45848</v>
      </c>
      <c r="L1385" s="0">
        <f>DATEDIF(J1385,$L$1,"M")</f>
        <v/>
      </c>
      <c r="M1385" s="0">
        <f>IF(L1385&lt;18,"新品期",IF(L1385&lt;=36,"老品期","衰退期"))</f>
        <v/>
      </c>
    </row>
    <row r="1386" ht="15" customFormat="1" customHeight="1" s="36">
      <c r="A1386" s="4" t="inlineStr">
        <is>
          <t>Qinkell-US</t>
        </is>
      </c>
      <c r="B1386" s="18" t="inlineStr">
        <is>
          <t>Qinkell美国站</t>
        </is>
      </c>
      <c r="C1386" s="4">
        <f>B1386&amp;D1386</f>
        <v/>
      </c>
      <c r="D1386" s="18" t="inlineStr">
        <is>
          <t>QC-3012BNZZ02</t>
        </is>
      </c>
      <c r="E1386" s="18" t="inlineStr">
        <is>
          <t>230F3012BN1</t>
        </is>
      </c>
      <c r="F1386" s="4" t="inlineStr">
        <is>
          <t>3012单功能入墙浴缸龙头拉丝封半哑油</t>
        </is>
      </c>
      <c r="G1386" s="18" t="inlineStr">
        <is>
          <t>朱艺璇</t>
        </is>
      </c>
      <c r="H1386" s="4" t="inlineStr">
        <is>
          <t>缸边浴缸</t>
        </is>
      </c>
      <c r="I1386" s="12" t="inlineStr">
        <is>
          <t>是</t>
        </is>
      </c>
      <c r="J1386" s="25" t="n">
        <v>45848</v>
      </c>
      <c r="K1386" s="25" t="n">
        <v>45848</v>
      </c>
      <c r="L1386" s="0">
        <f>DATEDIF(J1386,$L$1,"M")</f>
        <v/>
      </c>
      <c r="M1386" s="0">
        <f>IF(L1386&lt;18,"新品期",IF(L1386&lt;=36,"老品期","衰退期"))</f>
        <v/>
      </c>
    </row>
    <row r="1387" ht="15" customFormat="1" customHeight="1" s="36">
      <c r="A1387" s="4" t="inlineStr">
        <is>
          <t>Qinkell-US</t>
        </is>
      </c>
      <c r="B1387" s="18" t="inlineStr">
        <is>
          <t>Qinkell美国站</t>
        </is>
      </c>
      <c r="C1387" s="4">
        <f>B1387&amp;D1387</f>
        <v/>
      </c>
      <c r="D1387" s="18" t="inlineStr">
        <is>
          <t>QC-3012CPZZ</t>
        </is>
      </c>
      <c r="E1387" s="18" t="inlineStr">
        <is>
          <t>230F3012CP1</t>
        </is>
      </c>
      <c r="F1387" s="4" t="inlineStr">
        <is>
          <t>3012单功能入墙浴缸龙头铬</t>
        </is>
      </c>
      <c r="G1387" s="18" t="inlineStr">
        <is>
          <t>朱艺璇</t>
        </is>
      </c>
      <c r="H1387" s="4" t="inlineStr">
        <is>
          <t>缸边浴缸</t>
        </is>
      </c>
      <c r="I1387" s="12" t="inlineStr">
        <is>
          <t>是</t>
        </is>
      </c>
      <c r="J1387" s="25" t="n">
        <v>45848</v>
      </c>
      <c r="K1387" s="25" t="n">
        <v>45848</v>
      </c>
      <c r="L1387" s="0">
        <f>DATEDIF(J1387,$L$1,"M")</f>
        <v/>
      </c>
      <c r="M1387" s="0">
        <f>IF(L1387&lt;18,"新品期",IF(L1387&lt;=36,"老品期","衰退期"))</f>
        <v/>
      </c>
    </row>
    <row r="1388" ht="15" customFormat="1" customHeight="1" s="36">
      <c r="A1388" s="4" t="inlineStr">
        <is>
          <t>Qinkell-US</t>
        </is>
      </c>
      <c r="B1388" s="18" t="inlineStr">
        <is>
          <t>Qinkell美国站</t>
        </is>
      </c>
      <c r="C1388" s="4">
        <f>B1388&amp;D1388</f>
        <v/>
      </c>
      <c r="D1388" s="18" t="inlineStr">
        <is>
          <t>QC-3012ORBZZ</t>
        </is>
      </c>
      <c r="E1388" s="18" t="inlineStr">
        <is>
          <t>230F3012OB1</t>
        </is>
      </c>
      <c r="F1388" s="4" t="inlineStr">
        <is>
          <t>3012单功能入墙浴缸龙头拉丝古铜色</t>
        </is>
      </c>
      <c r="G1388" s="18" t="inlineStr">
        <is>
          <t>朱艺璇</t>
        </is>
      </c>
      <c r="H1388" s="4" t="inlineStr">
        <is>
          <t>缸边浴缸</t>
        </is>
      </c>
      <c r="I1388" s="12" t="inlineStr">
        <is>
          <t>是</t>
        </is>
      </c>
      <c r="J1388" s="25" t="n">
        <v>45848</v>
      </c>
      <c r="K1388" s="25" t="n">
        <v>45848</v>
      </c>
      <c r="L1388" s="0">
        <f>DATEDIF(J1388,$L$1,"M")</f>
        <v/>
      </c>
      <c r="M1388" s="0">
        <f>IF(L1388&lt;18,"新品期",IF(L1388&lt;=36,"老品期","衰退期"))</f>
        <v/>
      </c>
    </row>
    <row r="1389" ht="15" customFormat="1" customHeight="1" s="36">
      <c r="A1389" s="4" t="inlineStr">
        <is>
          <t>Wintap-US</t>
        </is>
      </c>
      <c r="B1389" s="18" t="inlineStr">
        <is>
          <t>Wintap美国站</t>
        </is>
      </c>
      <c r="C1389" s="4">
        <f>B1389&amp;D1389</f>
        <v/>
      </c>
      <c r="D1389" s="18" t="inlineStr">
        <is>
          <t>WT-9811BGZZ02</t>
        </is>
      </c>
      <c r="E1389" s="18" t="inlineStr">
        <is>
          <t>211F0098BG1</t>
        </is>
      </c>
      <c r="F1389" s="4" t="inlineStr">
        <is>
          <t>98系列二功能落地浴缸龙头拉丝钛金封油</t>
        </is>
      </c>
      <c r="G1389" s="18" t="inlineStr">
        <is>
          <t>刘皓</t>
        </is>
      </c>
      <c r="H1389" s="4" t="inlineStr">
        <is>
          <t>落地浴缸</t>
        </is>
      </c>
      <c r="I1389" s="12" t="inlineStr">
        <is>
          <t>否</t>
        </is>
      </c>
      <c r="J1389" s="25" t="n">
        <v>45904</v>
      </c>
      <c r="K1389" s="25" t="n">
        <v>45904</v>
      </c>
      <c r="L1389" s="0">
        <f>DATEDIF(J1389,$L$1,"M")</f>
        <v/>
      </c>
      <c r="M1389" s="0">
        <f>IF(L1389&lt;18,"新品期",IF(L1389&lt;=36,"老品期","衰退期"))</f>
        <v/>
      </c>
      <c r="N1389" s="36" t="inlineStr">
        <is>
          <t>种子链接</t>
        </is>
      </c>
    </row>
    <row r="1390" ht="15" customFormat="1" customHeight="1" s="36">
      <c r="A1390" s="4" t="inlineStr">
        <is>
          <t>Wintap-US</t>
        </is>
      </c>
      <c r="B1390" s="18" t="inlineStr">
        <is>
          <t>Wintap美国站</t>
        </is>
      </c>
      <c r="C1390" s="4">
        <f>B1390&amp;D1390</f>
        <v/>
      </c>
      <c r="D1390" s="18" t="inlineStr">
        <is>
          <t>WT-9811BKZZ02</t>
        </is>
      </c>
      <c r="E1390" s="18" t="inlineStr">
        <is>
          <t>211F0098BK1</t>
        </is>
      </c>
      <c r="F1390" s="4" t="inlineStr">
        <is>
          <t>98系列二功能落地浴缸龙头酸铜发黑</t>
        </is>
      </c>
      <c r="G1390" s="18" t="inlineStr">
        <is>
          <t>刘皓</t>
        </is>
      </c>
      <c r="H1390" s="4" t="inlineStr">
        <is>
          <t>落地浴缸</t>
        </is>
      </c>
      <c r="I1390" s="12" t="inlineStr">
        <is>
          <t>否</t>
        </is>
      </c>
      <c r="J1390" s="25" t="n">
        <v>45904</v>
      </c>
      <c r="K1390" s="25" t="n">
        <v>45904</v>
      </c>
      <c r="L1390" s="0">
        <f>DATEDIF(J1390,$L$1,"M")</f>
        <v/>
      </c>
      <c r="M1390" s="0">
        <f>IF(L1390&lt;18,"新品期",IF(L1390&lt;=36,"老品期","衰退期"))</f>
        <v/>
      </c>
      <c r="N1390" s="36" t="inlineStr">
        <is>
          <t>种子链接</t>
        </is>
      </c>
    </row>
    <row r="1391" ht="15" customFormat="1" customHeight="1" s="36">
      <c r="A1391" s="4" t="inlineStr">
        <is>
          <t>Wintap-US</t>
        </is>
      </c>
      <c r="B1391" s="18" t="inlineStr">
        <is>
          <t>Wintap美国站</t>
        </is>
      </c>
      <c r="C1391" s="4">
        <f>B1391&amp;D1391</f>
        <v/>
      </c>
      <c r="D1391" s="18" t="inlineStr">
        <is>
          <t>WT-9811BNZZ</t>
        </is>
      </c>
      <c r="E1391" s="18" t="inlineStr">
        <is>
          <t>211F0098BN1</t>
        </is>
      </c>
      <c r="F1391" s="4" t="inlineStr">
        <is>
          <t>98系列二功能落地浴缸龙头拉丝封油</t>
        </is>
      </c>
      <c r="G1391" s="18" t="inlineStr">
        <is>
          <t>刘皓</t>
        </is>
      </c>
      <c r="H1391" s="4" t="inlineStr">
        <is>
          <t>落地浴缸</t>
        </is>
      </c>
      <c r="I1391" s="12" t="n"/>
      <c r="J1391" s="25" t="n">
        <v>45904</v>
      </c>
      <c r="K1391" s="25" t="n">
        <v>45904</v>
      </c>
      <c r="L1391" s="0">
        <f>DATEDIF(J1391,$L$1,"M")</f>
        <v/>
      </c>
      <c r="M1391" s="0">
        <f>IF(L1391&lt;18,"新品期",IF(L1391&lt;=36,"老品期","衰退期"))</f>
        <v/>
      </c>
      <c r="N1391" s="36" t="inlineStr">
        <is>
          <t>种子链接</t>
        </is>
      </c>
    </row>
    <row r="1392" ht="15" customFormat="1" customHeight="1" s="36">
      <c r="A1392" s="4" t="inlineStr">
        <is>
          <t>Wintap-US</t>
        </is>
      </c>
      <c r="B1392" s="18" t="inlineStr">
        <is>
          <t>Wintap美国站</t>
        </is>
      </c>
      <c r="C1392" s="4">
        <f>B1392&amp;D1392</f>
        <v/>
      </c>
      <c r="D1392" s="18" t="inlineStr">
        <is>
          <t>WT-9811CPZZ</t>
        </is>
      </c>
      <c r="E1392" s="18" t="inlineStr">
        <is>
          <t>211F0098CP1</t>
        </is>
      </c>
      <c r="F1392" s="4" t="inlineStr">
        <is>
          <t>98系列二功能落地浴缸龙头铬</t>
        </is>
      </c>
      <c r="G1392" s="18" t="inlineStr">
        <is>
          <t>刘皓</t>
        </is>
      </c>
      <c r="H1392" s="4" t="inlineStr">
        <is>
          <t>落地浴缸</t>
        </is>
      </c>
      <c r="I1392" s="12" t="n"/>
      <c r="J1392" s="25" t="n">
        <v>45904</v>
      </c>
      <c r="K1392" s="25" t="n">
        <v>45904</v>
      </c>
      <c r="L1392" s="0">
        <f>DATEDIF(J1392,$L$1,"M")</f>
        <v/>
      </c>
      <c r="M1392" s="0">
        <f>IF(L1392&lt;18,"新品期",IF(L1392&lt;=36,"老品期","衰退期"))</f>
        <v/>
      </c>
      <c r="N1392" s="36" t="inlineStr">
        <is>
          <t>种子链接</t>
        </is>
      </c>
    </row>
    <row r="1393" ht="15" customFormat="1" customHeight="1" s="36">
      <c r="A1393" s="4" t="inlineStr">
        <is>
          <t>Wintap-US</t>
        </is>
      </c>
      <c r="B1393" s="18" t="inlineStr">
        <is>
          <t>Wintap美国站</t>
        </is>
      </c>
      <c r="C1393" s="4">
        <f>B1393&amp;D1393</f>
        <v/>
      </c>
      <c r="D1393" s="18" t="inlineStr">
        <is>
          <t>WT-9811ORBZZ</t>
        </is>
      </c>
      <c r="E1393" s="18" t="inlineStr">
        <is>
          <t>211F0098OB1</t>
        </is>
      </c>
      <c r="F1393" s="4" t="inlineStr">
        <is>
          <t>98系列二功能落地浴缸龙头 拉丝古铜色</t>
        </is>
      </c>
      <c r="G1393" s="18" t="inlineStr">
        <is>
          <t>刘皓</t>
        </is>
      </c>
      <c r="H1393" s="4" t="inlineStr">
        <is>
          <t>落地浴缸</t>
        </is>
      </c>
      <c r="I1393" s="12" t="n"/>
      <c r="J1393" s="25" t="n">
        <v>45904</v>
      </c>
      <c r="K1393" s="25" t="n">
        <v>45904</v>
      </c>
      <c r="L1393" s="0">
        <f>DATEDIF(J1393,$L$1,"M")</f>
        <v/>
      </c>
      <c r="M1393" s="0">
        <f>IF(L1393&lt;18,"新品期",IF(L1393&lt;=36,"老品期","衰退期"))</f>
        <v/>
      </c>
      <c r="N1393" s="36" t="inlineStr">
        <is>
          <t>种子链接</t>
        </is>
      </c>
    </row>
    <row r="1394" ht="15" customFormat="1" customHeight="1" s="36">
      <c r="A1394" s="4" t="inlineStr">
        <is>
          <t>soebiz-US</t>
        </is>
      </c>
      <c r="B1394" s="4" t="inlineStr">
        <is>
          <t>Soebiz美国站</t>
        </is>
      </c>
      <c r="C1394" s="4">
        <f>B1394&amp;D1394</f>
        <v/>
      </c>
      <c r="D1394" s="4" t="inlineStr">
        <is>
          <t>SZ-S-3314-BN-01</t>
        </is>
      </c>
      <c r="E1394" s="4" t="inlineStr">
        <is>
          <t>420F3314BN5</t>
        </is>
      </c>
      <c r="F1394" s="4" t="inlineStr">
        <is>
          <t>3314半抽拉弹簧厨房龙头拉丝</t>
        </is>
      </c>
      <c r="G1394" s="4" t="inlineStr">
        <is>
          <t>吕凯烨</t>
        </is>
      </c>
      <c r="H1394" s="4" t="inlineStr">
        <is>
          <t>厨房品线</t>
        </is>
      </c>
      <c r="I1394" s="12" t="inlineStr">
        <is>
          <t>否</t>
        </is>
      </c>
      <c r="J1394" s="34" t="n">
        <v>45834</v>
      </c>
      <c r="K1394" s="28" t="inlineStr">
        <is>
          <t>2025/9</t>
        </is>
      </c>
      <c r="L1394" s="0">
        <f>DATEDIF(J1394,$L$1,"M")</f>
        <v/>
      </c>
      <c r="M1394" s="0">
        <f>IF(L1394&lt;18,"新品期",IF(L1394&lt;=36,"老品期","衰退期"))</f>
        <v/>
      </c>
    </row>
    <row r="1395" ht="15" customFormat="1" customHeight="1" s="36">
      <c r="A1395" s="4" t="inlineStr">
        <is>
          <t>soebiz-US</t>
        </is>
      </c>
      <c r="B1395" s="4" t="inlineStr">
        <is>
          <t>Soebiz美国站</t>
        </is>
      </c>
      <c r="C1395" s="4">
        <f>B1395&amp;D1395</f>
        <v/>
      </c>
      <c r="D1395" s="4" t="inlineStr">
        <is>
          <t>SZ-S-3314-BG-02</t>
        </is>
      </c>
      <c r="E1395" s="4" t="inlineStr">
        <is>
          <t>420F3314BG3</t>
        </is>
      </c>
      <c r="F1395" s="4" t="inlineStr">
        <is>
          <t>3314半抽拉弹簧厨房龙头拉丝锆金封油</t>
        </is>
      </c>
      <c r="G1395" s="4" t="inlineStr">
        <is>
          <t>吕凯烨</t>
        </is>
      </c>
      <c r="H1395" s="4" t="inlineStr">
        <is>
          <t>厨房品线</t>
        </is>
      </c>
      <c r="I1395" s="12" t="inlineStr">
        <is>
          <t>否</t>
        </is>
      </c>
      <c r="J1395" s="34" t="n">
        <v>45834</v>
      </c>
      <c r="K1395" s="28" t="inlineStr">
        <is>
          <t>2025/9</t>
        </is>
      </c>
      <c r="L1395" s="0">
        <f>DATEDIF(J1395,$L$1,"M")</f>
        <v/>
      </c>
      <c r="M1395" s="0">
        <f>IF(L1395&lt;18,"新品期",IF(L1395&lt;=36,"老品期","衰退期"))</f>
        <v/>
      </c>
    </row>
    <row r="1396" ht="15" customFormat="1" customHeight="1" s="36">
      <c r="A1396" s="4" t="inlineStr">
        <is>
          <t>soebiz-US</t>
        </is>
      </c>
      <c r="B1396" s="4" t="inlineStr">
        <is>
          <t>Soebiz美国站</t>
        </is>
      </c>
      <c r="C1396" s="4">
        <f>B1396&amp;D1396</f>
        <v/>
      </c>
      <c r="D1396" s="4" t="inlineStr">
        <is>
          <t>SZ-S-3314-BK-03</t>
        </is>
      </c>
      <c r="E1396" s="4" t="inlineStr">
        <is>
          <t>420F3314BK1</t>
        </is>
      </c>
      <c r="F1396" s="4" t="inlineStr">
        <is>
          <t>3314半抽拉弹簧厨房龙头电泳黑</t>
        </is>
      </c>
      <c r="G1396" s="4" t="inlineStr">
        <is>
          <t>吕凯烨</t>
        </is>
      </c>
      <c r="H1396" s="4" t="inlineStr">
        <is>
          <t>厨房品线</t>
        </is>
      </c>
      <c r="I1396" s="12" t="inlineStr">
        <is>
          <t>否</t>
        </is>
      </c>
      <c r="J1396" s="34" t="n">
        <v>45834</v>
      </c>
      <c r="K1396" s="28" t="inlineStr">
        <is>
          <t>2025/9</t>
        </is>
      </c>
      <c r="L1396" s="0">
        <f>DATEDIF(J1396,$L$1,"M")</f>
        <v/>
      </c>
      <c r="M1396" s="0">
        <f>IF(L1396&lt;18,"新品期",IF(L1396&lt;=36,"老品期","衰退期"))</f>
        <v/>
      </c>
    </row>
    <row r="1397" ht="15" customFormat="1" customHeight="1" s="36">
      <c r="A1397" s="4" t="inlineStr">
        <is>
          <t>soebiz-US</t>
        </is>
      </c>
      <c r="B1397" s="4" t="inlineStr">
        <is>
          <t>Soebiz美国站</t>
        </is>
      </c>
      <c r="C1397" s="4">
        <f>B1397&amp;D1397</f>
        <v/>
      </c>
      <c r="D1397" s="4" t="inlineStr">
        <is>
          <t>SZ-S-3314-ORB-04</t>
        </is>
      </c>
      <c r="E1397" s="4" t="inlineStr">
        <is>
          <t>420F3314ORB</t>
        </is>
      </c>
      <c r="F1397" s="36" t="inlineStr">
        <is>
          <t>3314半抽拉弹簧厨房龙头拉丝古铜色</t>
        </is>
      </c>
      <c r="G1397" s="4" t="inlineStr">
        <is>
          <t>吕凯烨</t>
        </is>
      </c>
      <c r="H1397" s="4" t="inlineStr">
        <is>
          <t>厨房品线</t>
        </is>
      </c>
      <c r="I1397" s="12" t="inlineStr">
        <is>
          <t>否</t>
        </is>
      </c>
      <c r="J1397" s="34" t="n">
        <v>45834</v>
      </c>
      <c r="K1397" s="28" t="inlineStr">
        <is>
          <t>2025/9</t>
        </is>
      </c>
      <c r="L1397" s="0">
        <f>DATEDIF(J1397,$L$1,"M")</f>
        <v/>
      </c>
      <c r="M1397" s="0">
        <f>IF(L1397&lt;18,"新品期",IF(L1397&lt;=36,"老品期","衰退期"))</f>
        <v/>
      </c>
    </row>
    <row r="1398" ht="15" customFormat="1" customHeight="1" s="36">
      <c r="A1398" s="4" t="inlineStr">
        <is>
          <t>soebiz-US</t>
        </is>
      </c>
      <c r="B1398" s="4" t="inlineStr">
        <is>
          <t>Soebiz美国站</t>
        </is>
      </c>
      <c r="C1398" s="4">
        <f>B1398&amp;D1398</f>
        <v/>
      </c>
      <c r="D1398" s="4" t="inlineStr">
        <is>
          <t>SZ-S-3314-BN-001</t>
        </is>
      </c>
      <c r="E1398" s="4" t="inlineStr">
        <is>
          <t>420F3314BN5</t>
        </is>
      </c>
      <c r="F1398" s="4" t="inlineStr">
        <is>
          <t>3314半抽拉弹簧厨房龙头拉丝</t>
        </is>
      </c>
      <c r="G1398" s="4" t="inlineStr">
        <is>
          <t>吕凯烨</t>
        </is>
      </c>
      <c r="H1398" s="4" t="inlineStr">
        <is>
          <t>厨房品线</t>
        </is>
      </c>
      <c r="I1398" s="12" t="inlineStr">
        <is>
          <t>否</t>
        </is>
      </c>
      <c r="J1398" s="34" t="n">
        <v>45834</v>
      </c>
      <c r="K1398" s="28" t="n">
        <v>45870</v>
      </c>
      <c r="L1398" s="0">
        <f>DATEDIF(J1398,$L$1,"M")</f>
        <v/>
      </c>
      <c r="M1398" s="0">
        <f>IF(L1398&lt;18,"新品期",IF(L1398&lt;=36,"老品期","衰退期"))</f>
        <v/>
      </c>
    </row>
    <row r="1399" ht="15" customFormat="1" customHeight="1" s="36">
      <c r="A1399" s="4" t="inlineStr">
        <is>
          <t>soebiz-US</t>
        </is>
      </c>
      <c r="B1399" s="4" t="inlineStr">
        <is>
          <t>Soebiz美国站</t>
        </is>
      </c>
      <c r="C1399" s="4">
        <f>B1399&amp;D1399</f>
        <v/>
      </c>
      <c r="D1399" s="4" t="inlineStr">
        <is>
          <t>SZ-S-3315-BN-01</t>
        </is>
      </c>
      <c r="E1399" s="4" t="inlineStr">
        <is>
          <t>420F3315BN5</t>
        </is>
      </c>
      <c r="F1399" s="4" t="inlineStr">
        <is>
          <t>3315全抽拉弹簧厨房龙头拉丝</t>
        </is>
      </c>
      <c r="G1399" s="4" t="inlineStr">
        <is>
          <t>吕凯烨</t>
        </is>
      </c>
      <c r="H1399" s="4" t="inlineStr">
        <is>
          <t>厨房品线</t>
        </is>
      </c>
      <c r="I1399" s="12" t="inlineStr">
        <is>
          <t>否</t>
        </is>
      </c>
      <c r="J1399" s="34" t="n">
        <v>45834</v>
      </c>
      <c r="K1399" s="28" t="inlineStr">
        <is>
          <t>2025/9</t>
        </is>
      </c>
      <c r="L1399" s="0">
        <f>DATEDIF(J1399,$L$1,"M")</f>
        <v/>
      </c>
      <c r="M1399" s="0">
        <f>IF(L1399&lt;18,"新品期",IF(L1399&lt;=36,"老品期","衰退期"))</f>
        <v/>
      </c>
    </row>
    <row r="1400" ht="15" customFormat="1" customHeight="1" s="36">
      <c r="A1400" s="4" t="inlineStr">
        <is>
          <t>soebiz-US</t>
        </is>
      </c>
      <c r="B1400" s="4" t="inlineStr">
        <is>
          <t>Soebiz美国站</t>
        </is>
      </c>
      <c r="C1400" s="4">
        <f>B1400&amp;D1400</f>
        <v/>
      </c>
      <c r="D1400" s="4" t="inlineStr">
        <is>
          <t>SZ-S-3315-BG-02</t>
        </is>
      </c>
      <c r="E1400" s="4" t="inlineStr">
        <is>
          <t>420F3315BG3</t>
        </is>
      </c>
      <c r="F1400" s="4" t="inlineStr">
        <is>
          <t>3315全抽拉弹簧厨房龙头拉丝锆金封油</t>
        </is>
      </c>
      <c r="G1400" s="4" t="inlineStr">
        <is>
          <t>吕凯烨</t>
        </is>
      </c>
      <c r="H1400" s="4" t="inlineStr">
        <is>
          <t>厨房品线</t>
        </is>
      </c>
      <c r="I1400" s="12" t="inlineStr">
        <is>
          <t>否</t>
        </is>
      </c>
      <c r="J1400" s="34" t="n">
        <v>45834</v>
      </c>
      <c r="K1400" s="28" t="inlineStr">
        <is>
          <t>2025/9</t>
        </is>
      </c>
      <c r="L1400" s="0">
        <f>DATEDIF(J1400,$L$1,"M")</f>
        <v/>
      </c>
      <c r="M1400" s="0">
        <f>IF(L1400&lt;18,"新品期",IF(L1400&lt;=36,"老品期","衰退期"))</f>
        <v/>
      </c>
    </row>
    <row r="1401" ht="15" customFormat="1" customHeight="1" s="36">
      <c r="A1401" s="4" t="inlineStr">
        <is>
          <t>soebiz-US</t>
        </is>
      </c>
      <c r="B1401" s="4" t="inlineStr">
        <is>
          <t>Soebiz美国站</t>
        </is>
      </c>
      <c r="C1401" s="4">
        <f>B1401&amp;D1401</f>
        <v/>
      </c>
      <c r="D1401" s="4" t="inlineStr">
        <is>
          <t>SZ-S-3315-BK-03</t>
        </is>
      </c>
      <c r="E1401" s="4" t="inlineStr">
        <is>
          <t>420F3315BK1</t>
        </is>
      </c>
      <c r="F1401" s="4" t="inlineStr">
        <is>
          <t>3315全抽拉弹簧厨房龙头电泳黑</t>
        </is>
      </c>
      <c r="G1401" s="4" t="inlineStr">
        <is>
          <t>吕凯烨</t>
        </is>
      </c>
      <c r="H1401" s="4" t="inlineStr">
        <is>
          <t>厨房品线</t>
        </is>
      </c>
      <c r="I1401" s="12" t="inlineStr">
        <is>
          <t>否</t>
        </is>
      </c>
      <c r="J1401" s="34" t="n">
        <v>45834</v>
      </c>
      <c r="K1401" s="28" t="inlineStr">
        <is>
          <t>2025/9</t>
        </is>
      </c>
      <c r="L1401" s="0">
        <f>DATEDIF(J1401,$L$1,"M")</f>
        <v/>
      </c>
      <c r="M1401" s="0">
        <f>IF(L1401&lt;18,"新品期",IF(L1401&lt;=36,"老品期","衰退期"))</f>
        <v/>
      </c>
    </row>
    <row r="1402" ht="15" customFormat="1" customHeight="1" s="36">
      <c r="A1402" s="4" t="inlineStr">
        <is>
          <t>soebiz-US</t>
        </is>
      </c>
      <c r="B1402" s="4" t="inlineStr">
        <is>
          <t>Soebiz美国站</t>
        </is>
      </c>
      <c r="C1402" s="4">
        <f>B1402&amp;D1402</f>
        <v/>
      </c>
      <c r="D1402" s="4" t="inlineStr">
        <is>
          <t>SZ-S-3315-ORB-04</t>
        </is>
      </c>
      <c r="E1402" s="4" t="inlineStr">
        <is>
          <t>420F3315ORB</t>
        </is>
      </c>
      <c r="F1402" s="36" t="inlineStr">
        <is>
          <t>3315全抽拉弹簧厨房龙头拉丝古铜色</t>
        </is>
      </c>
      <c r="G1402" s="4" t="inlineStr">
        <is>
          <t>吕凯烨</t>
        </is>
      </c>
      <c r="H1402" s="4" t="inlineStr">
        <is>
          <t>厨房品线</t>
        </is>
      </c>
      <c r="I1402" s="12" t="inlineStr">
        <is>
          <t>否</t>
        </is>
      </c>
      <c r="J1402" s="34" t="n">
        <v>45834</v>
      </c>
      <c r="K1402" s="28" t="inlineStr">
        <is>
          <t>2025/9</t>
        </is>
      </c>
      <c r="L1402" s="0">
        <f>DATEDIF(J1402,$L$1,"M")</f>
        <v/>
      </c>
      <c r="M1402" s="0">
        <f>IF(L1402&lt;18,"新品期",IF(L1402&lt;=36,"老品期","衰退期"))</f>
        <v/>
      </c>
    </row>
    <row r="1403" ht="15" customFormat="1" customHeight="1" s="36">
      <c r="A1403" s="26" t="inlineStr">
        <is>
          <t>WINKEAR-US</t>
        </is>
      </c>
      <c r="B1403" s="26" t="inlineStr">
        <is>
          <t>Winkear美国站</t>
        </is>
      </c>
      <c r="C1403" s="4">
        <f>B1403&amp;D1403</f>
        <v/>
      </c>
      <c r="D1403" s="27" t="inlineStr">
        <is>
          <t>L0001-ORB</t>
        </is>
      </c>
      <c r="E1403" s="4" t="inlineStr">
        <is>
          <t>110F0001OB1</t>
        </is>
      </c>
      <c r="F1403" s="4" t="inlineStr">
        <is>
          <t>0001不锈钢面盆龙头拉丝古铜色</t>
        </is>
      </c>
      <c r="G1403" s="4" t="inlineStr">
        <is>
          <t>童劲威</t>
        </is>
      </c>
      <c r="H1403" s="4" t="inlineStr">
        <is>
          <t>面盆</t>
        </is>
      </c>
      <c r="I1403" s="12" t="inlineStr">
        <is>
          <t>否</t>
        </is>
      </c>
      <c r="J1403" s="34" t="n">
        <v>45870</v>
      </c>
      <c r="K1403" s="34" t="n">
        <v>45870</v>
      </c>
      <c r="L1403" s="0">
        <f>DATEDIF(J1403,$L$1,"M")</f>
        <v/>
      </c>
      <c r="M1403" s="0">
        <f>IF(L1403&lt;18,"新品期",IF(L1403&lt;=36,"老品期","衰退期"))</f>
        <v/>
      </c>
    </row>
    <row r="1404" ht="15" customFormat="1" customHeight="1" s="36">
      <c r="A1404" s="26" t="inlineStr">
        <is>
          <t>Wintap-US</t>
        </is>
      </c>
      <c r="B1404" s="26" t="inlineStr">
        <is>
          <t>Wintap美国站</t>
        </is>
      </c>
      <c r="C1404" s="4">
        <f>B1404&amp;D1404</f>
        <v/>
      </c>
      <c r="D1404" s="27" t="inlineStr">
        <is>
          <t>WT-9907ORB</t>
        </is>
      </c>
      <c r="E1404" s="4" t="inlineStr">
        <is>
          <t>221F0099OB1</t>
        </is>
      </c>
      <c r="F1404" s="4" t="inlineStr">
        <is>
          <t>99系列三件套缸边浴缸龙头 拉丝古铜色</t>
        </is>
      </c>
      <c r="G1404" s="4" t="inlineStr">
        <is>
          <t>陈巧娴</t>
        </is>
      </c>
      <c r="H1404" s="4" t="inlineStr">
        <is>
          <t>缸边浴缸</t>
        </is>
      </c>
      <c r="I1404" s="12" t="inlineStr">
        <is>
          <t>是</t>
        </is>
      </c>
      <c r="J1404" s="34" t="n">
        <v>45817</v>
      </c>
      <c r="K1404" s="25" t="n">
        <v>45869</v>
      </c>
      <c r="L1404" s="0">
        <f>DATEDIF(J1404,$L$1,"M")</f>
        <v/>
      </c>
      <c r="M1404" s="0">
        <f>IF(L1404&lt;18,"新品期",IF(L1404&lt;=36,"老品期","衰退期"))</f>
        <v/>
      </c>
      <c r="N1404" s="36" t="inlineStr">
        <is>
          <t>种子链接</t>
        </is>
      </c>
    </row>
    <row r="1405" ht="15" customFormat="1" customHeight="1" s="36">
      <c r="A1405" s="26" t="inlineStr">
        <is>
          <t>Wintap-US</t>
        </is>
      </c>
      <c r="B1405" s="26" t="inlineStr">
        <is>
          <t>Wintap美国站</t>
        </is>
      </c>
      <c r="C1405" s="4">
        <f>B1405&amp;D1405</f>
        <v/>
      </c>
      <c r="D1405" s="27" t="inlineStr">
        <is>
          <t>WT-9907BG</t>
        </is>
      </c>
      <c r="E1405" s="4" t="inlineStr">
        <is>
          <t>221F0099BG1</t>
        </is>
      </c>
      <c r="F1405" s="4" t="inlineStr">
        <is>
          <t>99系列三件套缸边浴缸龙头拉丝钛金封油</t>
        </is>
      </c>
      <c r="G1405" s="4" t="inlineStr">
        <is>
          <t>陈巧娴</t>
        </is>
      </c>
      <c r="H1405" s="4" t="inlineStr">
        <is>
          <t>缸边浴缸</t>
        </is>
      </c>
      <c r="I1405" s="12" t="inlineStr">
        <is>
          <t>是</t>
        </is>
      </c>
      <c r="J1405" s="34" t="n">
        <v>45817</v>
      </c>
      <c r="K1405" s="25" t="n">
        <v>45869</v>
      </c>
      <c r="L1405" s="0">
        <f>DATEDIF(J1405,$L$1,"M")</f>
        <v/>
      </c>
      <c r="M1405" s="0">
        <f>IF(L1405&lt;18,"新品期",IF(L1405&lt;=36,"老品期","衰退期"))</f>
        <v/>
      </c>
      <c r="N1405" s="36" t="inlineStr">
        <is>
          <t>种子链接</t>
        </is>
      </c>
    </row>
    <row r="1406" ht="15" customFormat="1" customHeight="1" s="36">
      <c r="A1406" s="26" t="inlineStr">
        <is>
          <t>Wintap-US</t>
        </is>
      </c>
      <c r="B1406" s="26" t="inlineStr">
        <is>
          <t>Wintap美国站</t>
        </is>
      </c>
      <c r="C1406" s="4">
        <f>B1406&amp;D1406</f>
        <v/>
      </c>
      <c r="D1406" s="27" t="inlineStr">
        <is>
          <t>WT-9907BK</t>
        </is>
      </c>
      <c r="E1406" s="4" t="inlineStr">
        <is>
          <t>221F0099BK1</t>
        </is>
      </c>
      <c r="F1406" s="4" t="inlineStr">
        <is>
          <t>99系列三件套缸边浴缸龙头电泳黑</t>
        </is>
      </c>
      <c r="G1406" s="4" t="inlineStr">
        <is>
          <t>陈巧娴</t>
        </is>
      </c>
      <c r="H1406" s="4" t="inlineStr">
        <is>
          <t>缸边浴缸</t>
        </is>
      </c>
      <c r="I1406" s="12" t="inlineStr">
        <is>
          <t>是</t>
        </is>
      </c>
      <c r="J1406" s="34" t="n">
        <v>45817</v>
      </c>
      <c r="K1406" s="25" t="n">
        <v>45869</v>
      </c>
      <c r="L1406" s="0">
        <f>DATEDIF(J1406,$L$1,"M")</f>
        <v/>
      </c>
      <c r="M1406" s="0">
        <f>IF(L1406&lt;18,"新品期",IF(L1406&lt;=36,"老品期","衰退期"))</f>
        <v/>
      </c>
      <c r="N1406" s="36" t="inlineStr">
        <is>
          <t>种子链接</t>
        </is>
      </c>
    </row>
    <row r="1407" ht="15" customFormat="1" customHeight="1" s="36">
      <c r="A1407" s="26" t="inlineStr">
        <is>
          <t>Wintap-US</t>
        </is>
      </c>
      <c r="B1407" s="26" t="inlineStr">
        <is>
          <t>Wintap美国站</t>
        </is>
      </c>
      <c r="C1407" s="4">
        <f>B1407&amp;D1407</f>
        <v/>
      </c>
      <c r="D1407" s="27" t="inlineStr">
        <is>
          <t>WT-9907BN</t>
        </is>
      </c>
      <c r="E1407" s="4" t="inlineStr">
        <is>
          <t>221F0099BN1</t>
        </is>
      </c>
      <c r="F1407" s="4" t="inlineStr">
        <is>
          <t>99系列三件套缸边浴缸龙头拉丝封油</t>
        </is>
      </c>
      <c r="G1407" s="4" t="inlineStr">
        <is>
          <t>陈巧娴</t>
        </is>
      </c>
      <c r="H1407" s="4" t="inlineStr">
        <is>
          <t>缸边浴缸</t>
        </is>
      </c>
      <c r="I1407" s="12" t="inlineStr">
        <is>
          <t>是</t>
        </is>
      </c>
      <c r="J1407" s="34" t="n">
        <v>45817</v>
      </c>
      <c r="K1407" s="25" t="n">
        <v>45869</v>
      </c>
      <c r="L1407" s="0">
        <f>DATEDIF(J1407,$L$1,"M")</f>
        <v/>
      </c>
      <c r="M1407" s="0">
        <f>IF(L1407&lt;18,"新品期",IF(L1407&lt;=36,"老品期","衰退期"))</f>
        <v/>
      </c>
      <c r="N1407" s="36" t="inlineStr">
        <is>
          <t>种子链接</t>
        </is>
      </c>
    </row>
    <row r="1408" ht="15" customFormat="1" customHeight="1" s="36">
      <c r="A1408" s="26" t="inlineStr">
        <is>
          <t>Wintap-US</t>
        </is>
      </c>
      <c r="B1408" s="26" t="inlineStr">
        <is>
          <t>Wintap美国站</t>
        </is>
      </c>
      <c r="C1408" s="4">
        <f>B1408&amp;D1408</f>
        <v/>
      </c>
      <c r="D1408" s="27" t="inlineStr">
        <is>
          <t>WT-9907CP</t>
        </is>
      </c>
      <c r="E1408" s="4" t="inlineStr">
        <is>
          <t>221F0099CP1</t>
        </is>
      </c>
      <c r="F1408" s="4" t="inlineStr">
        <is>
          <t>99系列三件套缸边浴缸龙头铬</t>
        </is>
      </c>
      <c r="G1408" s="4" t="inlineStr">
        <is>
          <t>陈巧娴</t>
        </is>
      </c>
      <c r="H1408" s="4" t="inlineStr">
        <is>
          <t>缸边浴缸</t>
        </is>
      </c>
      <c r="I1408" s="12" t="inlineStr">
        <is>
          <t>是</t>
        </is>
      </c>
      <c r="J1408" s="34" t="n">
        <v>45817</v>
      </c>
      <c r="K1408" s="25" t="n">
        <v>45869</v>
      </c>
      <c r="L1408" s="0">
        <f>DATEDIF(J1408,$L$1,"M")</f>
        <v/>
      </c>
      <c r="M1408" s="0">
        <f>IF(L1408&lt;18,"新品期",IF(L1408&lt;=36,"老品期","衰退期"))</f>
        <v/>
      </c>
      <c r="N1408" s="36" t="inlineStr">
        <is>
          <t>种子链接</t>
        </is>
      </c>
    </row>
    <row r="1409" ht="15" customFormat="1" customHeight="1" s="36">
      <c r="A1409" s="4" t="inlineStr">
        <is>
          <t>WINKEAR-CA</t>
        </is>
      </c>
      <c r="B1409" s="4" t="inlineStr">
        <is>
          <t>Winkear加拿大站</t>
        </is>
      </c>
      <c r="C1409" s="4">
        <f>B1409&amp;D1409</f>
        <v/>
      </c>
      <c r="D1409" s="18" t="inlineStr">
        <is>
          <t>L0001-BG</t>
        </is>
      </c>
      <c r="E1409" s="4" t="inlineStr">
        <is>
          <t>110F0001BG3</t>
        </is>
      </c>
      <c r="F1409" s="4" t="inlineStr">
        <is>
          <t>0001不锈钢面盆龙头拉丝锆金封油</t>
        </is>
      </c>
      <c r="G1409" s="4" t="inlineStr">
        <is>
          <t>童劲威</t>
        </is>
      </c>
      <c r="H1409" s="4" t="inlineStr">
        <is>
          <t>面盆</t>
        </is>
      </c>
      <c r="I1409" s="12" t="inlineStr">
        <is>
          <t>否</t>
        </is>
      </c>
      <c r="J1409" s="34" t="n">
        <v>45800</v>
      </c>
      <c r="K1409" s="34" t="n">
        <v>45800</v>
      </c>
      <c r="L1409" s="0">
        <f>DATEDIF(J1409,$L$1,"M")</f>
        <v/>
      </c>
      <c r="M1409" s="0">
        <f>IF(L1409&lt;18,"新品期",IF(L1409&lt;=36,"老品期","衰退期"))</f>
        <v/>
      </c>
    </row>
    <row r="1410" ht="15" customFormat="1" customHeight="1" s="36">
      <c r="A1410" s="4" t="inlineStr">
        <is>
          <t>WINKEAR-CA</t>
        </is>
      </c>
      <c r="B1410" s="4" t="inlineStr">
        <is>
          <t>Winkear加拿大站</t>
        </is>
      </c>
      <c r="C1410" s="4">
        <f>B1410&amp;D1410</f>
        <v/>
      </c>
      <c r="D1410" s="18" t="inlineStr">
        <is>
          <t>L0001-BK</t>
        </is>
      </c>
      <c r="E1410" s="4" t="inlineStr">
        <is>
          <t>110F0001BK1</t>
        </is>
      </c>
      <c r="F1410" s="4" t="inlineStr">
        <is>
          <t>0001不锈钢面盆龙头电泳黑</t>
        </is>
      </c>
      <c r="G1410" s="4" t="inlineStr">
        <is>
          <t>童劲威</t>
        </is>
      </c>
      <c r="H1410" s="4" t="inlineStr">
        <is>
          <t>面盆</t>
        </is>
      </c>
      <c r="I1410" s="12" t="inlineStr">
        <is>
          <t>否</t>
        </is>
      </c>
      <c r="J1410" s="34" t="n">
        <v>45800</v>
      </c>
      <c r="K1410" s="34" t="n">
        <v>45800</v>
      </c>
      <c r="L1410" s="0">
        <f>DATEDIF(J1410,$L$1,"M")</f>
        <v/>
      </c>
      <c r="M1410" s="0">
        <f>IF(L1410&lt;18,"新品期",IF(L1410&lt;=36,"老品期","衰退期"))</f>
        <v/>
      </c>
    </row>
    <row r="1411" ht="15" customFormat="1" customHeight="1" s="36">
      <c r="A1411" s="4" t="inlineStr">
        <is>
          <t>WINKEAR-CA</t>
        </is>
      </c>
      <c r="B1411" s="4" t="inlineStr">
        <is>
          <t>Winkear加拿大站</t>
        </is>
      </c>
      <c r="C1411" s="4">
        <f>B1411&amp;D1411</f>
        <v/>
      </c>
      <c r="D1411" s="18" t="inlineStr">
        <is>
          <t>B2211-BG</t>
        </is>
      </c>
      <c r="E1411" s="4" t="inlineStr">
        <is>
          <t>211F0022BG1</t>
        </is>
      </c>
      <c r="F1411" s="4" t="inlineStr">
        <is>
          <t>22系列二功能落地浴缸龙头拉丝钛金封油</t>
        </is>
      </c>
      <c r="G1411" s="4" t="inlineStr">
        <is>
          <t>刘皓</t>
        </is>
      </c>
      <c r="H1411" s="4" t="inlineStr">
        <is>
          <t>落地浴缸</t>
        </is>
      </c>
      <c r="I1411" s="12" t="inlineStr">
        <is>
          <t>否</t>
        </is>
      </c>
      <c r="J1411" s="34" t="n">
        <v>44792</v>
      </c>
      <c r="K1411" s="34" t="n">
        <v>44792</v>
      </c>
      <c r="L1411" s="0">
        <f>DATEDIF(J1411,$L$1,"M")</f>
        <v/>
      </c>
      <c r="M1411" s="0">
        <f>IF(L1411&lt;18,"新品期",IF(L1411&lt;=36,"老品期","衰退期"))</f>
        <v/>
      </c>
    </row>
    <row r="1412" ht="15" customFormat="1" customHeight="1" s="36">
      <c r="A1412" s="4" t="inlineStr">
        <is>
          <t>WINKEAR-CA</t>
        </is>
      </c>
      <c r="B1412" s="4" t="inlineStr">
        <is>
          <t>Winkear加拿大站</t>
        </is>
      </c>
      <c r="C1412" s="4">
        <f>B1412&amp;D1412</f>
        <v/>
      </c>
      <c r="D1412" s="18" t="inlineStr">
        <is>
          <t>L2204-BG</t>
        </is>
      </c>
      <c r="E1412" s="4" t="inlineStr">
        <is>
          <t>140F0022BG1</t>
        </is>
      </c>
      <c r="F1412" s="4" t="inlineStr">
        <is>
          <t>22系列四寸分体面盆龙头拉丝钛金封油</t>
        </is>
      </c>
      <c r="G1412" s="4" t="inlineStr">
        <is>
          <t>童劲威</t>
        </is>
      </c>
      <c r="H1412" s="4" t="inlineStr">
        <is>
          <t>面盆</t>
        </is>
      </c>
      <c r="I1412" s="12" t="inlineStr">
        <is>
          <t>否</t>
        </is>
      </c>
      <c r="J1412" s="34" t="n">
        <v>45800</v>
      </c>
      <c r="K1412" s="34" t="n">
        <v>45800</v>
      </c>
      <c r="L1412" s="0">
        <f>DATEDIF(J1412,$L$1,"M")</f>
        <v/>
      </c>
      <c r="M1412" s="0">
        <f>IF(L1412&lt;18,"新品期",IF(L1412&lt;=36,"老品期","衰退期"))</f>
        <v/>
      </c>
    </row>
    <row r="1413" ht="15" customFormat="1" customHeight="1" s="36">
      <c r="A1413" s="4" t="inlineStr">
        <is>
          <t>HANGORO-US</t>
        </is>
      </c>
      <c r="B1413" s="4" t="inlineStr">
        <is>
          <t>Hangoro美国站</t>
        </is>
      </c>
      <c r="C1413" s="4">
        <f>B1413&amp;D1413</f>
        <v/>
      </c>
      <c r="D1413" s="18" t="inlineStr">
        <is>
          <t>HG-8901BG</t>
        </is>
      </c>
      <c r="E1413" s="4" t="inlineStr">
        <is>
          <t>110F0089BG1</t>
        </is>
      </c>
      <c r="F1413" s="4" t="inlineStr">
        <is>
          <t>89系列矮身单孔正开面盆龙头拉丝钛金封油</t>
        </is>
      </c>
      <c r="G1413" s="4" t="inlineStr">
        <is>
          <t>曾志发</t>
        </is>
      </c>
      <c r="H1413" s="4" t="inlineStr">
        <is>
          <t>面盆</t>
        </is>
      </c>
      <c r="I1413" s="22" t="inlineStr">
        <is>
          <t>是</t>
        </is>
      </c>
      <c r="J1413" s="25" t="n">
        <v>45807</v>
      </c>
      <c r="K1413" s="25" t="n">
        <v>45884</v>
      </c>
      <c r="L1413" s="0">
        <f>DATEDIF(J1413,$L$1,"M")</f>
        <v/>
      </c>
      <c r="M1413" s="0">
        <f>IF(L1413&lt;18,"新品期",IF(L1413&lt;=36,"老品期","衰退期"))</f>
        <v/>
      </c>
      <c r="N1413" s="36" t="inlineStr">
        <is>
          <t>2025年9月1号以前梁丽梅负责</t>
        </is>
      </c>
    </row>
    <row r="1414" ht="15" customFormat="1" customHeight="1" s="36">
      <c r="A1414" s="4" t="inlineStr">
        <is>
          <t>HANGORO-US</t>
        </is>
      </c>
      <c r="B1414" s="4" t="inlineStr">
        <is>
          <t>Hangoro美国站</t>
        </is>
      </c>
      <c r="C1414" s="4">
        <f>B1414&amp;D1414</f>
        <v/>
      </c>
      <c r="D1414" s="18" t="inlineStr">
        <is>
          <t>HG-8904ORB</t>
        </is>
      </c>
      <c r="E1414" s="4" t="inlineStr">
        <is>
          <t>140F0089OB1</t>
        </is>
      </c>
      <c r="F1414" s="4" t="inlineStr">
        <is>
          <t>89系列分体面盆龙头拉丝红古铜</t>
        </is>
      </c>
      <c r="G1414" s="4" t="inlineStr">
        <is>
          <t>曾志发</t>
        </is>
      </c>
      <c r="H1414" s="4" t="inlineStr">
        <is>
          <t>面盆</t>
        </is>
      </c>
      <c r="I1414" s="22" t="inlineStr">
        <is>
          <t>是</t>
        </is>
      </c>
      <c r="J1414" s="25" t="n">
        <v>45807</v>
      </c>
      <c r="K1414" s="25" t="n">
        <v>45884</v>
      </c>
      <c r="L1414" s="0">
        <f>DATEDIF(J1414,$L$1,"M")</f>
        <v/>
      </c>
      <c r="M1414" s="0">
        <f>IF(L1414&lt;18,"新品期",IF(L1414&lt;=36,"老品期","衰退期"))</f>
        <v/>
      </c>
      <c r="N1414" s="36" t="inlineStr">
        <is>
          <t>2025年9月1号以前梁丽梅负责</t>
        </is>
      </c>
    </row>
    <row r="1415" ht="15" customFormat="1" customHeight="1" s="36">
      <c r="A1415" s="4" t="inlineStr">
        <is>
          <t>Qinkell-US</t>
        </is>
      </c>
      <c r="B1415" s="4" t="inlineStr">
        <is>
          <t>Qinkell美国站</t>
        </is>
      </c>
      <c r="C1415" s="4">
        <f>B1415&amp;D1415</f>
        <v/>
      </c>
      <c r="D1415" s="18" t="inlineStr">
        <is>
          <t>QC-9907BGZZ01</t>
        </is>
      </c>
      <c r="E1415" s="4" t="inlineStr">
        <is>
          <t>221F0099BG1</t>
        </is>
      </c>
      <c r="F1415" s="4" t="inlineStr">
        <is>
          <t>99系列三件套缸边浴缸龙头拉丝钛金封油</t>
        </is>
      </c>
      <c r="G1415" s="4" t="inlineStr">
        <is>
          <t>胡娟娟</t>
        </is>
      </c>
      <c r="H1415" s="4" t="inlineStr">
        <is>
          <t>缸边浴缸</t>
        </is>
      </c>
      <c r="I1415" s="12" t="inlineStr">
        <is>
          <t>是</t>
        </is>
      </c>
      <c r="J1415" s="34" t="n">
        <v>45817</v>
      </c>
      <c r="K1415" s="25" t="n">
        <v>45901</v>
      </c>
      <c r="L1415" s="0">
        <f>DATEDIF(J1415,$L$1,"M")</f>
        <v/>
      </c>
      <c r="M1415" s="0">
        <f>IF(L1415&lt;18,"新品期",IF(L1415&lt;=36,"老品期","衰退期"))</f>
        <v/>
      </c>
      <c r="N1415" s="36" t="inlineStr">
        <is>
          <t>种子链接,8月及以前是朱艺璇负责</t>
        </is>
      </c>
    </row>
    <row r="1416" ht="15" customFormat="1" customHeight="1" s="36">
      <c r="A1416" s="4" t="inlineStr">
        <is>
          <t>Qinkell-US</t>
        </is>
      </c>
      <c r="B1416" s="4" t="inlineStr">
        <is>
          <t>Qinkell美国站</t>
        </is>
      </c>
      <c r="C1416" s="4">
        <f>B1416&amp;D1416</f>
        <v/>
      </c>
      <c r="D1416" s="18" t="inlineStr">
        <is>
          <t>QC-9907BGZZ02</t>
        </is>
      </c>
      <c r="E1416" s="4" t="inlineStr">
        <is>
          <t>221F0099BG1</t>
        </is>
      </c>
      <c r="F1416" s="4" t="inlineStr">
        <is>
          <t>99系列三件套缸边浴缸龙头拉丝钛金封油</t>
        </is>
      </c>
      <c r="G1416" s="4" t="inlineStr">
        <is>
          <t>胡娟娟</t>
        </is>
      </c>
      <c r="H1416" s="4" t="inlineStr">
        <is>
          <t>缸边浴缸</t>
        </is>
      </c>
      <c r="I1416" s="12" t="inlineStr">
        <is>
          <t>是</t>
        </is>
      </c>
      <c r="J1416" s="34" t="n">
        <v>45817</v>
      </c>
      <c r="K1416" s="25" t="n">
        <v>45901</v>
      </c>
      <c r="L1416" s="0">
        <f>DATEDIF(J1416,$L$1,"M")</f>
        <v/>
      </c>
      <c r="M1416" s="0">
        <f>IF(L1416&lt;18,"新品期",IF(L1416&lt;=36,"老品期","衰退期"))</f>
        <v/>
      </c>
      <c r="N1416" s="36" t="inlineStr">
        <is>
          <t>种子链接,8月及以前是朱艺璇负责</t>
        </is>
      </c>
    </row>
    <row r="1417" ht="15" customFormat="1" customHeight="1" s="36">
      <c r="A1417" s="4" t="inlineStr">
        <is>
          <t>Qinkell-US</t>
        </is>
      </c>
      <c r="B1417" s="4" t="inlineStr">
        <is>
          <t>Qinkell美国站</t>
        </is>
      </c>
      <c r="C1417" s="4">
        <f>B1417&amp;D1417</f>
        <v/>
      </c>
      <c r="D1417" s="18" t="inlineStr">
        <is>
          <t>QC-9907BKZZ01</t>
        </is>
      </c>
      <c r="E1417" s="4" t="inlineStr">
        <is>
          <t>221F0099BK1</t>
        </is>
      </c>
      <c r="F1417" s="4" t="inlineStr">
        <is>
          <t>99系列三件套缸边浴缸龙头电泳黑</t>
        </is>
      </c>
      <c r="G1417" s="4" t="inlineStr">
        <is>
          <t>胡娟娟</t>
        </is>
      </c>
      <c r="H1417" s="4" t="inlineStr">
        <is>
          <t>缸边浴缸</t>
        </is>
      </c>
      <c r="I1417" s="12" t="inlineStr">
        <is>
          <t>是</t>
        </is>
      </c>
      <c r="J1417" s="34" t="n">
        <v>45817</v>
      </c>
      <c r="K1417" s="25" t="n">
        <v>45901</v>
      </c>
      <c r="L1417" s="0">
        <f>DATEDIF(J1417,$L$1,"M")</f>
        <v/>
      </c>
      <c r="M1417" s="0">
        <f>IF(L1417&lt;18,"新品期",IF(L1417&lt;=36,"老品期","衰退期"))</f>
        <v/>
      </c>
      <c r="N1417" s="36" t="inlineStr">
        <is>
          <t>种子链接,8月及以前是朱艺璇负责</t>
        </is>
      </c>
    </row>
    <row r="1418" ht="15" customFormat="1" customHeight="1" s="36">
      <c r="A1418" s="4" t="inlineStr">
        <is>
          <t>Qinkell-US</t>
        </is>
      </c>
      <c r="B1418" s="4" t="inlineStr">
        <is>
          <t>Qinkell美国站</t>
        </is>
      </c>
      <c r="C1418" s="4">
        <f>B1418&amp;D1418</f>
        <v/>
      </c>
      <c r="D1418" s="18" t="inlineStr">
        <is>
          <t>QC-9907BKZZ02</t>
        </is>
      </c>
      <c r="E1418" s="4" t="inlineStr">
        <is>
          <t>221F0099BK1</t>
        </is>
      </c>
      <c r="F1418" s="4" t="inlineStr">
        <is>
          <t>99系列三件套缸边浴缸龙头电泳黑</t>
        </is>
      </c>
      <c r="G1418" s="4" t="inlineStr">
        <is>
          <t>胡娟娟</t>
        </is>
      </c>
      <c r="H1418" s="4" t="inlineStr">
        <is>
          <t>缸边浴缸</t>
        </is>
      </c>
      <c r="I1418" s="12" t="inlineStr">
        <is>
          <t>是</t>
        </is>
      </c>
      <c r="J1418" s="34" t="n">
        <v>45817</v>
      </c>
      <c r="K1418" s="25" t="n">
        <v>45901</v>
      </c>
      <c r="L1418" s="0">
        <f>DATEDIF(J1418,$L$1,"M")</f>
        <v/>
      </c>
      <c r="M1418" s="0">
        <f>IF(L1418&lt;18,"新品期",IF(L1418&lt;=36,"老品期","衰退期"))</f>
        <v/>
      </c>
      <c r="N1418" s="36" t="inlineStr">
        <is>
          <t>种子链接,8月及以前是朱艺璇负责</t>
        </is>
      </c>
    </row>
    <row r="1419" ht="15" customFormat="1" customHeight="1" s="36">
      <c r="A1419" s="4" t="inlineStr">
        <is>
          <t>Qinkell-US</t>
        </is>
      </c>
      <c r="B1419" s="4" t="inlineStr">
        <is>
          <t>Qinkell美国站</t>
        </is>
      </c>
      <c r="C1419" s="4">
        <f>B1419&amp;D1419</f>
        <v/>
      </c>
      <c r="D1419" s="18" t="inlineStr">
        <is>
          <t>QC-9907BNZZ01</t>
        </is>
      </c>
      <c r="E1419" s="4" t="inlineStr">
        <is>
          <t>221F0099BN1</t>
        </is>
      </c>
      <c r="F1419" s="4" t="inlineStr">
        <is>
          <t>99系列三件套缸边浴缸龙头拉丝封油</t>
        </is>
      </c>
      <c r="G1419" s="4" t="inlineStr">
        <is>
          <t>胡娟娟</t>
        </is>
      </c>
      <c r="H1419" s="4" t="inlineStr">
        <is>
          <t>缸边浴缸</t>
        </is>
      </c>
      <c r="I1419" s="12" t="inlineStr">
        <is>
          <t>是</t>
        </is>
      </c>
      <c r="J1419" s="34" t="n">
        <v>45817</v>
      </c>
      <c r="K1419" s="25" t="n">
        <v>45901</v>
      </c>
      <c r="L1419" s="0">
        <f>DATEDIF(J1419,$L$1,"M")</f>
        <v/>
      </c>
      <c r="M1419" s="0">
        <f>IF(L1419&lt;18,"新品期",IF(L1419&lt;=36,"老品期","衰退期"))</f>
        <v/>
      </c>
      <c r="N1419" s="36" t="inlineStr">
        <is>
          <t>种子链接,8月及以前是朱艺璇负责</t>
        </is>
      </c>
    </row>
    <row r="1420" ht="15" customFormat="1" customHeight="1" s="36">
      <c r="A1420" s="4" t="inlineStr">
        <is>
          <t>Qinkell-US</t>
        </is>
      </c>
      <c r="B1420" s="4" t="inlineStr">
        <is>
          <t>Qinkell美国站</t>
        </is>
      </c>
      <c r="C1420" s="4">
        <f>B1420&amp;D1420</f>
        <v/>
      </c>
      <c r="D1420" s="18" t="inlineStr">
        <is>
          <t>QC-9907BNZZ02</t>
        </is>
      </c>
      <c r="E1420" s="4" t="inlineStr">
        <is>
          <t>221F0099BN1</t>
        </is>
      </c>
      <c r="F1420" s="4" t="inlineStr">
        <is>
          <t>99系列三件套缸边浴缸龙头拉丝封油</t>
        </is>
      </c>
      <c r="G1420" s="4" t="inlineStr">
        <is>
          <t>胡娟娟</t>
        </is>
      </c>
      <c r="H1420" s="4" t="inlineStr">
        <is>
          <t>缸边浴缸</t>
        </is>
      </c>
      <c r="I1420" s="12" t="inlineStr">
        <is>
          <t>是</t>
        </is>
      </c>
      <c r="J1420" s="34" t="n">
        <v>45817</v>
      </c>
      <c r="K1420" s="25" t="n">
        <v>45901</v>
      </c>
      <c r="L1420" s="0">
        <f>DATEDIF(J1420,$L$1,"M")</f>
        <v/>
      </c>
      <c r="M1420" s="0">
        <f>IF(L1420&lt;18,"新品期",IF(L1420&lt;=36,"老品期","衰退期"))</f>
        <v/>
      </c>
      <c r="N1420" s="36" t="inlineStr">
        <is>
          <t>种子链接,8月及以前是朱艺璇负责</t>
        </is>
      </c>
    </row>
    <row r="1421" ht="15" customFormat="1" customHeight="1" s="36">
      <c r="A1421" s="4" t="inlineStr">
        <is>
          <t>Qinkell-US</t>
        </is>
      </c>
      <c r="B1421" s="4" t="inlineStr">
        <is>
          <t>Qinkell美国站</t>
        </is>
      </c>
      <c r="C1421" s="4">
        <f>B1421&amp;D1421</f>
        <v/>
      </c>
      <c r="D1421" s="18" t="inlineStr">
        <is>
          <t>QC-9907ORBZZ</t>
        </is>
      </c>
      <c r="E1421" s="4" t="inlineStr">
        <is>
          <t>221F0099OB1</t>
        </is>
      </c>
      <c r="F1421" s="4" t="inlineStr">
        <is>
          <t>99系列三件套缸边浴缸龙头 拉丝古铜色</t>
        </is>
      </c>
      <c r="G1421" s="4" t="inlineStr">
        <is>
          <t>胡娟娟</t>
        </is>
      </c>
      <c r="H1421" s="4" t="inlineStr">
        <is>
          <t>缸边浴缸</t>
        </is>
      </c>
      <c r="I1421" s="12" t="inlineStr">
        <is>
          <t>是</t>
        </is>
      </c>
      <c r="J1421" s="34" t="n">
        <v>45817</v>
      </c>
      <c r="K1421" s="25" t="n">
        <v>45901</v>
      </c>
      <c r="L1421" s="0">
        <f>DATEDIF(J1421,$L$1,"M")</f>
        <v/>
      </c>
      <c r="M1421" s="0">
        <f>IF(L1421&lt;18,"新品期",IF(L1421&lt;=36,"老品期","衰退期"))</f>
        <v/>
      </c>
      <c r="N1421" s="36" t="inlineStr">
        <is>
          <t>种子链接,8月及以前是朱艺璇负责</t>
        </is>
      </c>
    </row>
    <row r="1422" ht="15" customFormat="1" customHeight="1" s="36">
      <c r="A1422" s="4" t="inlineStr">
        <is>
          <t>HANGORO-US</t>
        </is>
      </c>
      <c r="B1422" s="18" t="inlineStr">
        <is>
          <t>Hangoro美国站</t>
        </is>
      </c>
      <c r="C1422" s="4">
        <f>B1422&amp;D1422</f>
        <v/>
      </c>
      <c r="D1422" s="18" t="inlineStr">
        <is>
          <t>HG-8901ORB</t>
        </is>
      </c>
      <c r="E1422" s="4" t="inlineStr">
        <is>
          <t>110F0089OB1</t>
        </is>
      </c>
      <c r="F1422" s="4" t="inlineStr">
        <is>
          <t>89系列矮身单孔正开面盆龙头拉丝红古铜</t>
        </is>
      </c>
      <c r="G1422" s="4" t="inlineStr">
        <is>
          <t>曾志发</t>
        </is>
      </c>
      <c r="H1422" s="4" t="inlineStr">
        <is>
          <t>面盆</t>
        </is>
      </c>
      <c r="I1422" s="22" t="inlineStr">
        <is>
          <t>是</t>
        </is>
      </c>
      <c r="J1422" s="25" t="n">
        <v>45807</v>
      </c>
      <c r="K1422" s="25" t="n">
        <v>45884</v>
      </c>
      <c r="L1422" s="0">
        <f>DATEDIF(J1422,$L$1,"M")</f>
        <v/>
      </c>
      <c r="M1422" s="0">
        <f>IF(L1422&lt;18,"新品期",IF(L1422&lt;=36,"老品期","衰退期"))</f>
        <v/>
      </c>
      <c r="N1422" s="36" t="inlineStr">
        <is>
          <t>2025年9月1号以前梁丽梅负责</t>
        </is>
      </c>
    </row>
    <row r="1423" ht="15" customFormat="1" customHeight="1" s="36">
      <c r="A1423" s="4" t="inlineStr">
        <is>
          <t>HANGORO-US</t>
        </is>
      </c>
      <c r="B1423" s="18" t="inlineStr">
        <is>
          <t>Hangoro美国站</t>
        </is>
      </c>
      <c r="C1423" s="4">
        <f>B1423&amp;D1423</f>
        <v/>
      </c>
      <c r="D1423" s="18" t="inlineStr">
        <is>
          <t>HG-8904BG</t>
        </is>
      </c>
      <c r="E1423" s="4" t="inlineStr">
        <is>
          <t>140F0089BG1</t>
        </is>
      </c>
      <c r="F1423" s="4" t="inlineStr">
        <is>
          <t>89系列分体面盆龙头拉丝钛金封油</t>
        </is>
      </c>
      <c r="G1423" s="4" t="inlineStr">
        <is>
          <t>曾志发</t>
        </is>
      </c>
      <c r="H1423" s="4" t="inlineStr">
        <is>
          <t>面盆</t>
        </is>
      </c>
      <c r="I1423" s="22" t="inlineStr">
        <is>
          <t>是</t>
        </is>
      </c>
      <c r="J1423" s="25" t="n">
        <v>45807</v>
      </c>
      <c r="K1423" s="25" t="n">
        <v>45884</v>
      </c>
      <c r="L1423" s="0">
        <f>DATEDIF(J1423,$L$1,"M")</f>
        <v/>
      </c>
      <c r="M1423" s="0">
        <f>IF(L1423&lt;18,"新品期",IF(L1423&lt;=36,"老品期","衰退期"))</f>
        <v/>
      </c>
      <c r="N1423" s="36" t="inlineStr">
        <is>
          <t>2025年9月1号以前梁丽梅负责</t>
        </is>
      </c>
    </row>
    <row r="1424" ht="15" customFormat="1" customHeight="1" s="36">
      <c r="A1424" s="4" t="inlineStr">
        <is>
          <t>tacuet-CA</t>
        </is>
      </c>
      <c r="B1424" s="4" t="inlineStr">
        <is>
          <t>Taucet加拿大站</t>
        </is>
      </c>
      <c r="C1424" s="4">
        <f>B1424&amp;D1424</f>
        <v/>
      </c>
      <c r="D1424" s="4" t="inlineStr">
        <is>
          <t>TT-9701RGBK01</t>
        </is>
      </c>
      <c r="E1424" s="4" t="inlineStr">
        <is>
          <t>110F0097RB1</t>
        </is>
      </c>
      <c r="F1424" s="4" t="inlineStr">
        <is>
          <t>97系列矮身单孔正开面盆龙头拉丝玫瑰金+黑色</t>
        </is>
      </c>
      <c r="G1424" s="4" t="inlineStr">
        <is>
          <t>童劲威</t>
        </is>
      </c>
      <c r="H1424" s="4" t="inlineStr">
        <is>
          <t>面盆</t>
        </is>
      </c>
      <c r="I1424" s="12" t="inlineStr">
        <is>
          <t>是</t>
        </is>
      </c>
      <c r="J1424" s="34" t="n">
        <v>45149</v>
      </c>
      <c r="K1424" s="34" t="n">
        <v>45149</v>
      </c>
      <c r="L1424" s="0">
        <f>DATEDIF(J1424,$L$1,"M")</f>
        <v/>
      </c>
      <c r="M1424" s="0">
        <f>IF(L1424&lt;18,"新品期",IF(L1424&lt;=36,"老品期","衰退期"))</f>
        <v/>
      </c>
      <c r="N1424" s="4" t="inlineStr">
        <is>
          <t>清完不卖</t>
        </is>
      </c>
    </row>
    <row r="1425" ht="15" customFormat="1" customHeight="1" s="36">
      <c r="A1425" s="26" t="inlineStr">
        <is>
          <t>Wintap-US</t>
        </is>
      </c>
      <c r="B1425" s="26" t="inlineStr">
        <is>
          <t>Wintap美国站</t>
        </is>
      </c>
      <c r="C1425" s="4">
        <f>B1425&amp;D1425</f>
        <v/>
      </c>
      <c r="D1425" s="18" t="inlineStr">
        <is>
          <t>WT-3311-BK</t>
        </is>
      </c>
      <c r="E1425" s="4" t="inlineStr">
        <is>
          <t>211F0033BK1</t>
        </is>
      </c>
      <c r="F1425" s="4" t="inlineStr">
        <is>
          <t>经济款二功能落地浴缸龙头哑黑</t>
        </is>
      </c>
      <c r="G1425" s="4" t="inlineStr">
        <is>
          <t>刘皓</t>
        </is>
      </c>
      <c r="H1425" s="4" t="inlineStr">
        <is>
          <t>落地浴缸</t>
        </is>
      </c>
      <c r="I1425" s="12" t="inlineStr">
        <is>
          <t>否</t>
        </is>
      </c>
      <c r="J1425" s="34" t="n">
        <v>45943</v>
      </c>
      <c r="K1425" s="25" t="n">
        <v>45943</v>
      </c>
      <c r="L1425" s="0">
        <f>DATEDIF(J1425,$L$1,"M")</f>
        <v/>
      </c>
      <c r="M1425" s="0">
        <f>IF(L1425&lt;18,"新品期",IF(L1425&lt;=36,"老品期","衰退期"))</f>
        <v/>
      </c>
    </row>
    <row r="1426" ht="15" customFormat="1" customHeight="1" s="36">
      <c r="A1426" s="26" t="inlineStr">
        <is>
          <t>Wintap-US</t>
        </is>
      </c>
      <c r="B1426" s="26" t="inlineStr">
        <is>
          <t>Wintap美国站</t>
        </is>
      </c>
      <c r="C1426" s="4">
        <f>B1426&amp;D1426</f>
        <v/>
      </c>
      <c r="D1426" s="18" t="inlineStr">
        <is>
          <t>WT-3311-BN</t>
        </is>
      </c>
      <c r="E1426" s="4" t="inlineStr">
        <is>
          <t>211F0033BN1</t>
        </is>
      </c>
      <c r="F1426" s="4" t="inlineStr">
        <is>
          <t>3311落地浴缸龙头拉丝封油</t>
        </is>
      </c>
      <c r="G1426" s="4" t="inlineStr">
        <is>
          <t>刘皓</t>
        </is>
      </c>
      <c r="H1426" s="4" t="inlineStr">
        <is>
          <t>落地浴缸</t>
        </is>
      </c>
      <c r="I1426" s="12" t="inlineStr">
        <is>
          <t>否</t>
        </is>
      </c>
      <c r="J1426" s="34" t="n">
        <v>45943</v>
      </c>
      <c r="K1426" s="25" t="n">
        <v>45943</v>
      </c>
      <c r="L1426" s="0">
        <f>DATEDIF(J1426,$L$1,"M")</f>
        <v/>
      </c>
      <c r="M1426" s="0">
        <f>IF(L1426&lt;18,"新品期",IF(L1426&lt;=36,"老品期","衰退期"))</f>
        <v/>
      </c>
    </row>
    <row r="1427" ht="15" customFormat="1" customHeight="1" s="36">
      <c r="A1427" s="26" t="inlineStr">
        <is>
          <t>Wintap-US</t>
        </is>
      </c>
      <c r="B1427" s="26" t="inlineStr">
        <is>
          <t>Wintap美国站</t>
        </is>
      </c>
      <c r="C1427" s="4">
        <f>B1427&amp;D1427</f>
        <v/>
      </c>
      <c r="D1427" s="18" t="inlineStr">
        <is>
          <t>WT-3311-BG</t>
        </is>
      </c>
      <c r="E1427" s="4" t="inlineStr">
        <is>
          <t>211F0033BG3</t>
        </is>
      </c>
      <c r="F1427" s="4" t="inlineStr">
        <is>
          <t>3311落地浴缸龙头拉丝锆金封油</t>
        </is>
      </c>
      <c r="G1427" s="4" t="inlineStr">
        <is>
          <t>刘皓</t>
        </is>
      </c>
      <c r="H1427" s="4" t="inlineStr">
        <is>
          <t>落地浴缸</t>
        </is>
      </c>
      <c r="I1427" s="12" t="inlineStr">
        <is>
          <t>否</t>
        </is>
      </c>
      <c r="J1427" s="34" t="n">
        <v>45943</v>
      </c>
      <c r="K1427" s="25" t="n">
        <v>45943</v>
      </c>
      <c r="L1427" s="0">
        <f>DATEDIF(J1427,$L$1,"M")</f>
        <v/>
      </c>
      <c r="M1427" s="0">
        <f>IF(L1427&lt;18,"新品期",IF(L1427&lt;=36,"老品期","衰退期"))</f>
        <v/>
      </c>
    </row>
    <row r="1428" ht="15" customFormat="1" customHeight="1" s="36">
      <c r="A1428" s="26" t="inlineStr">
        <is>
          <t>Wintap-US</t>
        </is>
      </c>
      <c r="B1428" s="26" t="inlineStr">
        <is>
          <t>Wintap美国站</t>
        </is>
      </c>
      <c r="C1428" s="4">
        <f>B1428&amp;D1428</f>
        <v/>
      </c>
      <c r="D1428" s="18" t="inlineStr">
        <is>
          <t>WT-3311-ORB</t>
        </is>
      </c>
      <c r="E1428" s="4" t="inlineStr">
        <is>
          <t>211F0033OB1</t>
        </is>
      </c>
      <c r="F1428" s="4" t="inlineStr">
        <is>
          <t>3311落地浴缸龙头ORB</t>
        </is>
      </c>
      <c r="G1428" s="4" t="inlineStr">
        <is>
          <t>刘皓</t>
        </is>
      </c>
      <c r="H1428" s="4" t="inlineStr">
        <is>
          <t>落地浴缸</t>
        </is>
      </c>
      <c r="I1428" s="12" t="inlineStr">
        <is>
          <t>否</t>
        </is>
      </c>
      <c r="J1428" s="34" t="n">
        <v>45943</v>
      </c>
      <c r="K1428" s="25" t="n">
        <v>45943</v>
      </c>
      <c r="L1428" s="0">
        <f>DATEDIF(J1428,$L$1,"M")</f>
        <v/>
      </c>
      <c r="M1428" s="0">
        <f>IF(L1428&lt;18,"新品期",IF(L1428&lt;=36,"老品期","衰退期"))</f>
        <v/>
      </c>
    </row>
    <row r="1429" ht="15" customFormat="1" customHeight="1" s="36">
      <c r="A1429" s="18" t="inlineStr">
        <is>
          <t>Hanallx-CA</t>
        </is>
      </c>
      <c r="B1429" s="18" t="inlineStr">
        <is>
          <t>Hanallx加拿大站</t>
        </is>
      </c>
      <c r="C1429" s="4">
        <f>B1429&amp;D1429</f>
        <v/>
      </c>
      <c r="D1429" s="18" t="inlineStr">
        <is>
          <t>HM-8804-CP1</t>
        </is>
      </c>
      <c r="E1429" s="4" t="inlineStr">
        <is>
          <t>140F0088CP1</t>
        </is>
      </c>
      <c r="F1429" s="4" t="inlineStr">
        <is>
          <t>88系列分体面盆龙头铬色</t>
        </is>
      </c>
      <c r="G1429" s="4" t="inlineStr">
        <is>
          <t>曾志发</t>
        </is>
      </c>
      <c r="H1429" s="4" t="inlineStr">
        <is>
          <t>面盆</t>
        </is>
      </c>
      <c r="I1429" s="22" t="inlineStr">
        <is>
          <t>是</t>
        </is>
      </c>
      <c r="J1429" s="34" t="n">
        <v>45586</v>
      </c>
      <c r="K1429" s="34" t="n">
        <v>45586</v>
      </c>
      <c r="L1429" s="0">
        <f>DATEDIF(J1429,$L$1,"M")</f>
        <v/>
      </c>
      <c r="M1429" s="0">
        <f>IF(L1429&lt;18,"新品期",IF(L1429&lt;=36,"老品期","衰退期"))</f>
        <v/>
      </c>
      <c r="N1429" s="36" t="inlineStr">
        <is>
          <t>没有运营，2025年9月1号以前梁丽梅负责</t>
        </is>
      </c>
    </row>
    <row r="1430" ht="15" customFormat="1" customHeight="1" s="36">
      <c r="A1430" s="18" t="inlineStr">
        <is>
          <t>Hanallx-CA</t>
        </is>
      </c>
      <c r="B1430" s="18" t="inlineStr">
        <is>
          <t>Hanallx加拿大站</t>
        </is>
      </c>
      <c r="C1430" s="4">
        <f>B1430&amp;D1430</f>
        <v/>
      </c>
      <c r="D1430" s="18" t="inlineStr">
        <is>
          <t>HM-8811-BG</t>
        </is>
      </c>
      <c r="E1430" s="4" t="inlineStr">
        <is>
          <t>211F0088BG1</t>
        </is>
      </c>
      <c r="F1430" s="4" t="inlineStr">
        <is>
          <t>8811落地浴缸龙头拉丝钛金封油</t>
        </is>
      </c>
      <c r="G1430" s="37" t="inlineStr">
        <is>
          <t>刘皓</t>
        </is>
      </c>
      <c r="H1430" s="4" t="inlineStr">
        <is>
          <t>落地浴缸</t>
        </is>
      </c>
      <c r="I1430" s="12" t="inlineStr">
        <is>
          <t>否</t>
        </is>
      </c>
      <c r="J1430" s="34" t="n">
        <v>45706</v>
      </c>
      <c r="K1430" s="34" t="n">
        <v>45748</v>
      </c>
      <c r="L1430" s="0">
        <f>DATEDIF(J1430,$L$1,"M")</f>
        <v/>
      </c>
      <c r="M1430" s="0">
        <f>IF(L1430&lt;18,"新品期",IF(L1430&lt;=36,"老品期","衰退期"))</f>
        <v/>
      </c>
      <c r="N1430" s="37" t="inlineStr">
        <is>
          <t>2026年4月17日之前王幸负责</t>
        </is>
      </c>
    </row>
    <row r="1431" ht="15" customFormat="1" customHeight="1" s="36">
      <c r="A1431" s="18" t="inlineStr">
        <is>
          <t>Hangoro-CA</t>
        </is>
      </c>
      <c r="B1431" s="18" t="inlineStr">
        <is>
          <t>Hangoro加拿大站</t>
        </is>
      </c>
      <c r="C1431" s="4">
        <f>B1431&amp;D1431</f>
        <v/>
      </c>
      <c r="D1431" s="18" t="inlineStr">
        <is>
          <t>B2309-ORB</t>
        </is>
      </c>
      <c r="E1431" s="4" t="inlineStr">
        <is>
          <t>223F0023OB1</t>
        </is>
      </c>
      <c r="F1431" s="4" t="inlineStr">
        <is>
          <t>23系列五件套缸边浴缸龙头拉丝古铜色</t>
        </is>
      </c>
      <c r="G1431" s="36" t="inlineStr">
        <is>
          <t>胡娟娟</t>
        </is>
      </c>
      <c r="H1431" s="4" t="inlineStr">
        <is>
          <t>缸边浴缸</t>
        </is>
      </c>
      <c r="I1431" s="12" t="inlineStr">
        <is>
          <t>否</t>
        </is>
      </c>
      <c r="J1431" s="34" t="n">
        <v>44827</v>
      </c>
      <c r="K1431" s="34" t="n">
        <v>44827</v>
      </c>
      <c r="L1431" s="0">
        <f>DATEDIF(J1431,$L$1,"M")</f>
        <v/>
      </c>
      <c r="M1431" s="0">
        <f>IF(L1431&lt;18,"新品期",IF(L1431&lt;=36,"老品期","衰退期"))</f>
        <v/>
      </c>
      <c r="N1431" s="36" t="inlineStr">
        <is>
          <t>2026年1月以前王幸负责，2026年1月开始胡娟娟负责</t>
        </is>
      </c>
    </row>
    <row r="1432" ht="15" customFormat="1" customHeight="1" s="36">
      <c r="A1432" s="18" t="inlineStr">
        <is>
          <t>Hangoro-CA</t>
        </is>
      </c>
      <c r="B1432" s="18" t="inlineStr">
        <is>
          <t>Hangoro加拿大站</t>
        </is>
      </c>
      <c r="C1432" s="4">
        <f>B1432&amp;D1432</f>
        <v/>
      </c>
      <c r="D1432" s="18" t="inlineStr">
        <is>
          <t>L2305-ORB</t>
        </is>
      </c>
      <c r="E1432" s="4" t="inlineStr">
        <is>
          <t>150F0023OB1</t>
        </is>
      </c>
      <c r="F1432" s="4" t="inlineStr">
        <is>
          <t>23系列入墙面盆龙头拉丝古铜色</t>
        </is>
      </c>
      <c r="G1432" s="4" t="inlineStr">
        <is>
          <t>曾志发</t>
        </is>
      </c>
      <c r="H1432" s="4" t="inlineStr">
        <is>
          <t>面盆</t>
        </is>
      </c>
      <c r="I1432" s="12" t="inlineStr">
        <is>
          <t>是</t>
        </is>
      </c>
      <c r="J1432" s="34" t="n">
        <v>44804</v>
      </c>
      <c r="K1432" s="34" t="n">
        <v>44757</v>
      </c>
      <c r="L1432" s="0">
        <f>DATEDIF(J1432,$L$1,"M")</f>
        <v/>
      </c>
      <c r="M1432" s="0">
        <f>IF(L1432&lt;18,"新品期",IF(L1432&lt;=36,"老品期","衰退期"))</f>
        <v/>
      </c>
      <c r="N1432" s="36" t="inlineStr">
        <is>
          <t>没有运营，2025年9月1号以前梁丽梅负责</t>
        </is>
      </c>
    </row>
    <row r="1433" ht="15" customFormat="1" customHeight="1" s="36">
      <c r="A1433" s="18" t="inlineStr">
        <is>
          <t>Hangoro-US</t>
        </is>
      </c>
      <c r="B1433" s="18" t="inlineStr">
        <is>
          <t>Hangoro美国站</t>
        </is>
      </c>
      <c r="C1433" s="4">
        <f>B1433&amp;D1433</f>
        <v/>
      </c>
      <c r="D1433" s="18" t="inlineStr">
        <is>
          <t>HG-8901BK</t>
        </is>
      </c>
      <c r="E1433" s="4" t="inlineStr">
        <is>
          <t>110F0089BK1</t>
        </is>
      </c>
      <c r="F1433" s="4" t="inlineStr">
        <is>
          <t>89系列矮身单孔正开面盆龙头电泳黑</t>
        </is>
      </c>
      <c r="G1433" s="4" t="inlineStr">
        <is>
          <t>曾志发</t>
        </is>
      </c>
      <c r="H1433" s="4" t="inlineStr">
        <is>
          <t>面盆</t>
        </is>
      </c>
      <c r="I1433" s="22" t="inlineStr">
        <is>
          <t>是</t>
        </is>
      </c>
      <c r="J1433" s="25" t="n">
        <v>45807</v>
      </c>
      <c r="K1433" s="25" t="n">
        <v>45884</v>
      </c>
      <c r="L1433" s="0">
        <f>DATEDIF(J1433,$L$1,"M")</f>
        <v/>
      </c>
      <c r="M1433" s="0">
        <f>IF(L1433&lt;18,"新品期",IF(L1433&lt;=36,"老品期","衰退期"))</f>
        <v/>
      </c>
      <c r="N1433" s="36" t="inlineStr">
        <is>
          <t>2025年9月1号以前梁丽梅负责</t>
        </is>
      </c>
    </row>
    <row r="1434" ht="15" customFormat="1" customHeight="1" s="36">
      <c r="A1434" s="18" t="inlineStr">
        <is>
          <t>Hangoro-US</t>
        </is>
      </c>
      <c r="B1434" s="18" t="inlineStr">
        <is>
          <t>Hangoro美国站</t>
        </is>
      </c>
      <c r="C1434" s="4">
        <f>B1434&amp;D1434</f>
        <v/>
      </c>
      <c r="D1434" s="18" t="inlineStr">
        <is>
          <t>HG-8901BN</t>
        </is>
      </c>
      <c r="E1434" s="4" t="inlineStr">
        <is>
          <t>110F0089BN1</t>
        </is>
      </c>
      <c r="F1434" s="4" t="inlineStr">
        <is>
          <t>89系列矮身单孔正开面盆龙头拉丝封油</t>
        </is>
      </c>
      <c r="G1434" s="4" t="inlineStr">
        <is>
          <t>曾志发</t>
        </is>
      </c>
      <c r="H1434" s="4" t="inlineStr">
        <is>
          <t>面盆</t>
        </is>
      </c>
      <c r="I1434" s="22" t="inlineStr">
        <is>
          <t>是</t>
        </is>
      </c>
      <c r="J1434" s="25" t="n">
        <v>45807</v>
      </c>
      <c r="K1434" s="25" t="n">
        <v>45884</v>
      </c>
      <c r="L1434" s="0">
        <f>DATEDIF(J1434,$L$1,"M")</f>
        <v/>
      </c>
      <c r="M1434" s="0">
        <f>IF(L1434&lt;18,"新品期",IF(L1434&lt;=36,"老品期","衰退期"))</f>
        <v/>
      </c>
      <c r="N1434" s="36" t="inlineStr">
        <is>
          <t>2025年9月1号以前梁丽梅负责</t>
        </is>
      </c>
    </row>
    <row r="1435" ht="15" customFormat="1" customHeight="1" s="36">
      <c r="A1435" s="18" t="inlineStr">
        <is>
          <t>Hangoro-US</t>
        </is>
      </c>
      <c r="B1435" s="18" t="inlineStr">
        <is>
          <t>Hangoro美国站</t>
        </is>
      </c>
      <c r="C1435" s="4">
        <f>B1435&amp;D1435</f>
        <v/>
      </c>
      <c r="D1435" s="18" t="inlineStr">
        <is>
          <t>HG-8904BN</t>
        </is>
      </c>
      <c r="E1435" s="4" t="inlineStr">
        <is>
          <t>140F0089BN1</t>
        </is>
      </c>
      <c r="F1435" s="4" t="inlineStr">
        <is>
          <t>89系列分体面盆龙头拉丝封油</t>
        </is>
      </c>
      <c r="G1435" s="4" t="inlineStr">
        <is>
          <t>曾志发</t>
        </is>
      </c>
      <c r="H1435" s="4" t="inlineStr">
        <is>
          <t>面盆</t>
        </is>
      </c>
      <c r="I1435" s="22" t="inlineStr">
        <is>
          <t>是</t>
        </is>
      </c>
      <c r="J1435" s="25" t="n">
        <v>45807</v>
      </c>
      <c r="K1435" s="25" t="n">
        <v>45884</v>
      </c>
      <c r="L1435" s="0">
        <f>DATEDIF(J1435,$L$1,"M")</f>
        <v/>
      </c>
      <c r="M1435" s="0">
        <f>IF(L1435&lt;18,"新品期",IF(L1435&lt;=36,"老品期","衰退期"))</f>
        <v/>
      </c>
      <c r="N1435" s="36" t="inlineStr">
        <is>
          <t>2025年9月1号以前梁丽梅负责</t>
        </is>
      </c>
    </row>
    <row r="1436" ht="15" customFormat="1" customHeight="1" s="36">
      <c r="A1436" s="18" t="inlineStr">
        <is>
          <t>soebiz-US</t>
        </is>
      </c>
      <c r="B1436" s="18" t="inlineStr">
        <is>
          <t>Soebiz美国站</t>
        </is>
      </c>
      <c r="C1436" s="4">
        <f>B1436&amp;D1436</f>
        <v/>
      </c>
      <c r="D1436" s="18" t="inlineStr">
        <is>
          <t>AZ-US-SOEBIZ-GE</t>
        </is>
      </c>
      <c r="E1436" s="4" t="inlineStr">
        <is>
          <t>610F0001C01</t>
        </is>
      </c>
      <c r="F1436" s="4" t="inlineStr">
        <is>
          <t>35芯平脚阀芯(凯利适阀芯)蓝色</t>
        </is>
      </c>
      <c r="G1436" s="4" t="inlineStr">
        <is>
          <t>吕凯烨</t>
        </is>
      </c>
      <c r="H1436" s="4" t="inlineStr">
        <is>
          <t>厨房品线</t>
        </is>
      </c>
      <c r="I1436" s="12" t="inlineStr">
        <is>
          <t>否</t>
        </is>
      </c>
      <c r="J1436" s="34" t="n">
        <v>45874</v>
      </c>
      <c r="K1436" s="34" t="n">
        <v>45917</v>
      </c>
      <c r="L1436" s="0">
        <f>DATEDIF(J1436,$L$1,"M")</f>
        <v/>
      </c>
      <c r="M1436" s="0">
        <f>IF(L1436&lt;18,"新品期",IF(L1436&lt;=36,"老品期","衰退期"))</f>
        <v/>
      </c>
      <c r="N1436" s="36" t="inlineStr">
        <is>
          <t>售后链接</t>
        </is>
      </c>
    </row>
    <row r="1437" ht="15" customFormat="1" customHeight="1" s="36">
      <c r="A1437" s="18" t="inlineStr">
        <is>
          <t>WINKEAR-CA</t>
        </is>
      </c>
      <c r="B1437" s="18" t="inlineStr">
        <is>
          <t>Winkear加拿大站</t>
        </is>
      </c>
      <c r="C1437" s="4">
        <f>B1437&amp;D1437</f>
        <v/>
      </c>
      <c r="D1437" s="18" t="inlineStr">
        <is>
          <t>B2208-BG</t>
        </is>
      </c>
      <c r="E1437" s="18" t="inlineStr">
        <is>
          <t>222F0022BG1</t>
        </is>
      </c>
      <c r="F1437" s="4" t="inlineStr">
        <is>
          <t>22系列四件套缸边浴缸龙头拉丝钛金封油</t>
        </is>
      </c>
      <c r="G1437" s="4" t="inlineStr">
        <is>
          <t>胡娟娟</t>
        </is>
      </c>
      <c r="H1437" s="4" t="inlineStr">
        <is>
          <t>缸边浴缸</t>
        </is>
      </c>
      <c r="I1437" s="12" t="inlineStr">
        <is>
          <t>否</t>
        </is>
      </c>
      <c r="J1437" s="34" t="n">
        <v>44714</v>
      </c>
      <c r="K1437" s="34" t="n">
        <v>44714</v>
      </c>
      <c r="L1437" s="0">
        <f>DATEDIF(J1437,$L$1,"M")</f>
        <v/>
      </c>
      <c r="M1437" s="0">
        <f>IF(L1437&lt;18,"新品期",IF(L1437&lt;=36,"老品期","衰退期"))</f>
        <v/>
      </c>
    </row>
    <row r="1438" ht="15" customFormat="1" customHeight="1" s="36">
      <c r="A1438" s="18" t="inlineStr">
        <is>
          <t>WINKEAR-CA</t>
        </is>
      </c>
      <c r="B1438" s="18" t="inlineStr">
        <is>
          <t>Winkear加拿大站</t>
        </is>
      </c>
      <c r="C1438" s="4">
        <f>B1438&amp;D1438</f>
        <v/>
      </c>
      <c r="D1438" s="18" t="inlineStr">
        <is>
          <t>B2209-CP</t>
        </is>
      </c>
      <c r="E1438" s="18" t="inlineStr">
        <is>
          <t>223F0022CP1</t>
        </is>
      </c>
      <c r="F1438" s="4" t="inlineStr">
        <is>
          <t>22系列五件套缸边浴缸龙头铬</t>
        </is>
      </c>
      <c r="G1438" s="4" t="inlineStr">
        <is>
          <t>胡娟娟</t>
        </is>
      </c>
      <c r="H1438" s="4" t="inlineStr">
        <is>
          <t>缸边浴缸</t>
        </is>
      </c>
      <c r="I1438" s="12" t="inlineStr">
        <is>
          <t>否</t>
        </is>
      </c>
      <c r="J1438" s="34" t="n">
        <v>44714</v>
      </c>
      <c r="K1438" s="34" t="n">
        <v>44714</v>
      </c>
      <c r="L1438" s="0">
        <f>DATEDIF(J1438,$L$1,"M")</f>
        <v/>
      </c>
      <c r="M1438" s="0">
        <f>IF(L1438&lt;18,"新品期",IF(L1438&lt;=36,"老品期","衰退期"))</f>
        <v/>
      </c>
    </row>
    <row r="1439" ht="15" customFormat="1" customHeight="1" s="36">
      <c r="A1439" s="18" t="inlineStr">
        <is>
          <t>WINKEAR-CA</t>
        </is>
      </c>
      <c r="B1439" s="18" t="inlineStr">
        <is>
          <t>Winkear加拿大站</t>
        </is>
      </c>
      <c r="C1439" s="4">
        <f>B1439&amp;D1439</f>
        <v/>
      </c>
      <c r="D1439" s="18" t="inlineStr">
        <is>
          <t>K2213-BG</t>
        </is>
      </c>
      <c r="E1439" s="18" t="inlineStr">
        <is>
          <t>420F0022BG3</t>
        </is>
      </c>
      <c r="F1439" s="4" t="inlineStr">
        <is>
          <t>22系列抽拉厨房龙头拉丝锆金封油</t>
        </is>
      </c>
      <c r="G1439" s="4" t="inlineStr">
        <is>
          <t>吕凯烨</t>
        </is>
      </c>
      <c r="H1439" s="4" t="inlineStr">
        <is>
          <t>厨房品线</t>
        </is>
      </c>
      <c r="I1439" s="12" t="inlineStr">
        <is>
          <t>否</t>
        </is>
      </c>
      <c r="J1439" s="34" t="n">
        <v>45349</v>
      </c>
      <c r="K1439" s="34" t="n">
        <v>45376</v>
      </c>
      <c r="L1439" s="0">
        <f>DATEDIF(J1439,$L$1,"M")</f>
        <v/>
      </c>
      <c r="M1439" s="0">
        <f>IF(L1439&lt;18,"新品期",IF(L1439&lt;=36,"老品期","衰退期"))</f>
        <v/>
      </c>
    </row>
    <row r="1440" ht="15" customFormat="1" customHeight="1" s="36">
      <c r="A1440" s="18" t="inlineStr">
        <is>
          <t>WINKEAR-CA</t>
        </is>
      </c>
      <c r="B1440" s="18" t="inlineStr">
        <is>
          <t>Winkear加拿大站</t>
        </is>
      </c>
      <c r="C1440" s="4">
        <f>B1440&amp;D1440</f>
        <v/>
      </c>
      <c r="D1440" s="18" t="inlineStr">
        <is>
          <t>KSD01-BG</t>
        </is>
      </c>
      <c r="E1440" s="18" t="inlineStr">
        <is>
          <t>490F0022BG1</t>
        </is>
      </c>
      <c r="F1440" s="4" t="inlineStr">
        <is>
          <t>皂液器拉丝钛金封油</t>
        </is>
      </c>
      <c r="G1440" s="4" t="inlineStr">
        <is>
          <t>吕凯烨</t>
        </is>
      </c>
      <c r="H1440" s="4" t="inlineStr">
        <is>
          <t>厨房品线</t>
        </is>
      </c>
      <c r="I1440" s="12" t="inlineStr">
        <is>
          <t>否</t>
        </is>
      </c>
      <c r="J1440" s="34" t="n">
        <v>45117</v>
      </c>
      <c r="K1440" s="34" t="n">
        <v>45171</v>
      </c>
      <c r="L1440" s="0">
        <f>DATEDIF(J1440,$L$1,"M")</f>
        <v/>
      </c>
      <c r="M1440" s="0">
        <f>IF(L1440&lt;18,"新品期",IF(L1440&lt;=36,"老品期","衰退期"))</f>
        <v/>
      </c>
    </row>
    <row r="1441" ht="15" customFormat="1" customHeight="1" s="36">
      <c r="A1441" s="18" t="inlineStr">
        <is>
          <t>WINKEAR-CA</t>
        </is>
      </c>
      <c r="B1441" s="18" t="inlineStr">
        <is>
          <t>Winkear加拿大站</t>
        </is>
      </c>
      <c r="C1441" s="4">
        <f>B1441&amp;D1441</f>
        <v/>
      </c>
      <c r="D1441" s="18" t="inlineStr">
        <is>
          <t>KSD01-BN</t>
        </is>
      </c>
      <c r="E1441" s="18" t="inlineStr">
        <is>
          <t>490F0001BN3</t>
        </is>
      </c>
      <c r="F1441" s="4" t="inlineStr">
        <is>
          <t>皂液器拉丝封油</t>
        </is>
      </c>
      <c r="G1441" s="4" t="inlineStr">
        <is>
          <t>吕凯烨</t>
        </is>
      </c>
      <c r="H1441" s="4" t="inlineStr">
        <is>
          <t>厨房品线</t>
        </is>
      </c>
      <c r="I1441" s="12" t="inlineStr">
        <is>
          <t>否</t>
        </is>
      </c>
      <c r="J1441" s="34" t="n">
        <v>45117</v>
      </c>
      <c r="K1441" s="34" t="n">
        <v>45171</v>
      </c>
      <c r="L1441" s="0">
        <f>DATEDIF(J1441,$L$1,"M")</f>
        <v/>
      </c>
      <c r="M1441" s="0">
        <f>IF(L1441&lt;18,"新品期",IF(L1441&lt;=36,"老品期","衰退期"))</f>
        <v/>
      </c>
    </row>
    <row r="1442" ht="15" customFormat="1" customHeight="1" s="36">
      <c r="A1442" s="18" t="inlineStr">
        <is>
          <t>WINKEAR-US</t>
        </is>
      </c>
      <c r="B1442" s="18" t="inlineStr">
        <is>
          <t>Winkear美国站</t>
        </is>
      </c>
      <c r="C1442" s="4">
        <f>B1442&amp;D1442</f>
        <v/>
      </c>
      <c r="D1442" s="18" t="inlineStr">
        <is>
          <t>L3301-BG</t>
        </is>
      </c>
      <c r="E1442" s="18" t="inlineStr">
        <is>
          <t>110F3301BG</t>
        </is>
      </c>
      <c r="F1442" s="4" t="inlineStr">
        <is>
          <t>3301单孔侧开抽拉面盆龙头拉丝锆金封油</t>
        </is>
      </c>
      <c r="G1442" s="4" t="inlineStr">
        <is>
          <t>童劲威</t>
        </is>
      </c>
      <c r="H1442" s="4" t="inlineStr">
        <is>
          <t>面盆</t>
        </is>
      </c>
      <c r="I1442" s="12" t="inlineStr">
        <is>
          <t>否</t>
        </is>
      </c>
      <c r="J1442" s="34" t="n">
        <v>45918</v>
      </c>
      <c r="K1442" s="34" t="n">
        <v>45918</v>
      </c>
      <c r="L1442" s="0">
        <f>DATEDIF(J1442,$L$1,"M")</f>
        <v/>
      </c>
      <c r="M1442" s="0">
        <f>IF(L1442&lt;18,"新品期",IF(L1442&lt;=36,"老品期","衰退期"))</f>
        <v/>
      </c>
    </row>
    <row r="1443" ht="15" customFormat="1" customHeight="1" s="36">
      <c r="A1443" s="18" t="inlineStr">
        <is>
          <t>WINKEAR-US</t>
        </is>
      </c>
      <c r="B1443" s="18" t="inlineStr">
        <is>
          <t>Winkear美国站</t>
        </is>
      </c>
      <c r="C1443" s="4">
        <f>B1443&amp;D1443</f>
        <v/>
      </c>
      <c r="D1443" s="18" t="inlineStr">
        <is>
          <t>L3301-BK</t>
        </is>
      </c>
      <c r="E1443" s="18" t="inlineStr">
        <is>
          <t>110F3301BK1</t>
        </is>
      </c>
      <c r="F1443" s="4" t="inlineStr">
        <is>
          <t>3301单孔侧开抽拉面盆龙头电泳黑</t>
        </is>
      </c>
      <c r="G1443" s="4" t="inlineStr">
        <is>
          <t>童劲威</t>
        </is>
      </c>
      <c r="H1443" s="4" t="inlineStr">
        <is>
          <t>面盆</t>
        </is>
      </c>
      <c r="I1443" s="12" t="inlineStr">
        <is>
          <t>否</t>
        </is>
      </c>
      <c r="J1443" s="34" t="n">
        <v>45918</v>
      </c>
      <c r="K1443" s="34" t="n">
        <v>45918</v>
      </c>
      <c r="L1443" s="0">
        <f>DATEDIF(J1443,$L$1,"M")</f>
        <v/>
      </c>
      <c r="M1443" s="0">
        <f>IF(L1443&lt;18,"新品期",IF(L1443&lt;=36,"老品期","衰退期"))</f>
        <v/>
      </c>
    </row>
    <row r="1444" ht="15" customFormat="1" customHeight="1" s="36">
      <c r="A1444" s="18" t="inlineStr">
        <is>
          <t>WINKEAR-US</t>
        </is>
      </c>
      <c r="B1444" s="18" t="inlineStr">
        <is>
          <t>Winkear美国站</t>
        </is>
      </c>
      <c r="C1444" s="4">
        <f>B1444&amp;D1444</f>
        <v/>
      </c>
      <c r="D1444" s="18" t="inlineStr">
        <is>
          <t>L3301-BKZZ02</t>
        </is>
      </c>
      <c r="E1444" s="18" t="inlineStr">
        <is>
          <t>110F3301BK1</t>
        </is>
      </c>
      <c r="F1444" s="4" t="inlineStr">
        <is>
          <t>3301单孔侧开抽拉面盆龙头电泳黑</t>
        </is>
      </c>
      <c r="G1444" s="4" t="inlineStr">
        <is>
          <t>童劲威</t>
        </is>
      </c>
      <c r="H1444" s="4" t="inlineStr">
        <is>
          <t>面盆</t>
        </is>
      </c>
      <c r="I1444" s="12" t="n"/>
      <c r="J1444" s="34" t="n">
        <v>45918</v>
      </c>
      <c r="K1444" s="34" t="n">
        <v>45918</v>
      </c>
      <c r="L1444" s="0">
        <f>DATEDIF(J1444,$L$1,"M")</f>
        <v/>
      </c>
      <c r="M1444" s="0">
        <f>IF(L1444&lt;18,"新品期",IF(L1444&lt;=36,"老品期","衰退期"))</f>
        <v/>
      </c>
    </row>
    <row r="1445" ht="15" customFormat="1" customHeight="1" s="36">
      <c r="A1445" s="18" t="inlineStr">
        <is>
          <t>WINKEAR-US</t>
        </is>
      </c>
      <c r="B1445" s="18" t="inlineStr">
        <is>
          <t>Winkear美国站</t>
        </is>
      </c>
      <c r="C1445" s="4">
        <f>B1445&amp;D1445</f>
        <v/>
      </c>
      <c r="D1445" s="18" t="inlineStr">
        <is>
          <t>L3301-BN</t>
        </is>
      </c>
      <c r="E1445" s="18" t="inlineStr">
        <is>
          <t>110F3301BN5</t>
        </is>
      </c>
      <c r="F1445" s="4" t="inlineStr">
        <is>
          <t>3301单孔侧开抽拉面盆龙头拉丝封油</t>
        </is>
      </c>
      <c r="G1445" s="4" t="inlineStr">
        <is>
          <t>童劲威</t>
        </is>
      </c>
      <c r="H1445" s="4" t="inlineStr">
        <is>
          <t>面盆</t>
        </is>
      </c>
      <c r="I1445" s="12" t="inlineStr">
        <is>
          <t>否</t>
        </is>
      </c>
      <c r="J1445" s="34" t="n">
        <v>45918</v>
      </c>
      <c r="K1445" s="34" t="n">
        <v>45918</v>
      </c>
      <c r="L1445" s="0">
        <f>DATEDIF(J1445,$L$1,"M")</f>
        <v/>
      </c>
      <c r="M1445" s="0">
        <f>IF(L1445&lt;18,"新品期",IF(L1445&lt;=36,"老品期","衰退期"))</f>
        <v/>
      </c>
    </row>
    <row r="1446" ht="15" customFormat="1" customHeight="1" s="36">
      <c r="A1446" s="18" t="inlineStr">
        <is>
          <t>Wintap-CA</t>
        </is>
      </c>
      <c r="B1446" s="18" t="inlineStr">
        <is>
          <t>Wintap加拿大站</t>
        </is>
      </c>
      <c r="C1446" s="4">
        <f>B1446&amp;D1446</f>
        <v/>
      </c>
      <c r="D1446" s="18" t="inlineStr">
        <is>
          <t>WT-9907CP</t>
        </is>
      </c>
      <c r="E1446" s="18" t="inlineStr">
        <is>
          <t>221F0099CP1</t>
        </is>
      </c>
      <c r="F1446" s="4" t="inlineStr">
        <is>
          <t>99系列三件套缸边浴缸龙头铬</t>
        </is>
      </c>
      <c r="G1446" s="4" t="inlineStr">
        <is>
          <t>陈巧娴</t>
        </is>
      </c>
      <c r="H1446" s="4" t="inlineStr">
        <is>
          <t>缸边浴缸</t>
        </is>
      </c>
      <c r="I1446" s="12" t="inlineStr">
        <is>
          <t>是</t>
        </is>
      </c>
      <c r="J1446" s="25" t="n">
        <v>45816</v>
      </c>
      <c r="K1446" s="25" t="n">
        <v>45816</v>
      </c>
      <c r="L1446" s="0">
        <f>DATEDIF(J1446,$L$1,"M")</f>
        <v/>
      </c>
      <c r="M1446" s="0">
        <f>IF(L1446&lt;18,"新品期",IF(L1446&lt;=36,"老品期","衰退期"))</f>
        <v/>
      </c>
    </row>
    <row r="1447" ht="15" customFormat="1" customHeight="1" s="36">
      <c r="A1447" s="18" t="inlineStr">
        <is>
          <t>Wintap-MX</t>
        </is>
      </c>
      <c r="B1447" s="18" t="inlineStr">
        <is>
          <t>Wintap墨西哥站</t>
        </is>
      </c>
      <c r="C1447" s="4">
        <f>B1447&amp;D1447</f>
        <v/>
      </c>
      <c r="D1447" s="18" t="inlineStr">
        <is>
          <t>WT-B830BNZZ05</t>
        </is>
      </c>
      <c r="E1447" s="18" t="inlineStr">
        <is>
          <t>211F8000BN1</t>
        </is>
      </c>
      <c r="F1447" s="4" t="inlineStr">
        <is>
          <t>8000二功能落地浴缸龙头拉丝封油</t>
        </is>
      </c>
      <c r="G1447" s="36" t="inlineStr">
        <is>
          <t>刘皓</t>
        </is>
      </c>
      <c r="H1447" s="4" t="inlineStr">
        <is>
          <t>落地浴缸</t>
        </is>
      </c>
      <c r="I1447" s="12" t="inlineStr">
        <is>
          <t>否</t>
        </is>
      </c>
      <c r="J1447" s="25" t="n">
        <v>45898</v>
      </c>
      <c r="K1447" s="25" t="n">
        <v>45898</v>
      </c>
      <c r="L1447" s="0">
        <f>DATEDIF(J1447,$L$1,"M")</f>
        <v/>
      </c>
      <c r="M1447" s="0">
        <f>IF(L1447&lt;18,"新品期",IF(L1447&lt;=36,"老品期","衰退期"))</f>
        <v/>
      </c>
    </row>
    <row r="1448" ht="15" customFormat="1" customHeight="1" s="36">
      <c r="A1448" s="18" t="inlineStr">
        <is>
          <t>Wintap-CA</t>
        </is>
      </c>
      <c r="B1448" s="18" t="inlineStr">
        <is>
          <t>Wintap加拿大站</t>
        </is>
      </c>
      <c r="C1448" s="4">
        <f>B1448&amp;D1448</f>
        <v/>
      </c>
      <c r="D1448" s="18" t="inlineStr">
        <is>
          <t>WT-9804ORB</t>
        </is>
      </c>
      <c r="E1448" s="18" t="inlineStr">
        <is>
          <t>140F0098OB1</t>
        </is>
      </c>
      <c r="F1448" s="4" t="inlineStr">
        <is>
          <t>98系列分体面盆龙头 拉丝古铜色</t>
        </is>
      </c>
      <c r="G1448" s="4" t="inlineStr">
        <is>
          <t>曾志发</t>
        </is>
      </c>
      <c r="H1448" s="4" t="inlineStr">
        <is>
          <t>面盆</t>
        </is>
      </c>
      <c r="I1448" s="12" t="inlineStr">
        <is>
          <t>是</t>
        </is>
      </c>
      <c r="J1448" s="34" t="n">
        <v>45374</v>
      </c>
      <c r="K1448" s="34" t="n">
        <v>45374</v>
      </c>
      <c r="L1448" s="0">
        <f>DATEDIF(J1448,$L$1,"M")</f>
        <v/>
      </c>
      <c r="M1448" s="0">
        <f>IF(L1448&lt;18,"新品期",IF(L1448&lt;=36,"老品期","衰退期"))</f>
        <v/>
      </c>
      <c r="N1448" s="36" t="inlineStr">
        <is>
          <t>没有运营，2025年9月1号以前梁丽梅负责</t>
        </is>
      </c>
    </row>
    <row r="1449" ht="15" customFormat="1" customHeight="1" s="36">
      <c r="A1449" s="18" t="inlineStr">
        <is>
          <t>Hangoro-US</t>
        </is>
      </c>
      <c r="B1449" s="18" t="inlineStr">
        <is>
          <t>Hangoro美国站</t>
        </is>
      </c>
      <c r="C1449" s="4">
        <f>B1449&amp;D1449</f>
        <v/>
      </c>
      <c r="D1449" s="18" t="inlineStr">
        <is>
          <t>HG-8901CP</t>
        </is>
      </c>
      <c r="E1449" s="18" t="inlineStr">
        <is>
          <t>110F0089CP1</t>
        </is>
      </c>
      <c r="F1449" s="4" t="inlineStr">
        <is>
          <t>89系列矮身单孔正开面盆龙头铬色</t>
        </is>
      </c>
      <c r="G1449" s="4" t="inlineStr">
        <is>
          <t>曾志发</t>
        </is>
      </c>
      <c r="H1449" s="4" t="inlineStr">
        <is>
          <t>面盆</t>
        </is>
      </c>
      <c r="I1449" s="22" t="inlineStr">
        <is>
          <t>是</t>
        </is>
      </c>
      <c r="J1449" s="25" t="n">
        <v>45807</v>
      </c>
      <c r="K1449" s="25" t="n">
        <v>45884</v>
      </c>
      <c r="L1449" s="0">
        <f>DATEDIF(J1449,$L$1,"M")</f>
        <v/>
      </c>
      <c r="M1449" s="0">
        <f>IF(L1449&lt;18,"新品期",IF(L1449&lt;=36,"老品期","衰退期"))</f>
        <v/>
      </c>
      <c r="N1449" s="36" t="inlineStr">
        <is>
          <t>2025年9月1号以前梁丽梅负责</t>
        </is>
      </c>
    </row>
    <row r="1450" ht="15" customFormat="1" customHeight="1" s="36">
      <c r="A1450" s="18" t="inlineStr">
        <is>
          <t>Hangoro-US</t>
        </is>
      </c>
      <c r="B1450" s="18" t="inlineStr">
        <is>
          <t>Hangoro美国站</t>
        </is>
      </c>
      <c r="C1450" s="4">
        <f>B1450&amp;D1450</f>
        <v/>
      </c>
      <c r="D1450" s="18" t="inlineStr">
        <is>
          <t>HG-8904BK</t>
        </is>
      </c>
      <c r="E1450" s="18" t="inlineStr">
        <is>
          <t>140F0089BK1</t>
        </is>
      </c>
      <c r="F1450" s="4" t="inlineStr">
        <is>
          <t>89系列分体面盆龙头电泳黑</t>
        </is>
      </c>
      <c r="G1450" s="4" t="inlineStr">
        <is>
          <t>曾志发</t>
        </is>
      </c>
      <c r="H1450" s="4" t="inlineStr">
        <is>
          <t>面盆</t>
        </is>
      </c>
      <c r="I1450" s="22" t="inlineStr">
        <is>
          <t>是</t>
        </is>
      </c>
      <c r="J1450" s="25" t="n">
        <v>45807</v>
      </c>
      <c r="K1450" s="25" t="n">
        <v>45884</v>
      </c>
      <c r="L1450" s="0">
        <f>DATEDIF(J1450,$L$1,"M")</f>
        <v/>
      </c>
      <c r="M1450" s="0">
        <f>IF(L1450&lt;18,"新品期",IF(L1450&lt;=36,"老品期","衰退期"))</f>
        <v/>
      </c>
      <c r="N1450" s="36" t="inlineStr">
        <is>
          <t>2025年9月1号以前梁丽梅负责</t>
        </is>
      </c>
    </row>
    <row r="1451" ht="15" customFormat="1" customHeight="1" s="36">
      <c r="A1451" s="18" t="inlineStr">
        <is>
          <t>Hangoro-US</t>
        </is>
      </c>
      <c r="B1451" s="18" t="inlineStr">
        <is>
          <t>Hangoro美国站</t>
        </is>
      </c>
      <c r="C1451" s="4">
        <f>B1451&amp;D1451</f>
        <v/>
      </c>
      <c r="D1451" s="18" t="inlineStr">
        <is>
          <t>HG-8904CP</t>
        </is>
      </c>
      <c r="E1451" s="18" t="inlineStr">
        <is>
          <t>140F0089CP1</t>
        </is>
      </c>
      <c r="F1451" s="4" t="inlineStr">
        <is>
          <t>89系列分体面盆龙头铬色</t>
        </is>
      </c>
      <c r="G1451" s="4" t="inlineStr">
        <is>
          <t>曾志发</t>
        </is>
      </c>
      <c r="H1451" s="4" t="inlineStr">
        <is>
          <t>面盆</t>
        </is>
      </c>
      <c r="I1451" s="22" t="inlineStr">
        <is>
          <t>是</t>
        </is>
      </c>
      <c r="J1451" s="25" t="n">
        <v>45807</v>
      </c>
      <c r="K1451" s="25" t="n">
        <v>45884</v>
      </c>
      <c r="L1451" s="0">
        <f>DATEDIF(J1451,$L$1,"M")</f>
        <v/>
      </c>
      <c r="M1451" s="0">
        <f>IF(L1451&lt;18,"新品期",IF(L1451&lt;=36,"老品期","衰退期"))</f>
        <v/>
      </c>
      <c r="N1451" s="36" t="inlineStr">
        <is>
          <t>2025年9月1号以前梁丽梅负责</t>
        </is>
      </c>
    </row>
    <row r="1452" ht="15" customFormat="1" customHeight="1" s="36">
      <c r="A1452" s="18" t="inlineStr">
        <is>
          <t>NAUKWAN-US</t>
        </is>
      </c>
      <c r="B1452" s="18" t="inlineStr">
        <is>
          <t>Naukwan美国站</t>
        </is>
      </c>
      <c r="C1452" s="4">
        <f>B1452&amp;D1452</f>
        <v/>
      </c>
      <c r="D1452" s="18" t="inlineStr">
        <is>
          <t>QZ-6206-8</t>
        </is>
      </c>
      <c r="E1452" s="31" t="inlineStr">
        <is>
          <t>230F3005BK1</t>
        </is>
      </c>
      <c r="F1452" s="4" t="inlineStr">
        <is>
          <t>3005单功能入墙浴缸龙头电泳黑</t>
        </is>
      </c>
      <c r="G1452" s="4" t="inlineStr">
        <is>
          <t>刘皓</t>
        </is>
      </c>
      <c r="H1452" s="4" t="inlineStr">
        <is>
          <t>缸边浴缸</t>
        </is>
      </c>
      <c r="I1452" s="12" t="n"/>
      <c r="J1452" s="32" t="n">
        <v>45658</v>
      </c>
      <c r="K1452" s="32" t="n">
        <v>45658</v>
      </c>
      <c r="L1452" s="0">
        <f>DATEDIF(J1452,$L$1,"M")</f>
        <v/>
      </c>
      <c r="M1452" s="0">
        <f>IF(L1452&lt;18,"新品期",IF(L1452&lt;=36,"老品期","衰退期"))</f>
        <v/>
      </c>
      <c r="N1452" s="36" t="inlineStr">
        <is>
          <t>销毁费出现的MSKU/补充品名/sku</t>
        </is>
      </c>
    </row>
    <row r="1453" ht="15" customFormat="1" customHeight="1" s="36">
      <c r="A1453" s="18" t="inlineStr">
        <is>
          <t>Qinkell-US</t>
        </is>
      </c>
      <c r="B1453" s="18" t="inlineStr">
        <is>
          <t>Qinkell美国站</t>
        </is>
      </c>
      <c r="C1453" s="4">
        <f>B1453&amp;D1453</f>
        <v/>
      </c>
      <c r="D1453" s="18" t="inlineStr">
        <is>
          <t>QZ-300708</t>
        </is>
      </c>
      <c r="E1453" s="4" t="inlineStr">
        <is>
          <t>230F3007OB1</t>
        </is>
      </c>
      <c r="F1453" s="4" t="inlineStr">
        <is>
          <t>3007单功能入墙浴缸龙头拉丝古铜色</t>
        </is>
      </c>
      <c r="G1453" s="4" t="inlineStr">
        <is>
          <t>朱艺璇</t>
        </is>
      </c>
      <c r="H1453" s="4" t="inlineStr">
        <is>
          <t>缸边浴缸</t>
        </is>
      </c>
      <c r="I1453" s="22" t="inlineStr">
        <is>
          <t>是</t>
        </is>
      </c>
      <c r="J1453" s="25" t="n">
        <v>45848</v>
      </c>
      <c r="K1453" s="25" t="n">
        <v>45848</v>
      </c>
      <c r="L1453" s="0">
        <f>DATEDIF(J1453,$L$1,"M")</f>
        <v/>
      </c>
      <c r="M1453" s="0">
        <f>IF(L1453&lt;18,"新品期",IF(L1453&lt;=36,"老品期","衰退期"))</f>
        <v/>
      </c>
      <c r="N1453" s="36" t="inlineStr">
        <is>
          <t>销毁费出现的MSKU/补充品名/sku</t>
        </is>
      </c>
    </row>
    <row r="1454" ht="15" customFormat="1" customHeight="1" s="36">
      <c r="A1454" s="18" t="inlineStr">
        <is>
          <t>Qinkell-US</t>
        </is>
      </c>
      <c r="B1454" s="18" t="inlineStr">
        <is>
          <t>Qinkell美国站</t>
        </is>
      </c>
      <c r="C1454" s="4">
        <f>B1454&amp;D1454</f>
        <v/>
      </c>
      <c r="D1454" s="18" t="inlineStr">
        <is>
          <t>QZ50023007</t>
        </is>
      </c>
      <c r="E1454" s="4" t="inlineStr">
        <is>
          <t>230F3007OB1</t>
        </is>
      </c>
      <c r="F1454" s="4" t="inlineStr">
        <is>
          <t>3007单功能入墙浴缸龙头拉丝古铜色</t>
        </is>
      </c>
      <c r="G1454" s="4" t="inlineStr">
        <is>
          <t>朱艺璇</t>
        </is>
      </c>
      <c r="H1454" s="4" t="inlineStr">
        <is>
          <t>缸边浴缸</t>
        </is>
      </c>
      <c r="I1454" s="22" t="inlineStr">
        <is>
          <t>是</t>
        </is>
      </c>
      <c r="J1454" s="25" t="n">
        <v>45848</v>
      </c>
      <c r="K1454" s="25" t="n">
        <v>45848</v>
      </c>
      <c r="L1454" s="0">
        <f>DATEDIF(J1454,$L$1,"M")</f>
        <v/>
      </c>
      <c r="M1454" s="0">
        <f>IF(L1454&lt;18,"新品期",IF(L1454&lt;=36,"老品期","衰退期"))</f>
        <v/>
      </c>
      <c r="N1454" s="36" t="inlineStr">
        <is>
          <t>销毁费出现的MSKU/补充品名/sku</t>
        </is>
      </c>
    </row>
    <row r="1455" ht="15" customFormat="1" customHeight="1" s="36">
      <c r="A1455" s="18" t="inlineStr">
        <is>
          <t>soebiz-US</t>
        </is>
      </c>
      <c r="B1455" s="18" t="inlineStr">
        <is>
          <t>Soebiz美国站</t>
        </is>
      </c>
      <c r="C1455" s="4">
        <f>B1455&amp;D1455</f>
        <v/>
      </c>
      <c r="D1455" s="18" t="inlineStr">
        <is>
          <t>9906bg-kk</t>
        </is>
      </c>
      <c r="E1455" s="18" t="inlineStr">
        <is>
          <t>230F0099BG1</t>
        </is>
      </c>
      <c r="F1455" s="4" t="inlineStr">
        <is>
          <t>99系列单功能入墙浴缸龙头拉丝钛金封油</t>
        </is>
      </c>
      <c r="G1455" s="4" t="inlineStr">
        <is>
          <t>陈巧娴</t>
        </is>
      </c>
      <c r="H1455" s="4" t="inlineStr">
        <is>
          <t>缸边浴缸</t>
        </is>
      </c>
      <c r="I1455" s="12" t="inlineStr">
        <is>
          <t>是</t>
        </is>
      </c>
      <c r="J1455" s="25" t="n">
        <v>45720</v>
      </c>
      <c r="K1455" s="25" t="n">
        <v>45720</v>
      </c>
      <c r="L1455" s="0">
        <f>DATEDIF(J1455,$L$1,"M")</f>
        <v/>
      </c>
      <c r="M1455" s="0">
        <f>IF(L1455&lt;18,"新品期",IF(L1455&lt;=36,"老品期","衰退期"))</f>
        <v/>
      </c>
      <c r="N1455" s="36" t="inlineStr">
        <is>
          <t>销毁费出现的MSKU/补充品名/sku</t>
        </is>
      </c>
    </row>
    <row r="1456" ht="15" customFormat="1" customHeight="1" s="36">
      <c r="A1456" s="18" t="inlineStr">
        <is>
          <t>tacuet-US</t>
        </is>
      </c>
      <c r="B1456" s="18" t="inlineStr">
        <is>
          <t>Taucet美国站</t>
        </is>
      </c>
      <c r="C1456" s="4">
        <f>B1456&amp;D1456</f>
        <v/>
      </c>
      <c r="D1456" s="18" t="inlineStr">
        <is>
          <t>250920VJX</t>
        </is>
      </c>
      <c r="E1456" s="18" t="inlineStr">
        <is>
          <t>222F0097RB1</t>
        </is>
      </c>
      <c r="F1456" s="4" t="inlineStr">
        <is>
          <t>97系列四件套缸边浴缸龙头拉丝玫瑰金+黑色</t>
        </is>
      </c>
      <c r="G1456" s="4" t="inlineStr">
        <is>
          <t>胡娟娟</t>
        </is>
      </c>
      <c r="H1456" s="4" t="inlineStr">
        <is>
          <t>缸边浴缸</t>
        </is>
      </c>
      <c r="I1456" s="22" t="inlineStr">
        <is>
          <t>是</t>
        </is>
      </c>
      <c r="J1456" s="25" t="n">
        <v>45394</v>
      </c>
      <c r="K1456" s="25" t="n">
        <v>45394</v>
      </c>
      <c r="L1456" s="0">
        <f>DATEDIF(J1456,$L$1,"M")</f>
        <v/>
      </c>
      <c r="M1456" s="0">
        <f>IF(L1456&lt;18,"新品期",IF(L1456&lt;=36,"老品期","衰退期"))</f>
        <v/>
      </c>
      <c r="N1456" s="36" t="inlineStr">
        <is>
          <t>MUSKU: TT-9708RGBK-ZZ</t>
        </is>
      </c>
    </row>
    <row r="1457" ht="15" customFormat="1" customHeight="1" s="36">
      <c r="A1457" s="18" t="inlineStr">
        <is>
          <t>Wintap-US</t>
        </is>
      </c>
      <c r="B1457" s="18" t="inlineStr">
        <is>
          <t>Wintap美国站</t>
        </is>
      </c>
      <c r="C1457" s="4">
        <f>B1457&amp;D1457</f>
        <v/>
      </c>
      <c r="D1457" s="18" t="inlineStr">
        <is>
          <t>QZ-3007CP</t>
        </is>
      </c>
      <c r="E1457" s="31" t="inlineStr">
        <is>
          <t>230F3007CP1</t>
        </is>
      </c>
      <c r="F1457" s="4" t="inlineStr">
        <is>
          <t>3007单功能入墙浴缸龙头铬</t>
        </is>
      </c>
      <c r="G1457" s="4" t="inlineStr">
        <is>
          <t>刘皓</t>
        </is>
      </c>
      <c r="H1457" s="4" t="inlineStr">
        <is>
          <t>缸边浴缸</t>
        </is>
      </c>
      <c r="I1457" s="12" t="n"/>
      <c r="J1457" s="32" t="n">
        <v>45448</v>
      </c>
      <c r="K1457" s="32" t="n">
        <v>45448</v>
      </c>
      <c r="L1457" s="0">
        <f>DATEDIF(J1457,$L$1,"M")</f>
        <v/>
      </c>
      <c r="M1457" s="0">
        <f>IF(L1457&lt;18,"新品期",IF(L1457&lt;=36,"老品期","衰退期"))</f>
        <v/>
      </c>
      <c r="N1457" s="36" t="inlineStr">
        <is>
          <t>销毁费出现的MSKU/补充品名/sku</t>
        </is>
      </c>
    </row>
    <row r="1458" ht="15" customFormat="1" customHeight="1" s="36">
      <c r="A1458" s="18" t="inlineStr">
        <is>
          <t>Jabbol-US</t>
        </is>
      </c>
      <c r="B1458" s="29" t="inlineStr">
        <is>
          <t>Jabbol美国站</t>
        </is>
      </c>
      <c r="C1458" s="4">
        <f>B1458&amp;D1458</f>
        <v/>
      </c>
      <c r="D1458" s="29" t="inlineStr">
        <is>
          <t>HM-8811-BG</t>
        </is>
      </c>
      <c r="E1458" s="18" t="inlineStr">
        <is>
          <t>211F0088BG1</t>
        </is>
      </c>
      <c r="F1458" s="4" t="inlineStr">
        <is>
          <t>8811落地浴缸龙头拉丝钛金封油</t>
        </is>
      </c>
      <c r="G1458" s="36" t="inlineStr">
        <is>
          <t>刘皓</t>
        </is>
      </c>
      <c r="H1458" s="4" t="inlineStr">
        <is>
          <t>落地浴缸</t>
        </is>
      </c>
      <c r="I1458" s="12" t="inlineStr">
        <is>
          <t>否</t>
        </is>
      </c>
      <c r="J1458" s="34" t="n">
        <v>45706</v>
      </c>
      <c r="K1458" s="34" t="n">
        <v>45748</v>
      </c>
      <c r="L1458" s="0">
        <f>DATEDIF(J1458,$L$1,"M")</f>
        <v/>
      </c>
      <c r="M1458" s="0">
        <f>IF(L1458&lt;18,"新品期",IF(L1458&lt;=36,"老品期","衰退期"))</f>
        <v/>
      </c>
      <c r="N1458" s="36" t="inlineStr">
        <is>
          <t>2026年4月17日之前王幸负责</t>
        </is>
      </c>
    </row>
    <row r="1459" ht="15" customFormat="1" customHeight="1" s="36">
      <c r="A1459" s="4" t="inlineStr">
        <is>
          <t>Qinkell-US</t>
        </is>
      </c>
      <c r="B1459" s="4" t="inlineStr">
        <is>
          <t>Qinkell美国站</t>
        </is>
      </c>
      <c r="C1459" s="4">
        <f>B1459&amp;D1459</f>
        <v/>
      </c>
      <c r="D1459" s="18" t="inlineStr">
        <is>
          <t>3004ORB QC1-02</t>
        </is>
      </c>
      <c r="E1459" s="4" t="inlineStr">
        <is>
          <t>240F3004OB1</t>
        </is>
      </c>
      <c r="F1459" s="4" t="inlineStr">
        <is>
          <t>3004二功能挂墙浴缸龙头拉丝古铜色</t>
        </is>
      </c>
      <c r="G1459" s="4" t="inlineStr">
        <is>
          <t>朱艺璇</t>
        </is>
      </c>
      <c r="H1459" s="4" t="inlineStr">
        <is>
          <t>缸边浴缸</t>
        </is>
      </c>
      <c r="I1459" s="12" t="inlineStr">
        <is>
          <t>否</t>
        </is>
      </c>
      <c r="J1459" s="34" t="n">
        <v>45931</v>
      </c>
      <c r="K1459" s="34" t="n">
        <v>45931</v>
      </c>
      <c r="L1459" s="0">
        <f>DATEDIF(J1459,$L$1,"M")</f>
        <v/>
      </c>
      <c r="M1459" s="0">
        <f>IF(L1459&lt;18,"新品期",IF(L1459&lt;=36,"老品期","衰退期"))</f>
        <v/>
      </c>
      <c r="N1459" s="36" t="inlineStr">
        <is>
          <t>新链接</t>
        </is>
      </c>
    </row>
    <row r="1460" ht="15" customFormat="1" customHeight="1" s="36">
      <c r="A1460" s="4" t="inlineStr">
        <is>
          <t>Qinkell-US</t>
        </is>
      </c>
      <c r="B1460" s="4" t="inlineStr">
        <is>
          <t>Qinkell美国站</t>
        </is>
      </c>
      <c r="C1460" s="4">
        <f>B1460&amp;D1460</f>
        <v/>
      </c>
      <c r="D1460" s="18" t="inlineStr">
        <is>
          <t>3004BG QC1-02</t>
        </is>
      </c>
      <c r="E1460" s="4" t="inlineStr">
        <is>
          <t>240F3004BG1</t>
        </is>
      </c>
      <c r="F1460" s="4" t="inlineStr">
        <is>
          <t>3004二功能挂墙浴缸龙头拉丝钛金封油</t>
        </is>
      </c>
      <c r="G1460" s="4" t="inlineStr">
        <is>
          <t>朱艺璇</t>
        </is>
      </c>
      <c r="H1460" s="4" t="inlineStr">
        <is>
          <t>缸边浴缸</t>
        </is>
      </c>
      <c r="I1460" s="12" t="inlineStr">
        <is>
          <t>否</t>
        </is>
      </c>
      <c r="J1460" s="34" t="n">
        <v>45931</v>
      </c>
      <c r="K1460" s="34" t="n">
        <v>45931</v>
      </c>
      <c r="L1460" s="0">
        <f>DATEDIF(J1460,$L$1,"M")</f>
        <v/>
      </c>
      <c r="M1460" s="0">
        <f>IF(L1460&lt;18,"新品期",IF(L1460&lt;=36,"老品期","衰退期"))</f>
        <v/>
      </c>
      <c r="N1460" s="36" t="inlineStr">
        <is>
          <t>新链接</t>
        </is>
      </c>
    </row>
    <row r="1461" customFormat="1" s="36">
      <c r="A1461" s="36" t="inlineStr">
        <is>
          <t>soebiz-US</t>
        </is>
      </c>
      <c r="B1461" s="30" t="inlineStr">
        <is>
          <t>Soebiz美国站</t>
        </is>
      </c>
      <c r="C1461" s="4">
        <f>B1461&amp;D1461</f>
        <v/>
      </c>
      <c r="D1461" s="30" t="inlineStr">
        <is>
          <t>AZ-US-SOEBIZ-13-BN</t>
        </is>
      </c>
      <c r="E1461" s="36">
        <f>_xlfn.XLOOKUP(D1461,[1]整理!$B:$B,[1]整理!$P:$P)</f>
        <v/>
      </c>
      <c r="F1461" s="30" t="inlineStr">
        <is>
          <t>厨房0001抽拉花洒头拉丝封亮油</t>
        </is>
      </c>
      <c r="G1461" s="36" t="inlineStr">
        <is>
          <t>吕凯烨</t>
        </is>
      </c>
      <c r="H1461" s="4" t="inlineStr">
        <is>
          <t>厨房品线</t>
        </is>
      </c>
      <c r="I1461" s="12" t="inlineStr">
        <is>
          <t>否</t>
        </is>
      </c>
      <c r="J1461" s="34" t="n">
        <v>45874</v>
      </c>
      <c r="K1461" s="34" t="n">
        <v>45891</v>
      </c>
      <c r="L1461" s="0">
        <f>DATEDIF(J1461,$L$1,"M")</f>
        <v/>
      </c>
      <c r="M1461" s="0">
        <f>IF(L1461&lt;18,"新品期",IF(L1461&lt;=36,"老品期","衰退期"))</f>
        <v/>
      </c>
      <c r="N1461" s="36" t="inlineStr">
        <is>
          <t>售后链接</t>
        </is>
      </c>
    </row>
    <row r="1462" customFormat="1" s="36">
      <c r="A1462" s="36" t="inlineStr">
        <is>
          <t>WINKEAR-US</t>
        </is>
      </c>
      <c r="B1462" s="30" t="inlineStr">
        <is>
          <t>Winkear美国站</t>
        </is>
      </c>
      <c r="C1462" s="4">
        <f>B1462&amp;D1462</f>
        <v/>
      </c>
      <c r="D1462" s="30" t="inlineStr">
        <is>
          <t>Amazon.Found.B0CBLN7P3W</t>
        </is>
      </c>
      <c r="E1462" s="36">
        <f>_xlfn.XLOOKUP(D1462,[1]整理!$B:$B,[1]整理!$P:$P)</f>
        <v/>
      </c>
      <c r="F1462" s="30" t="inlineStr">
        <is>
          <t>皂液器拉丝封油</t>
        </is>
      </c>
      <c r="G1462" s="36" t="inlineStr">
        <is>
          <t>吕凯烨</t>
        </is>
      </c>
      <c r="H1462" s="36" t="inlineStr">
        <is>
          <t>厨房品线</t>
        </is>
      </c>
      <c r="I1462" s="12" t="inlineStr">
        <is>
          <t>否</t>
        </is>
      </c>
      <c r="J1462" s="33" t="n">
        <v>45947</v>
      </c>
      <c r="K1462" s="33" t="n">
        <v>45947</v>
      </c>
      <c r="L1462" s="0">
        <f>DATEDIF(J1462,$L$1,"M")</f>
        <v/>
      </c>
      <c r="M1462" s="0">
        <f>IF(L1462&lt;18,"新品期",IF(L1462&lt;=36,"老品期","衰退期"))</f>
        <v/>
      </c>
    </row>
    <row r="1463" customFormat="1" s="36">
      <c r="A1463" s="36" t="inlineStr">
        <is>
          <t>WINKEAR-US</t>
        </is>
      </c>
      <c r="B1463" s="30" t="inlineStr">
        <is>
          <t>Winkear美国站</t>
        </is>
      </c>
      <c r="C1463" s="4">
        <f>B1463&amp;D1463</f>
        <v/>
      </c>
      <c r="D1463" s="30" t="inlineStr">
        <is>
          <t>L3301-BKZZ01</t>
        </is>
      </c>
      <c r="E1463" s="36">
        <f>_xlfn.XLOOKUP(D1463,[1]整理!$B:$B,[1]整理!$P:$P)</f>
        <v/>
      </c>
      <c r="F1463" s="30" t="inlineStr">
        <is>
          <t>3301单孔侧开抽拉面盆龙头电泳黑</t>
        </is>
      </c>
      <c r="G1463" s="36" t="inlineStr">
        <is>
          <t>童劲威</t>
        </is>
      </c>
      <c r="H1463" s="36" t="inlineStr">
        <is>
          <t>面盆</t>
        </is>
      </c>
      <c r="I1463" s="12" t="n"/>
      <c r="J1463" s="33" t="n">
        <v>45926</v>
      </c>
      <c r="K1463" s="33" t="n">
        <v>45926</v>
      </c>
      <c r="L1463" s="0">
        <f>DATEDIF(J1463,$L$1,"M")</f>
        <v/>
      </c>
      <c r="M1463" s="0">
        <f>IF(L1463&lt;18,"新品期",IF(L1463&lt;=36,"老品期","衰退期"))</f>
        <v/>
      </c>
    </row>
    <row r="1464" customFormat="1" s="36">
      <c r="A1464" s="36" t="inlineStr">
        <is>
          <t>WINKEAR-US</t>
        </is>
      </c>
      <c r="B1464" s="30" t="inlineStr">
        <is>
          <t>Winkear美国站</t>
        </is>
      </c>
      <c r="C1464" s="4">
        <f>B1464&amp;D1464</f>
        <v/>
      </c>
      <c r="D1464" s="30" t="inlineStr">
        <is>
          <t>L3601-BG</t>
        </is>
      </c>
      <c r="E1464" s="36">
        <f>_xlfn.XLOOKUP(D1464,[1]整理!$B:$B,[1]整理!$P:$P)</f>
        <v/>
      </c>
      <c r="F1464" s="30" t="inlineStr">
        <is>
          <t>3601方体方嘴单孔面盆拉丝锆金封油</t>
        </is>
      </c>
      <c r="G1464" s="36" t="inlineStr">
        <is>
          <t>童劲威</t>
        </is>
      </c>
      <c r="H1464" s="36" t="inlineStr">
        <is>
          <t>面盆</t>
        </is>
      </c>
      <c r="I1464" s="12" t="n"/>
      <c r="J1464" s="33" t="n">
        <v>45938</v>
      </c>
      <c r="K1464" s="33" t="n">
        <v>45938</v>
      </c>
      <c r="L1464" s="0">
        <f>DATEDIF(J1464,$L$1,"M")</f>
        <v/>
      </c>
      <c r="M1464" s="0">
        <f>IF(L1464&lt;18,"新品期",IF(L1464&lt;=36,"老品期","衰退期"))</f>
        <v/>
      </c>
    </row>
    <row r="1465" customFormat="1" s="36">
      <c r="A1465" s="36" t="inlineStr">
        <is>
          <t>WINKEAR-US</t>
        </is>
      </c>
      <c r="B1465" s="30" t="inlineStr">
        <is>
          <t>Winkear美国站</t>
        </is>
      </c>
      <c r="C1465" s="4">
        <f>B1465&amp;D1465</f>
        <v/>
      </c>
      <c r="D1465" s="30" t="inlineStr">
        <is>
          <t>L3601-BK</t>
        </is>
      </c>
      <c r="E1465" s="36">
        <f>_xlfn.XLOOKUP(D1465,[1]整理!$B:$B,[1]整理!$P:$P)</f>
        <v/>
      </c>
      <c r="F1465" s="30" t="inlineStr">
        <is>
          <t>3601方体方嘴单孔面盆电泳黑</t>
        </is>
      </c>
      <c r="G1465" s="36" t="inlineStr">
        <is>
          <t>童劲威</t>
        </is>
      </c>
      <c r="H1465" s="36" t="inlineStr">
        <is>
          <t>面盆</t>
        </is>
      </c>
      <c r="I1465" s="12" t="n"/>
      <c r="J1465" s="33" t="n">
        <v>45938</v>
      </c>
      <c r="K1465" s="33" t="n">
        <v>45938</v>
      </c>
      <c r="L1465" s="0">
        <f>DATEDIF(J1465,$L$1,"M")</f>
        <v/>
      </c>
      <c r="M1465" s="0">
        <f>IF(L1465&lt;18,"新品期",IF(L1465&lt;=36,"老品期","衰退期"))</f>
        <v/>
      </c>
    </row>
    <row r="1466" customFormat="1" s="36">
      <c r="A1466" s="36" t="inlineStr">
        <is>
          <t>WINKEAR-US</t>
        </is>
      </c>
      <c r="B1466" s="30" t="inlineStr">
        <is>
          <t>Winkear美国站</t>
        </is>
      </c>
      <c r="C1466" s="4">
        <f>B1466&amp;D1466</f>
        <v/>
      </c>
      <c r="D1466" s="30" t="inlineStr">
        <is>
          <t>L3601-BKZZ01</t>
        </is>
      </c>
      <c r="E1466" s="36">
        <f>_xlfn.XLOOKUP(D1466,[1]整理!$B:$B,[1]整理!$P:$P)</f>
        <v/>
      </c>
      <c r="F1466" s="30" t="inlineStr">
        <is>
          <t>3601方体方嘴单孔面盆电泳黑</t>
        </is>
      </c>
      <c r="G1466" s="36" t="inlineStr">
        <is>
          <t>童劲威</t>
        </is>
      </c>
      <c r="H1466" s="36" t="inlineStr">
        <is>
          <t>面盆</t>
        </is>
      </c>
      <c r="I1466" s="12" t="n"/>
      <c r="J1466" s="33" t="n">
        <v>45938</v>
      </c>
      <c r="K1466" s="33" t="n">
        <v>45938</v>
      </c>
      <c r="L1466" s="0">
        <f>DATEDIF(J1466,$L$1,"M")</f>
        <v/>
      </c>
      <c r="M1466" s="0">
        <f>IF(L1466&lt;18,"新品期",IF(L1466&lt;=36,"老品期","衰退期"))</f>
        <v/>
      </c>
    </row>
    <row r="1467" customFormat="1" s="36">
      <c r="A1467" s="36" t="inlineStr">
        <is>
          <t>WINKEAR-US</t>
        </is>
      </c>
      <c r="B1467" s="30" t="inlineStr">
        <is>
          <t>Winkear美国站</t>
        </is>
      </c>
      <c r="C1467" s="4">
        <f>B1467&amp;D1467</f>
        <v/>
      </c>
      <c r="D1467" s="30" t="inlineStr">
        <is>
          <t>L3601-BN</t>
        </is>
      </c>
      <c r="E1467" s="36">
        <f>_xlfn.XLOOKUP(D1467,[1]整理!$B:$B,[1]整理!$P:$P)</f>
        <v/>
      </c>
      <c r="F1467" s="30" t="inlineStr">
        <is>
          <t>3601方体方嘴单孔面盆拉丝</t>
        </is>
      </c>
      <c r="G1467" s="36" t="inlineStr">
        <is>
          <t>童劲威</t>
        </is>
      </c>
      <c r="H1467" s="36" t="inlineStr">
        <is>
          <t>面盆</t>
        </is>
      </c>
      <c r="I1467" s="12" t="n"/>
      <c r="J1467" s="33" t="n">
        <v>45938</v>
      </c>
      <c r="K1467" s="33" t="n">
        <v>45938</v>
      </c>
      <c r="L1467" s="0">
        <f>DATEDIF(J1467,$L$1,"M")</f>
        <v/>
      </c>
      <c r="M1467" s="0">
        <f>IF(L1467&lt;18,"新品期",IF(L1467&lt;=36,"老品期","衰退期"))</f>
        <v/>
      </c>
    </row>
    <row r="1468" customFormat="1" s="36">
      <c r="A1468" s="36" t="inlineStr">
        <is>
          <t>Wintap-US</t>
        </is>
      </c>
      <c r="B1468" s="30" t="inlineStr">
        <is>
          <t>Wintap美国站</t>
        </is>
      </c>
      <c r="C1468" s="4">
        <f>B1468&amp;D1468</f>
        <v/>
      </c>
      <c r="D1468" s="30" t="inlineStr">
        <is>
          <t>WT-3317BG3-ZZ</t>
        </is>
      </c>
      <c r="E1468" s="36">
        <f>_xlfn.XLOOKUP(D1468,[1]整理!$B:$B,[1]整理!$P:$P)</f>
        <v/>
      </c>
      <c r="F1468" s="30" t="inlineStr">
        <is>
          <t>圆形单功能入墙暗装淋浴龙头拉丝锆金封油（6寸带平衡阀）</t>
        </is>
      </c>
      <c r="G1468" s="36" t="inlineStr">
        <is>
          <t>宋江</t>
        </is>
      </c>
      <c r="H1468" s="36" t="inlineStr">
        <is>
          <t>暗装淋浴</t>
        </is>
      </c>
      <c r="I1468" s="12" t="inlineStr">
        <is>
          <t>否</t>
        </is>
      </c>
      <c r="J1468" s="33" t="n">
        <v>45951</v>
      </c>
      <c r="K1468" s="33" t="n">
        <v>45951</v>
      </c>
      <c r="L1468" s="0">
        <f>DATEDIF(J1468,$L$1,"M")</f>
        <v/>
      </c>
      <c r="M1468" s="0">
        <f>IF(L1468&lt;18,"新品期",IF(L1468&lt;=36,"老品期","衰退期"))</f>
        <v/>
      </c>
      <c r="N1468" s="36" t="inlineStr">
        <is>
          <t>种子链接</t>
        </is>
      </c>
    </row>
    <row r="1469" customFormat="1" s="36">
      <c r="A1469" s="36" t="inlineStr">
        <is>
          <t>Wintap-US</t>
        </is>
      </c>
      <c r="B1469" s="30" t="inlineStr">
        <is>
          <t>Wintap美国站</t>
        </is>
      </c>
      <c r="C1469" s="4">
        <f>B1469&amp;D1469</f>
        <v/>
      </c>
      <c r="D1469" s="30" t="inlineStr">
        <is>
          <t>WT-3317BK1</t>
        </is>
      </c>
      <c r="E1469" s="36">
        <f>_xlfn.XLOOKUP(D1469,[1]整理!$B:$B,[1]整理!$P:$P)</f>
        <v/>
      </c>
      <c r="F1469" s="30" t="inlineStr">
        <is>
          <t>圆形单功能入墙暗装淋浴龙头电泳黑（6寸带平衡阀）</t>
        </is>
      </c>
      <c r="G1469" s="36" t="inlineStr">
        <is>
          <t>宋江</t>
        </is>
      </c>
      <c r="H1469" s="36" t="inlineStr">
        <is>
          <t>暗装淋浴</t>
        </is>
      </c>
      <c r="I1469" s="12" t="inlineStr">
        <is>
          <t>否</t>
        </is>
      </c>
      <c r="J1469" s="33" t="n">
        <v>45951</v>
      </c>
      <c r="K1469" s="33" t="n">
        <v>45951</v>
      </c>
      <c r="L1469" s="0">
        <f>DATEDIF(J1469,$L$1,"M")</f>
        <v/>
      </c>
      <c r="M1469" s="0">
        <f>IF(L1469&lt;18,"新品期",IF(L1469&lt;=36,"老品期","衰退期"))</f>
        <v/>
      </c>
    </row>
    <row r="1470" customFormat="1" s="36">
      <c r="A1470" s="36" t="inlineStr">
        <is>
          <t>Wintap-US</t>
        </is>
      </c>
      <c r="B1470" s="30" t="inlineStr">
        <is>
          <t>Wintap美国站</t>
        </is>
      </c>
      <c r="C1470" s="4">
        <f>B1470&amp;D1470</f>
        <v/>
      </c>
      <c r="D1470" s="30" t="inlineStr">
        <is>
          <t>WT-3317BK1-ZZ</t>
        </is>
      </c>
      <c r="E1470" s="36">
        <f>_xlfn.XLOOKUP(D1470,[1]整理!$B:$B,[1]整理!$P:$P)</f>
        <v/>
      </c>
      <c r="F1470" s="30" t="inlineStr">
        <is>
          <t>圆形单功能入墙暗装淋浴龙头电泳黑（6寸带平衡阀）</t>
        </is>
      </c>
      <c r="G1470" s="36" t="inlineStr">
        <is>
          <t>宋江</t>
        </is>
      </c>
      <c r="H1470" s="36" t="inlineStr">
        <is>
          <t>暗装淋浴</t>
        </is>
      </c>
      <c r="I1470" s="12" t="inlineStr">
        <is>
          <t>否</t>
        </is>
      </c>
      <c r="J1470" s="33" t="n">
        <v>45951</v>
      </c>
      <c r="K1470" s="33" t="n">
        <v>45951</v>
      </c>
      <c r="L1470" s="0">
        <f>DATEDIF(J1470,$L$1,"M")</f>
        <v/>
      </c>
      <c r="M1470" s="0">
        <f>IF(L1470&lt;18,"新品期",IF(L1470&lt;=36,"老品期","衰退期"))</f>
        <v/>
      </c>
      <c r="N1470" s="36" t="inlineStr">
        <is>
          <t>种子链接</t>
        </is>
      </c>
    </row>
    <row r="1471" customFormat="1" s="36">
      <c r="A1471" s="36" t="inlineStr">
        <is>
          <t>Wintap-US</t>
        </is>
      </c>
      <c r="B1471" s="30" t="inlineStr">
        <is>
          <t>Wintap美国站</t>
        </is>
      </c>
      <c r="C1471" s="4">
        <f>B1471&amp;D1471</f>
        <v/>
      </c>
      <c r="D1471" s="30" t="inlineStr">
        <is>
          <t>WT-3317BN5-ZZ</t>
        </is>
      </c>
      <c r="E1471" s="36">
        <f>_xlfn.XLOOKUP(D1471,[1]整理!$B:$B,[1]整理!$P:$P)</f>
        <v/>
      </c>
      <c r="F1471" s="30" t="inlineStr">
        <is>
          <t>圆形单功能入墙暗装淋浴龙头拉丝镍（6寸带平衡阀）</t>
        </is>
      </c>
      <c r="G1471" s="36" t="inlineStr">
        <is>
          <t>宋江</t>
        </is>
      </c>
      <c r="H1471" s="36" t="inlineStr">
        <is>
          <t>暗装淋浴</t>
        </is>
      </c>
      <c r="I1471" s="12" t="inlineStr">
        <is>
          <t>否</t>
        </is>
      </c>
      <c r="J1471" s="33" t="n">
        <v>45951</v>
      </c>
      <c r="K1471" s="33" t="n">
        <v>45951</v>
      </c>
      <c r="L1471" s="0">
        <f>DATEDIF(J1471,$L$1,"M")</f>
        <v/>
      </c>
      <c r="M1471" s="0">
        <f>IF(L1471&lt;18,"新品期",IF(L1471&lt;=36,"老品期","衰退期"))</f>
        <v/>
      </c>
      <c r="N1471" s="36" t="inlineStr">
        <is>
          <t>种子链接</t>
        </is>
      </c>
    </row>
    <row r="1472" customFormat="1" s="36">
      <c r="A1472" s="36" t="inlineStr">
        <is>
          <t>Wintap-US</t>
        </is>
      </c>
      <c r="B1472" s="30" t="inlineStr">
        <is>
          <t>Wintap美国站</t>
        </is>
      </c>
      <c r="C1472" s="4">
        <f>B1472&amp;D1472</f>
        <v/>
      </c>
      <c r="D1472" s="30" t="inlineStr">
        <is>
          <t>WT-9807BGZZ-KK</t>
        </is>
      </c>
      <c r="E1472" s="36">
        <f>_xlfn.XLOOKUP(D1472,[1]整理!$B:$B,[1]整理!$P:$P)</f>
        <v/>
      </c>
      <c r="F1472" s="30" t="inlineStr">
        <is>
          <t>98系列三件套缸边浴缸龙头拉丝钛金封油</t>
        </is>
      </c>
      <c r="G1472" s="36" t="inlineStr">
        <is>
          <t>陈巧娴</t>
        </is>
      </c>
      <c r="H1472" s="4" t="inlineStr">
        <is>
          <t>缸边浴缸</t>
        </is>
      </c>
      <c r="I1472" s="12" t="inlineStr">
        <is>
          <t>否</t>
        </is>
      </c>
      <c r="J1472" s="34" t="n">
        <v>45992</v>
      </c>
      <c r="K1472" s="34" t="n">
        <v>45992</v>
      </c>
      <c r="L1472" s="0">
        <f>DATEDIF(J1472,$L$1,"M")</f>
        <v/>
      </c>
      <c r="M1472" s="0">
        <f>IF(L1472&lt;18,"新品期",IF(L1472&lt;=36,"老品期","衰退期"))</f>
        <v/>
      </c>
      <c r="N1472" s="36" t="inlineStr">
        <is>
          <t>种子链接</t>
        </is>
      </c>
    </row>
    <row r="1473" customFormat="1" s="36">
      <c r="A1473" s="36" t="inlineStr">
        <is>
          <t>Wintap-US</t>
        </is>
      </c>
      <c r="B1473" s="30" t="inlineStr">
        <is>
          <t>Wintap美国站</t>
        </is>
      </c>
      <c r="C1473" s="4">
        <f>B1473&amp;D1473</f>
        <v/>
      </c>
      <c r="D1473" s="30" t="inlineStr">
        <is>
          <t>WT-9807ORBZZ-KK</t>
        </is>
      </c>
      <c r="E1473" s="36">
        <f>_xlfn.XLOOKUP(D1473,[1]整理!$B:$B,[1]整理!$P:$P)</f>
        <v/>
      </c>
      <c r="F1473" s="30" t="inlineStr">
        <is>
          <t>98系列三件套缸边浴缸龙头 拉丝古铜色</t>
        </is>
      </c>
      <c r="G1473" s="36" t="inlineStr">
        <is>
          <t>陈巧娴</t>
        </is>
      </c>
      <c r="H1473" s="4" t="inlineStr">
        <is>
          <t>缸边浴缸</t>
        </is>
      </c>
      <c r="I1473" s="12" t="inlineStr">
        <is>
          <t>否</t>
        </is>
      </c>
      <c r="J1473" s="34" t="n">
        <v>45992</v>
      </c>
      <c r="K1473" s="34" t="n">
        <v>45992</v>
      </c>
      <c r="L1473" s="0">
        <f>DATEDIF(J1473,$L$1,"M")</f>
        <v/>
      </c>
      <c r="M1473" s="0">
        <f>IF(L1473&lt;18,"新品期",IF(L1473&lt;=36,"老品期","衰退期"))</f>
        <v/>
      </c>
      <c r="N1473" s="36" t="inlineStr">
        <is>
          <t>种子链接</t>
        </is>
      </c>
    </row>
    <row r="1474" customFormat="1" s="36">
      <c r="A1474" s="4" t="inlineStr">
        <is>
          <t>HANGORO-US</t>
        </is>
      </c>
      <c r="B1474" s="18" t="inlineStr">
        <is>
          <t>Hangoro美国站</t>
        </is>
      </c>
      <c r="C1474" s="4">
        <f>B1474&amp;D1474</f>
        <v/>
      </c>
      <c r="D1474" s="37" t="inlineStr">
        <is>
          <t>HG-8901ORB2</t>
        </is>
      </c>
      <c r="E1474" s="15" t="inlineStr">
        <is>
          <t>110F0089OB1</t>
        </is>
      </c>
      <c r="F1474" s="4" t="inlineStr">
        <is>
          <t>89系列矮身单孔正开面盆龙头拉丝红古铜</t>
        </is>
      </c>
      <c r="G1474" s="4" t="inlineStr">
        <is>
          <t>曾志发</t>
        </is>
      </c>
      <c r="H1474" s="4" t="inlineStr">
        <is>
          <t>面盆</t>
        </is>
      </c>
      <c r="I1474" s="12" t="n"/>
      <c r="J1474" s="25" t="n">
        <v>46008</v>
      </c>
      <c r="K1474" s="25" t="n">
        <v>46008</v>
      </c>
      <c r="L1474" s="0">
        <f>DATEDIF(J1474,$L$1,"M")</f>
        <v/>
      </c>
      <c r="M1474" s="0">
        <f>IF(L1474&lt;18,"新品期",IF(L1474&lt;=36,"老品期","衰退期"))</f>
        <v/>
      </c>
      <c r="N1474" s="36" t="inlineStr">
        <is>
          <t>原链接HG-8901ORB,新链接:HG-8901ORB2</t>
        </is>
      </c>
    </row>
    <row r="1475" customFormat="1" s="36">
      <c r="A1475" s="37" t="inlineStr">
        <is>
          <t>BYF-US</t>
        </is>
      </c>
      <c r="B1475" s="37" t="inlineStr">
        <is>
          <t>BYF美国站</t>
        </is>
      </c>
      <c r="C1475" s="4">
        <f>B1475&amp;D1475</f>
        <v/>
      </c>
      <c r="D1475" s="37" t="inlineStr">
        <is>
          <t>JSG-69-NEW</t>
        </is>
      </c>
      <c r="E1475" s="37" t="inlineStr">
        <is>
          <t>610F0013C01</t>
        </is>
      </c>
      <c r="F1475" s="37" t="inlineStr">
        <is>
          <t>69CM（27寸）红蓝进水管（M13/1,G1/2）</t>
        </is>
      </c>
      <c r="G1475" s="36" t="inlineStr">
        <is>
          <t>刘皓/郭家亮/胡颖楠/王幸</t>
        </is>
      </c>
      <c r="H1475" s="36" t="inlineStr">
        <is>
          <t>配件</t>
        </is>
      </c>
      <c r="I1475" s="12" t="inlineStr">
        <is>
          <t>否</t>
        </is>
      </c>
      <c r="J1475" s="36" t="inlineStr">
        <is>
          <t>/</t>
        </is>
      </c>
      <c r="K1475" s="36" t="inlineStr">
        <is>
          <t>/</t>
        </is>
      </c>
      <c r="L1475" s="0">
        <f>DATEDIF(J1475,$L$1,"M")</f>
        <v/>
      </c>
      <c r="M1475" s="0">
        <f>IF(L1475&lt;18,"新品期",IF(L1475&lt;=36,"老品期","衰退期"))</f>
        <v/>
      </c>
      <c r="N1475" s="36" t="inlineStr">
        <is>
          <t>落地浴缸龙头共用配件</t>
        </is>
      </c>
      <c r="O1475" s="37" t="n"/>
    </row>
    <row r="1476" ht="14.25" customFormat="1" customHeight="1" s="36">
      <c r="A1476" s="37" t="inlineStr">
        <is>
          <t>BYF-US</t>
        </is>
      </c>
      <c r="B1476" s="37" t="inlineStr">
        <is>
          <t>BYF美国站</t>
        </is>
      </c>
      <c r="C1476" s="4">
        <f>B1476&amp;D1476</f>
        <v/>
      </c>
      <c r="D1476" s="37" t="inlineStr">
        <is>
          <t>JSG-70-NEW</t>
        </is>
      </c>
      <c r="E1476" s="37" t="inlineStr">
        <is>
          <t>610F0011C01</t>
        </is>
      </c>
      <c r="F1476" s="37" t="inlineStr">
        <is>
          <t>70CM（27.5寸）红蓝进水管(M13/1,G1/2）</t>
        </is>
      </c>
      <c r="G1476" s="36" t="inlineStr">
        <is>
          <t>刘皓/郭家亮/胡颖楠/王幸</t>
        </is>
      </c>
      <c r="H1476" s="36" t="inlineStr">
        <is>
          <t>配件</t>
        </is>
      </c>
      <c r="I1476" s="12" t="inlineStr">
        <is>
          <t>否</t>
        </is>
      </c>
      <c r="J1476" s="36" t="inlineStr">
        <is>
          <t>/</t>
        </is>
      </c>
      <c r="K1476" s="36" t="inlineStr">
        <is>
          <t>/</t>
        </is>
      </c>
      <c r="L1476" s="0">
        <f>DATEDIF(J1476,$L$1,"M")</f>
        <v/>
      </c>
      <c r="M1476" s="0">
        <f>IF(L1476&lt;18,"新品期",IF(L1476&lt;=36,"老品期","衰退期"))</f>
        <v/>
      </c>
      <c r="N1476" s="36" t="inlineStr">
        <is>
          <t>落地浴缸龙头共用配件</t>
        </is>
      </c>
      <c r="O1476" s="37" t="n"/>
    </row>
    <row r="1477" customFormat="1" s="36">
      <c r="A1477" s="37" t="inlineStr">
        <is>
          <t>BYF-US</t>
        </is>
      </c>
      <c r="B1477" s="37" t="inlineStr">
        <is>
          <t>BYF美国站</t>
        </is>
      </c>
      <c r="C1477" s="4">
        <f>B1477&amp;D1477</f>
        <v/>
      </c>
      <c r="D1477" s="37" t="inlineStr">
        <is>
          <t>JSG-71.5-NEW</t>
        </is>
      </c>
      <c r="E1477" s="37" t="inlineStr">
        <is>
          <t>610F0010C01</t>
        </is>
      </c>
      <c r="F1477" s="37" t="inlineStr">
        <is>
          <t>71.5红蓝进水管（M13/1,G1/2）</t>
        </is>
      </c>
      <c r="G1477" s="36" t="inlineStr">
        <is>
          <t>刘皓/郭家亮/胡颖楠/王幸</t>
        </is>
      </c>
      <c r="H1477" s="36" t="inlineStr">
        <is>
          <t>配件</t>
        </is>
      </c>
      <c r="I1477" s="12" t="inlineStr">
        <is>
          <t>否</t>
        </is>
      </c>
      <c r="J1477" s="36" t="inlineStr">
        <is>
          <t>/</t>
        </is>
      </c>
      <c r="K1477" s="36" t="inlineStr">
        <is>
          <t>/</t>
        </is>
      </c>
      <c r="L1477" s="0">
        <f>DATEDIF(J1477,$L$1,"M")</f>
        <v/>
      </c>
      <c r="M1477" s="0">
        <f>IF(L1477&lt;18,"新品期",IF(L1477&lt;=36,"老品期","衰退期"))</f>
        <v/>
      </c>
      <c r="N1477" s="36" t="inlineStr">
        <is>
          <t>落地浴缸龙头共用配件</t>
        </is>
      </c>
      <c r="O1477" s="37" t="n"/>
    </row>
    <row r="1478" customFormat="1" s="36">
      <c r="A1478" s="37" t="inlineStr">
        <is>
          <t>Hangoro-US</t>
        </is>
      </c>
      <c r="B1478" s="37" t="inlineStr">
        <is>
          <t>Hangoro美国站</t>
        </is>
      </c>
      <c r="C1478" s="4">
        <f>B1478&amp;D1478</f>
        <v/>
      </c>
      <c r="D1478" s="37" t="inlineStr">
        <is>
          <t>Amazon.Found.B0BB97CNWL</t>
        </is>
      </c>
      <c r="E1478" s="37" t="inlineStr">
        <is>
          <t>320F0023BG1</t>
        </is>
      </c>
      <c r="F1478" s="37" t="inlineStr">
        <is>
          <t>23系列二功能入墙暗装淋浴龙头（顶喷+手持）拉丝钛金封油</t>
        </is>
      </c>
      <c r="G1478" s="36" t="inlineStr">
        <is>
          <t>宋江</t>
        </is>
      </c>
      <c r="H1478" s="36" t="inlineStr">
        <is>
          <t>暗装淋浴</t>
        </is>
      </c>
      <c r="I1478" s="12" t="inlineStr">
        <is>
          <t>否</t>
        </is>
      </c>
      <c r="J1478" s="36" t="inlineStr">
        <is>
          <t>/</t>
        </is>
      </c>
      <c r="K1478" s="36" t="inlineStr">
        <is>
          <t>/</t>
        </is>
      </c>
      <c r="L1478" s="0">
        <f>DATEDIF(J1478,$L$1,"M")</f>
        <v/>
      </c>
      <c r="M1478" s="0">
        <f>IF(L1478&lt;18,"新品期",IF(L1478&lt;=36,"老品期","衰退期"))</f>
        <v/>
      </c>
      <c r="N1478" s="36" t="inlineStr">
        <is>
          <t>属于B2312-BG，亚马逊创建</t>
        </is>
      </c>
      <c r="O1478" s="37" t="n"/>
    </row>
    <row r="1479" customFormat="1" s="36">
      <c r="A1479" s="37" t="inlineStr">
        <is>
          <t>Wintap-US</t>
        </is>
      </c>
      <c r="B1479" s="37" t="inlineStr">
        <is>
          <t>Wintap美国站</t>
        </is>
      </c>
      <c r="C1479" s="4">
        <f>B1479&amp;D1479</f>
        <v/>
      </c>
      <c r="D1479" s="37" t="inlineStr">
        <is>
          <t>WT-3317BG3</t>
        </is>
      </c>
      <c r="E1479" s="37" t="inlineStr">
        <is>
          <t>310F3317BG3</t>
        </is>
      </c>
      <c r="F1479" s="37" t="inlineStr">
        <is>
          <t>圆形单功能入墙暗装淋浴龙头拉丝锆金封油（6寸带平衡阀）</t>
        </is>
      </c>
      <c r="G1479" s="36" t="inlineStr">
        <is>
          <t>宋江</t>
        </is>
      </c>
      <c r="H1479" s="36" t="inlineStr">
        <is>
          <t>暗装淋浴</t>
        </is>
      </c>
      <c r="I1479" s="12" t="inlineStr">
        <is>
          <t>否</t>
        </is>
      </c>
      <c r="J1479" s="34" t="n">
        <v>45951</v>
      </c>
      <c r="K1479" s="34" t="n">
        <v>45951</v>
      </c>
      <c r="L1479" s="0">
        <f>DATEDIF(J1479,$L$1,"M")</f>
        <v/>
      </c>
      <c r="M1479" s="0">
        <f>IF(L1479&lt;18,"新品期",IF(L1479&lt;=36,"老品期","衰退期"))</f>
        <v/>
      </c>
      <c r="O1479" s="37" t="n"/>
    </row>
    <row r="1480" customFormat="1" s="36">
      <c r="A1480" s="37" t="inlineStr">
        <is>
          <t>Wintap-US</t>
        </is>
      </c>
      <c r="B1480" s="37" t="inlineStr">
        <is>
          <t>Wintap美国站</t>
        </is>
      </c>
      <c r="C1480" s="4">
        <f>B1480&amp;D1480</f>
        <v/>
      </c>
      <c r="D1480" s="37" t="inlineStr">
        <is>
          <t>WT-3317BN5</t>
        </is>
      </c>
      <c r="E1480" s="37" t="inlineStr">
        <is>
          <t>310F3317BN6</t>
        </is>
      </c>
      <c r="F1480" s="37" t="inlineStr">
        <is>
          <t>圆形单功能入墙暗装淋浴龙头拉丝镍（6寸带平衡阀）</t>
        </is>
      </c>
      <c r="G1480" s="36" t="inlineStr">
        <is>
          <t>宋江</t>
        </is>
      </c>
      <c r="H1480" s="36" t="inlineStr">
        <is>
          <t>暗装淋浴</t>
        </is>
      </c>
      <c r="I1480" s="12" t="inlineStr">
        <is>
          <t>否</t>
        </is>
      </c>
      <c r="J1480" s="34" t="n">
        <v>45951</v>
      </c>
      <c r="K1480" s="34" t="n">
        <v>45951</v>
      </c>
      <c r="L1480" s="0">
        <f>DATEDIF(J1480,$L$1,"M")</f>
        <v/>
      </c>
      <c r="M1480" s="0">
        <f>IF(L1480&lt;18,"新品期",IF(L1480&lt;=36,"老品期","衰退期"))</f>
        <v/>
      </c>
      <c r="O1480" s="37" t="n"/>
    </row>
    <row r="1481" customFormat="1" s="36">
      <c r="A1481" s="37" t="inlineStr">
        <is>
          <t>Wintap-US</t>
        </is>
      </c>
      <c r="B1481" s="37" t="inlineStr">
        <is>
          <t>Wintap美国站</t>
        </is>
      </c>
      <c r="C1481" s="4">
        <f>B1481&amp;D1481</f>
        <v/>
      </c>
      <c r="D1481" s="37" t="inlineStr">
        <is>
          <t>WT-3320BG3</t>
        </is>
      </c>
      <c r="E1481" s="37" t="inlineStr">
        <is>
          <t>322F3320BG3</t>
        </is>
      </c>
      <c r="F1481" s="37" t="inlineStr">
        <is>
          <t>圆形双功能入墙暗装淋浴拉丝锆金封油（6寸顶喷+下出水，带平衡阀）</t>
        </is>
      </c>
      <c r="G1481" s="36" t="inlineStr">
        <is>
          <t>宋江</t>
        </is>
      </c>
      <c r="H1481" s="36" t="inlineStr">
        <is>
          <t>暗装淋浴</t>
        </is>
      </c>
      <c r="I1481" s="12" t="inlineStr">
        <is>
          <t>否</t>
        </is>
      </c>
      <c r="J1481" s="25" t="n">
        <v>45979</v>
      </c>
      <c r="K1481" s="25" t="n">
        <v>45979</v>
      </c>
      <c r="L1481" s="0">
        <f>DATEDIF(J1481,$L$1,"M")</f>
        <v/>
      </c>
      <c r="M1481" s="0">
        <f>IF(L1481&lt;18,"新品期",IF(L1481&lt;=36,"老品期","衰退期"))</f>
        <v/>
      </c>
      <c r="O1481" s="37" t="n"/>
    </row>
    <row r="1482" customFormat="1" s="36">
      <c r="A1482" s="37" t="inlineStr">
        <is>
          <t>Wintap-US</t>
        </is>
      </c>
      <c r="B1482" s="37" t="inlineStr">
        <is>
          <t>Wintap美国站</t>
        </is>
      </c>
      <c r="C1482" s="4">
        <f>B1482&amp;D1482</f>
        <v/>
      </c>
      <c r="D1482" s="37" t="inlineStr">
        <is>
          <t>WT-3320BK1</t>
        </is>
      </c>
      <c r="E1482" s="37" t="inlineStr">
        <is>
          <t>322F3320BK1</t>
        </is>
      </c>
      <c r="F1482" s="37" t="inlineStr">
        <is>
          <t>圆形双功能入墙暗装淋浴电泳黑（6寸顶喷+下出水，带平衡阀）</t>
        </is>
      </c>
      <c r="G1482" s="36" t="inlineStr">
        <is>
          <t>宋江</t>
        </is>
      </c>
      <c r="H1482" s="36" t="inlineStr">
        <is>
          <t>暗装淋浴</t>
        </is>
      </c>
      <c r="I1482" s="12" t="inlineStr">
        <is>
          <t>否</t>
        </is>
      </c>
      <c r="J1482" s="25" t="n">
        <v>45979</v>
      </c>
      <c r="K1482" s="25" t="n">
        <v>45979</v>
      </c>
      <c r="L1482" s="0">
        <f>DATEDIF(J1482,$L$1,"M")</f>
        <v/>
      </c>
      <c r="M1482" s="0">
        <f>IF(L1482&lt;18,"新品期",IF(L1482&lt;=36,"老品期","衰退期"))</f>
        <v/>
      </c>
      <c r="O1482" s="37" t="n"/>
    </row>
    <row r="1483" customFormat="1" s="36">
      <c r="A1483" s="37" t="inlineStr">
        <is>
          <t>Wintap-US</t>
        </is>
      </c>
      <c r="B1483" s="37" t="inlineStr">
        <is>
          <t>Wintap美国站</t>
        </is>
      </c>
      <c r="C1483" s="4">
        <f>B1483&amp;D1483</f>
        <v/>
      </c>
      <c r="D1483" s="37" t="inlineStr">
        <is>
          <t>WT-3320BN5</t>
        </is>
      </c>
      <c r="E1483" s="37" t="inlineStr">
        <is>
          <t>322F3320BN6</t>
        </is>
      </c>
      <c r="F1483" s="37" t="inlineStr">
        <is>
          <t>圆形双功能入墙暗装淋浴拉丝封油（6寸顶喷+下出水，带平衡阀）</t>
        </is>
      </c>
      <c r="G1483" s="36" t="inlineStr">
        <is>
          <t>宋江</t>
        </is>
      </c>
      <c r="H1483" s="36" t="inlineStr">
        <is>
          <t>暗装淋浴</t>
        </is>
      </c>
      <c r="I1483" s="12" t="inlineStr">
        <is>
          <t>否</t>
        </is>
      </c>
      <c r="J1483" s="25" t="n">
        <v>45979</v>
      </c>
      <c r="K1483" s="25" t="n">
        <v>45979</v>
      </c>
      <c r="L1483" s="0">
        <f>DATEDIF(J1483,$L$1,"M")</f>
        <v/>
      </c>
      <c r="M1483" s="0">
        <f>IF(L1483&lt;18,"新品期",IF(L1483&lt;=36,"老品期","衰退期"))</f>
        <v/>
      </c>
      <c r="O1483" s="37" t="n"/>
    </row>
    <row r="1484" customFormat="1" s="36">
      <c r="A1484" s="37" t="inlineStr">
        <is>
          <t>Wintap-US</t>
        </is>
      </c>
      <c r="B1484" s="37" t="inlineStr">
        <is>
          <t>Wintap美国站</t>
        </is>
      </c>
      <c r="C1484" s="4">
        <f>B1484&amp;D1484</f>
        <v/>
      </c>
      <c r="D1484" s="37" t="inlineStr">
        <is>
          <t>WT-9812BG3</t>
        </is>
      </c>
      <c r="E1484" s="37" t="inlineStr">
        <is>
          <t>320F0098BG3</t>
        </is>
      </c>
      <c r="F1484" s="37" t="inlineStr">
        <is>
          <t>98系列二功能入墙暗装淋浴龙头（顶喷+手持）拉丝锆金封油</t>
        </is>
      </c>
      <c r="G1484" s="36" t="inlineStr">
        <is>
          <t>宋江</t>
        </is>
      </c>
      <c r="H1484" s="36" t="inlineStr">
        <is>
          <t>暗装淋浴</t>
        </is>
      </c>
      <c r="I1484" s="12" t="inlineStr">
        <is>
          <t>否</t>
        </is>
      </c>
      <c r="J1484" s="25" t="n">
        <v>45982</v>
      </c>
      <c r="K1484" s="25" t="n">
        <v>45982</v>
      </c>
      <c r="L1484" s="0">
        <f>DATEDIF(J1484,$L$1,"M")</f>
        <v/>
      </c>
      <c r="M1484" s="0">
        <f>IF(L1484&lt;18,"新品期",IF(L1484&lt;=36,"老品期","衰退期"))</f>
        <v/>
      </c>
      <c r="O1484" s="37" t="n"/>
    </row>
    <row r="1485" customFormat="1" s="36">
      <c r="A1485" s="37" t="inlineStr">
        <is>
          <t>Wintap-US</t>
        </is>
      </c>
      <c r="B1485" s="37" t="inlineStr">
        <is>
          <t>Wintap美国站</t>
        </is>
      </c>
      <c r="C1485" s="4">
        <f>B1485&amp;D1485</f>
        <v/>
      </c>
      <c r="D1485" s="37" t="inlineStr">
        <is>
          <t>WT-9812DP-BG3</t>
        </is>
      </c>
      <c r="E1485" s="37" t="inlineStr">
        <is>
          <t>310F0098BG3</t>
        </is>
      </c>
      <c r="F1485" s="37" t="inlineStr">
        <is>
          <t>98系列单功能入墙暗装淋浴龙头（顶喷）拉丝锆金封油</t>
        </is>
      </c>
      <c r="G1485" s="36" t="inlineStr">
        <is>
          <t>宋江</t>
        </is>
      </c>
      <c r="H1485" s="36" t="inlineStr">
        <is>
          <t>暗装淋浴</t>
        </is>
      </c>
      <c r="I1485" s="12" t="inlineStr">
        <is>
          <t>否</t>
        </is>
      </c>
      <c r="J1485" s="25" t="n">
        <v>45982</v>
      </c>
      <c r="K1485" s="25" t="n">
        <v>45982</v>
      </c>
      <c r="L1485" s="0">
        <f>DATEDIF(J1485,$L$1,"M")</f>
        <v/>
      </c>
      <c r="M1485" s="0">
        <f>IF(L1485&lt;18,"新品期",IF(L1485&lt;=36,"老品期","衰退期"))</f>
        <v/>
      </c>
      <c r="O1485" s="37" t="n"/>
    </row>
    <row r="1486" customFormat="1" s="36">
      <c r="A1486" s="37" t="inlineStr">
        <is>
          <t>Wintap-US</t>
        </is>
      </c>
      <c r="B1486" s="37" t="inlineStr">
        <is>
          <t>Wintap美国站</t>
        </is>
      </c>
      <c r="C1486" s="4">
        <f>B1486&amp;D1486</f>
        <v/>
      </c>
      <c r="D1486" s="37" t="inlineStr">
        <is>
          <t>WT-9812DP-ORB</t>
        </is>
      </c>
      <c r="E1486" s="37" t="inlineStr">
        <is>
          <t>310F0098OB1</t>
        </is>
      </c>
      <c r="F1486" s="37" t="inlineStr">
        <is>
          <t>98系列单功能入墙暗装淋浴龙头（顶喷）油封铜</t>
        </is>
      </c>
      <c r="G1486" s="36" t="inlineStr">
        <is>
          <t>宋江</t>
        </is>
      </c>
      <c r="H1486" s="36" t="inlineStr">
        <is>
          <t>暗装淋浴</t>
        </is>
      </c>
      <c r="I1486" s="12" t="inlineStr">
        <is>
          <t>否</t>
        </is>
      </c>
      <c r="J1486" s="25" t="n">
        <v>45982</v>
      </c>
      <c r="K1486" s="25" t="n">
        <v>45982</v>
      </c>
      <c r="L1486" s="0">
        <f>DATEDIF(J1486,$L$1,"M")</f>
        <v/>
      </c>
      <c r="M1486" s="0">
        <f>IF(L1486&lt;18,"新品期",IF(L1486&lt;=36,"老品期","衰退期"))</f>
        <v/>
      </c>
      <c r="O1486" s="37" t="n"/>
    </row>
    <row r="1487" customFormat="1" s="36">
      <c r="A1487" s="37" t="inlineStr">
        <is>
          <t>BYF-US</t>
        </is>
      </c>
      <c r="B1487" s="37" t="inlineStr">
        <is>
          <t>BYF美国站</t>
        </is>
      </c>
      <c r="C1487" s="4">
        <f>B1487&amp;D1487</f>
        <v/>
      </c>
      <c r="D1487" s="37" t="inlineStr">
        <is>
          <t>JSG-69-NEW</t>
        </is>
      </c>
      <c r="E1487" s="37" t="inlineStr">
        <is>
          <t>610F0013C01</t>
        </is>
      </c>
      <c r="F1487" s="37" t="inlineStr">
        <is>
          <t>69CM（27寸）红蓝进水管（M13/1,G1/2）</t>
        </is>
      </c>
      <c r="G1487" s="36" t="inlineStr">
        <is>
          <t>刘皓/郭家亮/胡颖楠/王幸</t>
        </is>
      </c>
      <c r="H1487" s="36" t="inlineStr">
        <is>
          <t>配件</t>
        </is>
      </c>
      <c r="I1487" s="12" t="inlineStr">
        <is>
          <t>否</t>
        </is>
      </c>
      <c r="J1487" s="36" t="inlineStr">
        <is>
          <t>/</t>
        </is>
      </c>
      <c r="K1487" s="36" t="inlineStr">
        <is>
          <t>/</t>
        </is>
      </c>
      <c r="L1487" s="0">
        <f>DATEDIF(J1487,$L$1,"M")</f>
        <v/>
      </c>
      <c r="M1487" s="0">
        <f>IF(L1487&lt;18,"新品期",IF(L1487&lt;=36,"老品期","衰退期"))</f>
        <v/>
      </c>
      <c r="N1487" s="36" t="inlineStr">
        <is>
          <t>落地浴缸龙头共用配件</t>
        </is>
      </c>
      <c r="O1487" s="37" t="n"/>
    </row>
    <row r="1488" customFormat="1" s="36">
      <c r="A1488" s="37" t="inlineStr">
        <is>
          <t>BYF-US</t>
        </is>
      </c>
      <c r="B1488" s="37" t="inlineStr">
        <is>
          <t>BYF美国站</t>
        </is>
      </c>
      <c r="C1488" s="4">
        <f>B1488&amp;D1488</f>
        <v/>
      </c>
      <c r="D1488" s="37" t="inlineStr">
        <is>
          <t>JSG-70-NEW</t>
        </is>
      </c>
      <c r="E1488" s="37" t="inlineStr">
        <is>
          <t>610F0011C01</t>
        </is>
      </c>
      <c r="F1488" s="37" t="inlineStr">
        <is>
          <t>70CM（27.5寸）红蓝进水管(M13/1,G1/2）</t>
        </is>
      </c>
      <c r="G1488" s="36" t="inlineStr">
        <is>
          <t>刘皓/郭家亮/胡颖楠/王幸</t>
        </is>
      </c>
      <c r="H1488" s="36" t="inlineStr">
        <is>
          <t>配件</t>
        </is>
      </c>
      <c r="I1488" s="12" t="inlineStr">
        <is>
          <t>否</t>
        </is>
      </c>
      <c r="J1488" s="36" t="inlineStr">
        <is>
          <t>/</t>
        </is>
      </c>
      <c r="K1488" s="36" t="inlineStr">
        <is>
          <t>/</t>
        </is>
      </c>
      <c r="L1488" s="0">
        <f>DATEDIF(J1488,$L$1,"M")</f>
        <v/>
      </c>
      <c r="M1488" s="0">
        <f>IF(L1488&lt;18,"新品期",IF(L1488&lt;=36,"老品期","衰退期"))</f>
        <v/>
      </c>
      <c r="N1488" s="36" t="inlineStr">
        <is>
          <t>落地浴缸龙头共用配件</t>
        </is>
      </c>
      <c r="O1488" s="37" t="n"/>
    </row>
    <row r="1489" customFormat="1" s="36">
      <c r="A1489" s="37" t="inlineStr">
        <is>
          <t>BYF-US</t>
        </is>
      </c>
      <c r="B1489" s="37" t="inlineStr">
        <is>
          <t>BYF美国站</t>
        </is>
      </c>
      <c r="C1489" s="4">
        <f>B1489&amp;D1489</f>
        <v/>
      </c>
      <c r="D1489" s="37" t="inlineStr">
        <is>
          <t>JSG-71.5-NEW</t>
        </is>
      </c>
      <c r="E1489" s="37" t="inlineStr">
        <is>
          <t>610F0010C01</t>
        </is>
      </c>
      <c r="F1489" s="37" t="inlineStr">
        <is>
          <t>71.5红蓝进水管（M13/1,G1/2）</t>
        </is>
      </c>
      <c r="G1489" s="36" t="inlineStr">
        <is>
          <t>刘皓/郭家亮/胡颖楠/王幸</t>
        </is>
      </c>
      <c r="H1489" s="36" t="inlineStr">
        <is>
          <t>配件</t>
        </is>
      </c>
      <c r="I1489" s="12" t="inlineStr">
        <is>
          <t>否</t>
        </is>
      </c>
      <c r="J1489" s="36" t="inlineStr">
        <is>
          <t>/</t>
        </is>
      </c>
      <c r="K1489" s="36" t="inlineStr">
        <is>
          <t>/</t>
        </is>
      </c>
      <c r="L1489" s="0">
        <f>DATEDIF(J1489,$L$1,"M")</f>
        <v/>
      </c>
      <c r="M1489" s="0">
        <f>IF(L1489&lt;18,"新品期",IF(L1489&lt;=36,"老品期","衰退期"))</f>
        <v/>
      </c>
      <c r="N1489" s="36" t="inlineStr">
        <is>
          <t>落地浴缸龙头共用配件</t>
        </is>
      </c>
      <c r="O1489" s="37" t="n"/>
    </row>
    <row r="1490" customFormat="1" s="36">
      <c r="A1490" s="37" t="inlineStr">
        <is>
          <t>Qinkell-US</t>
        </is>
      </c>
      <c r="B1490" s="37" t="inlineStr">
        <is>
          <t>Qinkell美国站</t>
        </is>
      </c>
      <c r="C1490" s="4">
        <f>B1490&amp;D1490</f>
        <v/>
      </c>
      <c r="D1490" s="37" t="inlineStr">
        <is>
          <t>QC-202507-BK02</t>
        </is>
      </c>
      <c r="E1490" s="37" t="inlineStr">
        <is>
          <t>221F0022BK1</t>
        </is>
      </c>
      <c r="F1490" s="37" t="inlineStr">
        <is>
          <t>22系列三件套缸边浴缸龙头电泳黑</t>
        </is>
      </c>
      <c r="G1490" s="36" t="inlineStr">
        <is>
          <t>胡娟娟</t>
        </is>
      </c>
      <c r="H1490" s="36" t="inlineStr">
        <is>
          <t>缸边浴缸</t>
        </is>
      </c>
      <c r="I1490" s="22" t="inlineStr">
        <is>
          <t>是</t>
        </is>
      </c>
      <c r="J1490" s="25" t="n">
        <v>45901</v>
      </c>
      <c r="K1490" s="25" t="n">
        <v>45987</v>
      </c>
      <c r="L1490" s="0">
        <f>DATEDIF(J1490,$L$1,"M")</f>
        <v/>
      </c>
      <c r="M1490" s="0">
        <f>IF(L1490&lt;18,"新品期",IF(L1490&lt;=36,"老品期","衰退期"))</f>
        <v/>
      </c>
      <c r="O1490" s="37" t="n"/>
    </row>
    <row r="1491" customFormat="1" s="36">
      <c r="A1491" s="37" t="inlineStr">
        <is>
          <t>Qinkell-US</t>
        </is>
      </c>
      <c r="B1491" s="37" t="inlineStr">
        <is>
          <t>Qinkell美国站</t>
        </is>
      </c>
      <c r="C1491" s="4">
        <f>B1491&amp;D1491</f>
        <v/>
      </c>
      <c r="D1491" s="37" t="inlineStr">
        <is>
          <t>QC-202507-BN-02</t>
        </is>
      </c>
      <c r="E1491" s="37" t="inlineStr">
        <is>
          <t>221F0022BN1</t>
        </is>
      </c>
      <c r="F1491" s="37" t="inlineStr">
        <is>
          <t>22系列三件套缸边浴缸龙头拉丝封油</t>
        </is>
      </c>
      <c r="G1491" s="36" t="inlineStr">
        <is>
          <t>胡娟娟</t>
        </is>
      </c>
      <c r="H1491" s="36" t="inlineStr">
        <is>
          <t>缸边浴缸</t>
        </is>
      </c>
      <c r="I1491" s="22" t="inlineStr">
        <is>
          <t>是</t>
        </is>
      </c>
      <c r="J1491" s="25" t="n">
        <v>45901</v>
      </c>
      <c r="K1491" s="25" t="n">
        <v>45987</v>
      </c>
      <c r="L1491" s="0">
        <f>DATEDIF(J1491,$L$1,"M")</f>
        <v/>
      </c>
      <c r="M1491" s="0">
        <f>IF(L1491&lt;18,"新品期",IF(L1491&lt;=36,"老品期","衰退期"))</f>
        <v/>
      </c>
      <c r="O1491" s="37" t="n"/>
    </row>
    <row r="1492" customFormat="1" s="36">
      <c r="A1492" s="37" t="inlineStr">
        <is>
          <t>soebiz-US</t>
        </is>
      </c>
      <c r="B1492" s="37" t="inlineStr">
        <is>
          <t>Soebiz美国站</t>
        </is>
      </c>
      <c r="C1492" s="4">
        <f>B1492&amp;D1492</f>
        <v/>
      </c>
      <c r="D1492" s="37" t="inlineStr">
        <is>
          <t>SZ-L-SD-BG-02</t>
        </is>
      </c>
      <c r="E1492" s="37" t="inlineStr">
        <is>
          <t>490F0002BG3</t>
        </is>
      </c>
      <c r="F1492" s="37" t="inlineStr">
        <is>
          <t>经济型皂液器拉丝锆金封油</t>
        </is>
      </c>
      <c r="G1492" s="36" t="inlineStr">
        <is>
          <t>吕凯烨</t>
        </is>
      </c>
      <c r="H1492" s="4" t="inlineStr">
        <is>
          <t>厨房品线</t>
        </is>
      </c>
      <c r="I1492" s="12" t="inlineStr">
        <is>
          <t>否</t>
        </is>
      </c>
      <c r="J1492" s="34" t="n">
        <v>45906</v>
      </c>
      <c r="K1492" s="34" t="n">
        <v>46013</v>
      </c>
      <c r="L1492" s="0">
        <f>DATEDIF(J1492,$L$1,"M")</f>
        <v/>
      </c>
      <c r="M1492" s="0">
        <f>IF(L1492&lt;18,"新品期",IF(L1492&lt;=36,"老品期","衰退期"))</f>
        <v/>
      </c>
      <c r="O1492" s="37" t="n"/>
    </row>
    <row r="1493" customFormat="1" s="36">
      <c r="A1493" s="37" t="inlineStr">
        <is>
          <t>soebiz-US</t>
        </is>
      </c>
      <c r="B1493" s="37" t="inlineStr">
        <is>
          <t>Soebiz美国站</t>
        </is>
      </c>
      <c r="C1493" s="4">
        <f>B1493&amp;D1493</f>
        <v/>
      </c>
      <c r="D1493" s="37" t="inlineStr">
        <is>
          <t>SZ-L-SD-BK-03</t>
        </is>
      </c>
      <c r="E1493" s="37" t="inlineStr">
        <is>
          <t>490F0002BK1</t>
        </is>
      </c>
      <c r="F1493" s="37" t="inlineStr">
        <is>
          <t>经济型皂液器电泳黑</t>
        </is>
      </c>
      <c r="G1493" s="36" t="inlineStr">
        <is>
          <t>吕凯烨</t>
        </is>
      </c>
      <c r="H1493" s="4" t="inlineStr">
        <is>
          <t>厨房品线</t>
        </is>
      </c>
      <c r="I1493" s="12" t="inlineStr">
        <is>
          <t>否</t>
        </is>
      </c>
      <c r="J1493" s="34" t="n">
        <v>45906</v>
      </c>
      <c r="K1493" s="34" t="n">
        <v>46013</v>
      </c>
      <c r="L1493" s="0">
        <f>DATEDIF(J1493,$L$1,"M")</f>
        <v/>
      </c>
      <c r="M1493" s="0">
        <f>IF(L1493&lt;18,"新品期",IF(L1493&lt;=36,"老品期","衰退期"))</f>
        <v/>
      </c>
      <c r="O1493" s="37" t="n"/>
    </row>
    <row r="1494" customFormat="1" s="36">
      <c r="A1494" s="37" t="inlineStr">
        <is>
          <t>soebiz-US</t>
        </is>
      </c>
      <c r="B1494" s="37" t="inlineStr">
        <is>
          <t>Soebiz美国站</t>
        </is>
      </c>
      <c r="C1494" s="4">
        <f>B1494&amp;D1494</f>
        <v/>
      </c>
      <c r="D1494" s="37" t="inlineStr">
        <is>
          <t>SZ-L-SD-BN-01</t>
        </is>
      </c>
      <c r="E1494" s="37" t="inlineStr">
        <is>
          <t>490F0002BN5</t>
        </is>
      </c>
      <c r="F1494" s="37" t="inlineStr">
        <is>
          <t>经济型皂液器拉丝</t>
        </is>
      </c>
      <c r="G1494" s="36" t="inlineStr">
        <is>
          <t>吕凯烨</t>
        </is>
      </c>
      <c r="H1494" s="4" t="inlineStr">
        <is>
          <t>厨房品线</t>
        </is>
      </c>
      <c r="I1494" s="12" t="inlineStr">
        <is>
          <t>否</t>
        </is>
      </c>
      <c r="J1494" s="34" t="n">
        <v>45906</v>
      </c>
      <c r="K1494" s="34" t="n">
        <v>46013</v>
      </c>
      <c r="L1494" s="0">
        <f>DATEDIF(J1494,$L$1,"M")</f>
        <v/>
      </c>
      <c r="M1494" s="0">
        <f>IF(L1494&lt;18,"新品期",IF(L1494&lt;=36,"老品期","衰退期"))</f>
        <v/>
      </c>
      <c r="O1494" s="37" t="n"/>
    </row>
    <row r="1495" customFormat="1" s="36">
      <c r="A1495" s="37" t="inlineStr">
        <is>
          <t>soebiz-US</t>
        </is>
      </c>
      <c r="B1495" s="37" t="inlineStr">
        <is>
          <t>Soebiz美国站</t>
        </is>
      </c>
      <c r="C1495" s="4">
        <f>B1495&amp;D1495</f>
        <v/>
      </c>
      <c r="D1495" s="37" t="inlineStr">
        <is>
          <t>SZ-L-SLTB-Standard-BN</t>
        </is>
      </c>
      <c r="E1495" s="37" t="inlineStr">
        <is>
          <t>610F0004BN5</t>
        </is>
      </c>
      <c r="F1495" s="37" t="inlineStr">
        <is>
          <t>8寸椭圆底板拉丝</t>
        </is>
      </c>
      <c r="G1495" s="36" t="inlineStr">
        <is>
          <t>吕凯烨</t>
        </is>
      </c>
      <c r="H1495" s="4" t="inlineStr">
        <is>
          <t>厨房品线</t>
        </is>
      </c>
      <c r="I1495" s="12" t="inlineStr">
        <is>
          <t>否</t>
        </is>
      </c>
      <c r="J1495" s="34" t="n">
        <v>45896</v>
      </c>
      <c r="K1495" s="34" t="n">
        <v>45944</v>
      </c>
      <c r="L1495" s="0">
        <f>DATEDIF(J1495,$L$1,"M")</f>
        <v/>
      </c>
      <c r="M1495" s="0">
        <f>IF(L1495&lt;18,"新品期",IF(L1495&lt;=36,"老品期","衰退期"))</f>
        <v/>
      </c>
      <c r="N1495" s="36" t="inlineStr">
        <is>
          <t>售后链接</t>
        </is>
      </c>
      <c r="O1495" s="37" t="n"/>
    </row>
    <row r="1496" customFormat="1" s="36">
      <c r="A1496" s="37" t="inlineStr">
        <is>
          <t>soebiz-US</t>
        </is>
      </c>
      <c r="B1496" s="37" t="inlineStr">
        <is>
          <t>Soebiz美国站</t>
        </is>
      </c>
      <c r="C1496" s="4">
        <f>B1496&amp;D1496</f>
        <v/>
      </c>
      <c r="D1496" s="37" t="inlineStr">
        <is>
          <t>SZ-L-SLTPF-9M3F-BS</t>
        </is>
      </c>
      <c r="E1496" s="37" t="inlineStr">
        <is>
          <t>610F0006C01</t>
        </is>
      </c>
      <c r="F1496" s="37" t="inlineStr">
        <is>
          <t>9/16(外牙)转3/8(内牙)转接头</t>
        </is>
      </c>
      <c r="G1496" s="36" t="inlineStr">
        <is>
          <t>吕凯烨</t>
        </is>
      </c>
      <c r="H1496" s="4" t="inlineStr">
        <is>
          <t>厨房品线</t>
        </is>
      </c>
      <c r="I1496" s="12" t="inlineStr">
        <is>
          <t>否</t>
        </is>
      </c>
      <c r="J1496" s="34" t="n">
        <v>45897</v>
      </c>
      <c r="K1496" s="34" t="n">
        <v>45944</v>
      </c>
      <c r="L1496" s="0">
        <f>DATEDIF(J1496,$L$1,"M")</f>
        <v/>
      </c>
      <c r="M1496" s="0">
        <f>IF(L1496&lt;18,"新品期",IF(L1496&lt;=36,"老品期","衰退期"))</f>
        <v/>
      </c>
      <c r="N1496" s="36" t="inlineStr">
        <is>
          <t>售后链接</t>
        </is>
      </c>
      <c r="O1496" s="37" t="n"/>
    </row>
    <row r="1497" customFormat="1" s="36">
      <c r="A1497" s="37" t="inlineStr">
        <is>
          <t>Wintap-US</t>
        </is>
      </c>
      <c r="B1497" s="37" t="inlineStr">
        <is>
          <t>Wintap美国站</t>
        </is>
      </c>
      <c r="C1497" s="4">
        <f>B1497&amp;D1497</f>
        <v/>
      </c>
      <c r="D1497" s="37" t="inlineStr">
        <is>
          <t>Amazon.Found.B0CJQ2K9NN</t>
        </is>
      </c>
      <c r="E1497" s="37" t="inlineStr">
        <is>
          <t>320F0098BG1</t>
        </is>
      </c>
      <c r="F1497" s="37" t="inlineStr">
        <is>
          <t>98系列二功能入墙暗装淋浴龙头（顶喷+手持）拉丝钛金封油</t>
        </is>
      </c>
      <c r="G1497" s="36" t="inlineStr">
        <is>
          <t>宋江</t>
        </is>
      </c>
      <c r="H1497" s="36" t="inlineStr">
        <is>
          <t>暗装淋浴</t>
        </is>
      </c>
      <c r="I1497" s="12" t="inlineStr">
        <is>
          <t>否</t>
        </is>
      </c>
      <c r="J1497" s="36" t="inlineStr">
        <is>
          <t>/</t>
        </is>
      </c>
      <c r="K1497" s="36" t="inlineStr">
        <is>
          <t>/</t>
        </is>
      </c>
      <c r="L1497" s="0">
        <f>DATEDIF(J1497,$L$1,"M")</f>
        <v/>
      </c>
      <c r="M1497" s="0">
        <f>IF(L1497&lt;18,"新品期",IF(L1497&lt;=36,"老品期","衰退期"))</f>
        <v/>
      </c>
      <c r="N1497" s="36" t="inlineStr">
        <is>
          <t>属于WT-9812BG，亚马逊创建</t>
        </is>
      </c>
      <c r="O1497" s="37" t="n"/>
    </row>
    <row r="1498" customFormat="1" s="36">
      <c r="A1498" s="37" t="inlineStr">
        <is>
          <t>Wintap-US</t>
        </is>
      </c>
      <c r="B1498" s="37" t="inlineStr">
        <is>
          <t>Wintap美国站</t>
        </is>
      </c>
      <c r="C1498" s="4">
        <f>B1498&amp;D1498</f>
        <v/>
      </c>
      <c r="D1498" s="37" t="inlineStr">
        <is>
          <t>WT-3317BG3</t>
        </is>
      </c>
      <c r="E1498" s="37" t="inlineStr">
        <is>
          <t>310F3317BG3</t>
        </is>
      </c>
      <c r="F1498" s="37" t="inlineStr">
        <is>
          <t>圆形单功能入墙暗装淋浴龙头拉丝锆金封油（6寸带平衡阀）</t>
        </is>
      </c>
      <c r="G1498" s="36" t="inlineStr">
        <is>
          <t>宋江</t>
        </is>
      </c>
      <c r="H1498" s="36" t="inlineStr">
        <is>
          <t>暗装淋浴</t>
        </is>
      </c>
      <c r="I1498" s="12" t="inlineStr">
        <is>
          <t>否</t>
        </is>
      </c>
      <c r="J1498" s="34" t="n">
        <v>45951</v>
      </c>
      <c r="K1498" s="34" t="n">
        <v>45951</v>
      </c>
      <c r="L1498" s="0">
        <f>DATEDIF(J1498,$L$1,"M")</f>
        <v/>
      </c>
      <c r="M1498" s="0">
        <f>IF(L1498&lt;18,"新品期",IF(L1498&lt;=36,"老品期","衰退期"))</f>
        <v/>
      </c>
      <c r="O1498" s="37" t="n"/>
    </row>
    <row r="1499" customFormat="1" s="36">
      <c r="A1499" s="37" t="inlineStr">
        <is>
          <t>Wintap-US</t>
        </is>
      </c>
      <c r="B1499" s="37" t="inlineStr">
        <is>
          <t>Wintap美国站</t>
        </is>
      </c>
      <c r="C1499" s="4">
        <f>B1499&amp;D1499</f>
        <v/>
      </c>
      <c r="D1499" s="37" t="inlineStr">
        <is>
          <t>WT-3317BN5</t>
        </is>
      </c>
      <c r="E1499" s="37" t="inlineStr">
        <is>
          <t>310F3317BN6</t>
        </is>
      </c>
      <c r="F1499" s="37" t="inlineStr">
        <is>
          <t>圆形单功能入墙暗装淋浴龙头拉丝镍（6寸带平衡阀）</t>
        </is>
      </c>
      <c r="G1499" s="36" t="inlineStr">
        <is>
          <t>宋江</t>
        </is>
      </c>
      <c r="H1499" s="36" t="inlineStr">
        <is>
          <t>暗装淋浴</t>
        </is>
      </c>
      <c r="I1499" s="12" t="inlineStr">
        <is>
          <t>否</t>
        </is>
      </c>
      <c r="J1499" s="34" t="n">
        <v>45951</v>
      </c>
      <c r="K1499" s="34" t="n">
        <v>45951</v>
      </c>
      <c r="L1499" s="0">
        <f>DATEDIF(J1499,$L$1,"M")</f>
        <v/>
      </c>
      <c r="M1499" s="0">
        <f>IF(L1499&lt;18,"新品期",IF(L1499&lt;=36,"老品期","衰退期"))</f>
        <v/>
      </c>
      <c r="O1499" s="37" t="n"/>
    </row>
    <row r="1500" customFormat="1" s="36">
      <c r="A1500" s="37" t="inlineStr">
        <is>
          <t>Wintap-US</t>
        </is>
      </c>
      <c r="B1500" s="37" t="inlineStr">
        <is>
          <t>Wintap美国站</t>
        </is>
      </c>
      <c r="C1500" s="4">
        <f>B1500&amp;D1500</f>
        <v/>
      </c>
      <c r="D1500" s="37" t="inlineStr">
        <is>
          <t>WT-3320BG3</t>
        </is>
      </c>
      <c r="E1500" s="37" t="inlineStr">
        <is>
          <t>322F3320BG3</t>
        </is>
      </c>
      <c r="F1500" s="37" t="inlineStr">
        <is>
          <t>圆形双功能入墙暗装淋浴拉丝锆金封油（6寸顶喷+下出水，带平衡阀）</t>
        </is>
      </c>
      <c r="G1500" s="36" t="inlineStr">
        <is>
          <t>宋江</t>
        </is>
      </c>
      <c r="H1500" s="36" t="inlineStr">
        <is>
          <t>暗装淋浴</t>
        </is>
      </c>
      <c r="I1500" s="12" t="inlineStr">
        <is>
          <t>否</t>
        </is>
      </c>
      <c r="J1500" s="25" t="n">
        <v>45979</v>
      </c>
      <c r="K1500" s="25" t="n">
        <v>45979</v>
      </c>
      <c r="L1500" s="0">
        <f>DATEDIF(J1500,$L$1,"M")</f>
        <v/>
      </c>
      <c r="M1500" s="0">
        <f>IF(L1500&lt;18,"新品期",IF(L1500&lt;=36,"老品期","衰退期"))</f>
        <v/>
      </c>
      <c r="O1500" s="37" t="n"/>
    </row>
    <row r="1501" customFormat="1" s="36">
      <c r="A1501" s="37" t="inlineStr">
        <is>
          <t>Wintap-US</t>
        </is>
      </c>
      <c r="B1501" s="37" t="inlineStr">
        <is>
          <t>Wintap美国站</t>
        </is>
      </c>
      <c r="C1501" s="4">
        <f>B1501&amp;D1501</f>
        <v/>
      </c>
      <c r="D1501" s="37" t="inlineStr">
        <is>
          <t>WT-3320BK1</t>
        </is>
      </c>
      <c r="E1501" s="37" t="inlineStr">
        <is>
          <t>322F3320BK1</t>
        </is>
      </c>
      <c r="F1501" s="37" t="inlineStr">
        <is>
          <t>圆形双功能入墙暗装淋浴电泳黑（6寸顶喷+下出水，带平衡阀）</t>
        </is>
      </c>
      <c r="G1501" s="36" t="inlineStr">
        <is>
          <t>宋江</t>
        </is>
      </c>
      <c r="H1501" s="36" t="inlineStr">
        <is>
          <t>暗装淋浴</t>
        </is>
      </c>
      <c r="I1501" s="12" t="inlineStr">
        <is>
          <t>否</t>
        </is>
      </c>
      <c r="J1501" s="25" t="n">
        <v>45979</v>
      </c>
      <c r="K1501" s="25" t="n">
        <v>45979</v>
      </c>
      <c r="L1501" s="0">
        <f>DATEDIF(J1501,$L$1,"M")</f>
        <v/>
      </c>
      <c r="M1501" s="0">
        <f>IF(L1501&lt;18,"新品期",IF(L1501&lt;=36,"老品期","衰退期"))</f>
        <v/>
      </c>
      <c r="O1501" s="37" t="n"/>
    </row>
    <row r="1502" customFormat="1" s="36">
      <c r="A1502" s="37" t="inlineStr">
        <is>
          <t>Wintap-US</t>
        </is>
      </c>
      <c r="B1502" s="37" t="inlineStr">
        <is>
          <t>Wintap美国站</t>
        </is>
      </c>
      <c r="C1502" s="4">
        <f>B1502&amp;D1502</f>
        <v/>
      </c>
      <c r="D1502" s="37" t="inlineStr">
        <is>
          <t>WT-3320BN5</t>
        </is>
      </c>
      <c r="E1502" s="37" t="inlineStr">
        <is>
          <t>322F3320BN6</t>
        </is>
      </c>
      <c r="F1502" s="37" t="inlineStr">
        <is>
          <t>圆形双功能入墙暗装淋浴拉丝封油（6寸顶喷+下出水，带平衡阀）</t>
        </is>
      </c>
      <c r="G1502" s="36" t="inlineStr">
        <is>
          <t>宋江</t>
        </is>
      </c>
      <c r="H1502" s="36" t="inlineStr">
        <is>
          <t>暗装淋浴</t>
        </is>
      </c>
      <c r="I1502" s="12" t="inlineStr">
        <is>
          <t>否</t>
        </is>
      </c>
      <c r="J1502" s="25" t="n">
        <v>45979</v>
      </c>
      <c r="K1502" s="25" t="n">
        <v>45979</v>
      </c>
      <c r="L1502" s="0">
        <f>DATEDIF(J1502,$L$1,"M")</f>
        <v/>
      </c>
      <c r="M1502" s="0">
        <f>IF(L1502&lt;18,"新品期",IF(L1502&lt;=36,"老品期","衰退期"))</f>
        <v/>
      </c>
      <c r="O1502" s="37" t="n"/>
    </row>
    <row r="1503" customFormat="1" s="36">
      <c r="A1503" s="37" t="inlineStr">
        <is>
          <t>Wintap-US</t>
        </is>
      </c>
      <c r="B1503" s="37" t="inlineStr">
        <is>
          <t>Wintap美国站</t>
        </is>
      </c>
      <c r="C1503" s="4">
        <f>B1503&amp;D1503</f>
        <v/>
      </c>
      <c r="D1503" s="37" t="inlineStr">
        <is>
          <t>WT-9807BKZZ-KK</t>
        </is>
      </c>
      <c r="E1503" s="37" t="inlineStr">
        <is>
          <t>221F0098BK1</t>
        </is>
      </c>
      <c r="F1503" s="37" t="inlineStr">
        <is>
          <t>98系列三件套缸边浴缸龙头电泳黑</t>
        </is>
      </c>
      <c r="G1503" s="36" t="inlineStr">
        <is>
          <t>陈巧娴</t>
        </is>
      </c>
      <c r="H1503" s="4" t="inlineStr">
        <is>
          <t>缸边浴缸</t>
        </is>
      </c>
      <c r="I1503" s="12" t="inlineStr">
        <is>
          <t>否</t>
        </is>
      </c>
      <c r="J1503" s="34" t="n">
        <v>45992</v>
      </c>
      <c r="K1503" s="34" t="n">
        <v>45992</v>
      </c>
      <c r="L1503" s="0">
        <f>DATEDIF(J1503,$L$1,"M")</f>
        <v/>
      </c>
      <c r="M1503" s="0">
        <f>IF(L1503&lt;18,"新品期",IF(L1503&lt;=36,"老品期","衰退期"))</f>
        <v/>
      </c>
      <c r="N1503" s="36" t="inlineStr">
        <is>
          <t>种子链接</t>
        </is>
      </c>
      <c r="O1503" s="37" t="n"/>
    </row>
    <row r="1504" customFormat="1" s="36">
      <c r="A1504" s="37" t="inlineStr">
        <is>
          <t>Wintap-US</t>
        </is>
      </c>
      <c r="B1504" s="37" t="inlineStr">
        <is>
          <t>Wintap美国站</t>
        </is>
      </c>
      <c r="C1504" s="4">
        <f>B1504&amp;D1504</f>
        <v/>
      </c>
      <c r="D1504" s="37" t="inlineStr">
        <is>
          <t>WT-9807BNZZ01-KK</t>
        </is>
      </c>
      <c r="E1504" s="37" t="inlineStr">
        <is>
          <t>221F0098BN1</t>
        </is>
      </c>
      <c r="F1504" s="37" t="inlineStr">
        <is>
          <t>98系列三件套缸边浴缸龙头拉丝封油</t>
        </is>
      </c>
      <c r="G1504" s="36" t="inlineStr">
        <is>
          <t>陈巧娴</t>
        </is>
      </c>
      <c r="H1504" s="4" t="inlineStr">
        <is>
          <t>缸边浴缸</t>
        </is>
      </c>
      <c r="I1504" s="12" t="inlineStr">
        <is>
          <t>否</t>
        </is>
      </c>
      <c r="J1504" s="34" t="n">
        <v>45992</v>
      </c>
      <c r="K1504" s="34" t="n">
        <v>45992</v>
      </c>
      <c r="L1504" s="0">
        <f>DATEDIF(J1504,$L$1,"M")</f>
        <v/>
      </c>
      <c r="M1504" s="0">
        <f>IF(L1504&lt;18,"新品期",IF(L1504&lt;=36,"老品期","衰退期"))</f>
        <v/>
      </c>
      <c r="N1504" s="36" t="inlineStr">
        <is>
          <t>种子链接</t>
        </is>
      </c>
      <c r="O1504" s="37" t="n"/>
    </row>
    <row r="1505" customFormat="1" s="36">
      <c r="A1505" s="37" t="inlineStr">
        <is>
          <t>Wintap-US</t>
        </is>
      </c>
      <c r="B1505" s="37" t="inlineStr">
        <is>
          <t>Wintap美国站</t>
        </is>
      </c>
      <c r="C1505" s="4">
        <f>B1505&amp;D1505</f>
        <v/>
      </c>
      <c r="D1505" s="37" t="inlineStr">
        <is>
          <t>WT-9807BNZZ-KK</t>
        </is>
      </c>
      <c r="E1505" s="37" t="inlineStr">
        <is>
          <t>221F0098BN1</t>
        </is>
      </c>
      <c r="F1505" s="37" t="inlineStr">
        <is>
          <t>98系列三件套缸边浴缸龙头拉丝封油</t>
        </is>
      </c>
      <c r="G1505" s="36" t="inlineStr">
        <is>
          <t>陈巧娴</t>
        </is>
      </c>
      <c r="H1505" s="4" t="inlineStr">
        <is>
          <t>缸边浴缸</t>
        </is>
      </c>
      <c r="I1505" s="12" t="inlineStr">
        <is>
          <t>否</t>
        </is>
      </c>
      <c r="J1505" s="34" t="n">
        <v>45992</v>
      </c>
      <c r="K1505" s="34" t="n">
        <v>45992</v>
      </c>
      <c r="L1505" s="0">
        <f>DATEDIF(J1505,$L$1,"M")</f>
        <v/>
      </c>
      <c r="M1505" s="0">
        <f>IF(L1505&lt;18,"新品期",IF(L1505&lt;=36,"老品期","衰退期"))</f>
        <v/>
      </c>
      <c r="N1505" s="36" t="inlineStr">
        <is>
          <t>种子链接</t>
        </is>
      </c>
      <c r="O1505" s="37" t="n"/>
    </row>
    <row r="1506" customFormat="1" s="36">
      <c r="A1506" s="37" t="inlineStr">
        <is>
          <t>Wintap-US</t>
        </is>
      </c>
      <c r="B1506" s="37" t="inlineStr">
        <is>
          <t>Wintap美国站</t>
        </is>
      </c>
      <c r="C1506" s="4">
        <f>B1506&amp;D1506</f>
        <v/>
      </c>
      <c r="D1506" s="37" t="inlineStr">
        <is>
          <t>WT-9807CPZZ-KK</t>
        </is>
      </c>
      <c r="E1506" s="37" t="inlineStr">
        <is>
          <t>221F0098CP1</t>
        </is>
      </c>
      <c r="F1506" s="37" t="inlineStr">
        <is>
          <t>98系列三件套缸边浴缸龙头铬</t>
        </is>
      </c>
      <c r="G1506" s="36" t="inlineStr">
        <is>
          <t>陈巧娴</t>
        </is>
      </c>
      <c r="H1506" s="4" t="inlineStr">
        <is>
          <t>缸边浴缸</t>
        </is>
      </c>
      <c r="I1506" s="12" t="inlineStr">
        <is>
          <t>否</t>
        </is>
      </c>
      <c r="J1506" s="34" t="n">
        <v>45992</v>
      </c>
      <c r="K1506" s="34" t="n">
        <v>45992</v>
      </c>
      <c r="L1506" s="0">
        <f>DATEDIF(J1506,$L$1,"M")</f>
        <v/>
      </c>
      <c r="M1506" s="0">
        <f>IF(L1506&lt;18,"新品期",IF(L1506&lt;=36,"老品期","衰退期"))</f>
        <v/>
      </c>
      <c r="N1506" s="36" t="inlineStr">
        <is>
          <t>种子链接</t>
        </is>
      </c>
      <c r="O1506" s="37" t="n"/>
    </row>
    <row r="1507" customFormat="1" s="36">
      <c r="A1507" s="37" t="inlineStr">
        <is>
          <t>Wintap-US</t>
        </is>
      </c>
      <c r="B1507" s="37" t="inlineStr">
        <is>
          <t>Wintap美国站</t>
        </is>
      </c>
      <c r="C1507" s="4">
        <f>B1507&amp;D1507</f>
        <v/>
      </c>
      <c r="D1507" s="37" t="inlineStr">
        <is>
          <t>WT-9812BG3</t>
        </is>
      </c>
      <c r="E1507" s="37" t="inlineStr">
        <is>
          <t>320F0098BG3</t>
        </is>
      </c>
      <c r="F1507" s="37" t="inlineStr">
        <is>
          <t>98系列二功能入墙暗装淋浴龙头（顶喷+手持）拉丝锆金封油</t>
        </is>
      </c>
      <c r="G1507" s="36" t="inlineStr">
        <is>
          <t>宋江</t>
        </is>
      </c>
      <c r="H1507" s="36" t="inlineStr">
        <is>
          <t>暗装淋浴</t>
        </is>
      </c>
      <c r="I1507" s="12" t="inlineStr">
        <is>
          <t>否</t>
        </is>
      </c>
      <c r="J1507" s="25" t="n">
        <v>45989</v>
      </c>
      <c r="K1507" s="25" t="n">
        <v>45989</v>
      </c>
      <c r="L1507" s="0">
        <f>DATEDIF(J1507,$L$1,"M")</f>
        <v/>
      </c>
      <c r="M1507" s="0">
        <f>IF(L1507&lt;18,"新品期",IF(L1507&lt;=36,"老品期","衰退期"))</f>
        <v/>
      </c>
      <c r="O1507" s="37" t="n"/>
    </row>
    <row r="1508" customFormat="1" s="36">
      <c r="A1508" s="37" t="inlineStr">
        <is>
          <t>Wintap-US</t>
        </is>
      </c>
      <c r="B1508" s="37" t="inlineStr">
        <is>
          <t>Wintap美国站</t>
        </is>
      </c>
      <c r="C1508" s="4">
        <f>B1508&amp;D1508</f>
        <v/>
      </c>
      <c r="D1508" s="37" t="inlineStr">
        <is>
          <t>WT-9812DP-BG3</t>
        </is>
      </c>
      <c r="E1508" s="37" t="inlineStr">
        <is>
          <t>310F0098BG3</t>
        </is>
      </c>
      <c r="F1508" s="37" t="inlineStr">
        <is>
          <t>98系列单功能入墙暗装淋浴龙头（顶喷）拉丝锆金封油</t>
        </is>
      </c>
      <c r="G1508" s="36" t="inlineStr">
        <is>
          <t>宋江</t>
        </is>
      </c>
      <c r="H1508" s="36" t="inlineStr">
        <is>
          <t>暗装淋浴</t>
        </is>
      </c>
      <c r="I1508" s="12" t="inlineStr">
        <is>
          <t>否</t>
        </is>
      </c>
      <c r="J1508" s="25" t="n">
        <v>45982</v>
      </c>
      <c r="K1508" s="25" t="n">
        <v>45982</v>
      </c>
      <c r="L1508" s="0">
        <f>DATEDIF(J1508,$L$1,"M")</f>
        <v/>
      </c>
      <c r="M1508" s="0">
        <f>IF(L1508&lt;18,"新品期",IF(L1508&lt;=36,"老品期","衰退期"))</f>
        <v/>
      </c>
      <c r="O1508" s="37" t="n"/>
    </row>
    <row r="1509" customFormat="1" s="36">
      <c r="A1509" s="37" t="inlineStr">
        <is>
          <t>Wintap-US</t>
        </is>
      </c>
      <c r="B1509" s="37" t="inlineStr">
        <is>
          <t>Wintap美国站</t>
        </is>
      </c>
      <c r="C1509" s="4">
        <f>B1509&amp;D1509</f>
        <v/>
      </c>
      <c r="D1509" s="37" t="inlineStr">
        <is>
          <t>WT-9812DP-BK</t>
        </is>
      </c>
      <c r="E1509" s="37" t="inlineStr">
        <is>
          <t>310F0098BK1</t>
        </is>
      </c>
      <c r="F1509" s="37" t="inlineStr">
        <is>
          <t>98系列单功能入墙暗装淋浴龙头（顶喷）电泳黑</t>
        </is>
      </c>
      <c r="G1509" s="36" t="inlineStr">
        <is>
          <t>宋江</t>
        </is>
      </c>
      <c r="H1509" s="36" t="inlineStr">
        <is>
          <t>暗装淋浴</t>
        </is>
      </c>
      <c r="I1509" s="12" t="inlineStr">
        <is>
          <t>否</t>
        </is>
      </c>
      <c r="J1509" s="25" t="n">
        <v>45982</v>
      </c>
      <c r="K1509" s="25" t="n">
        <v>45982</v>
      </c>
      <c r="L1509" s="0">
        <f>DATEDIF(J1509,$L$1,"M")</f>
        <v/>
      </c>
      <c r="M1509" s="0">
        <f>IF(L1509&lt;18,"新品期",IF(L1509&lt;=36,"老品期","衰退期"))</f>
        <v/>
      </c>
      <c r="O1509" s="37" t="n"/>
    </row>
    <row r="1510" customFormat="1" s="36">
      <c r="A1510" s="37" t="inlineStr">
        <is>
          <t>Wintap-US</t>
        </is>
      </c>
      <c r="B1510" s="37" t="inlineStr">
        <is>
          <t>Wintap美国站</t>
        </is>
      </c>
      <c r="C1510" s="4">
        <f>B1510&amp;D1510</f>
        <v/>
      </c>
      <c r="D1510" s="37" t="inlineStr">
        <is>
          <t>WT-9812DP-ORB</t>
        </is>
      </c>
      <c r="E1510" s="37" t="inlineStr">
        <is>
          <t>310F0098OB1</t>
        </is>
      </c>
      <c r="F1510" s="37" t="inlineStr">
        <is>
          <t>98系列单功能入墙暗装淋浴龙头（顶喷）油封铜</t>
        </is>
      </c>
      <c r="G1510" s="36" t="inlineStr">
        <is>
          <t>宋江</t>
        </is>
      </c>
      <c r="H1510" s="36" t="inlineStr">
        <is>
          <t>暗装淋浴</t>
        </is>
      </c>
      <c r="I1510" s="12" t="inlineStr">
        <is>
          <t>否</t>
        </is>
      </c>
      <c r="J1510" s="25" t="n">
        <v>45982</v>
      </c>
      <c r="K1510" s="25" t="n">
        <v>45982</v>
      </c>
      <c r="L1510" s="0">
        <f>DATEDIF(J1510,$L$1,"M")</f>
        <v/>
      </c>
      <c r="M1510" s="0">
        <f>IF(L1510&lt;18,"新品期",IF(L1510&lt;=36,"老品期","衰退期"))</f>
        <v/>
      </c>
      <c r="O1510" s="37" t="n"/>
    </row>
    <row r="1511" customFormat="1" s="36">
      <c r="A1511" s="37" t="inlineStr">
        <is>
          <t>Wintap-US</t>
        </is>
      </c>
      <c r="B1511" s="37" t="inlineStr">
        <is>
          <t>Wintap美国站</t>
        </is>
      </c>
      <c r="C1511" s="4">
        <f>B1511&amp;D1511</f>
        <v/>
      </c>
      <c r="D1511" s="37" t="inlineStr">
        <is>
          <t>WT-9812DP-BK</t>
        </is>
      </c>
      <c r="E1511" s="37" t="inlineStr">
        <is>
          <t>310F0098BK1</t>
        </is>
      </c>
      <c r="F1511" s="37" t="inlineStr">
        <is>
          <t>98系列单功能入墙暗装淋浴龙头（顶喷）电泳黑</t>
        </is>
      </c>
      <c r="G1511" s="36" t="inlineStr">
        <is>
          <t>宋江</t>
        </is>
      </c>
      <c r="H1511" s="36" t="inlineStr">
        <is>
          <t>暗装淋浴</t>
        </is>
      </c>
      <c r="I1511" s="12" t="inlineStr">
        <is>
          <t>否</t>
        </is>
      </c>
      <c r="J1511" s="25" t="n">
        <v>45982</v>
      </c>
      <c r="K1511" s="25" t="n">
        <v>45982</v>
      </c>
      <c r="L1511" s="0">
        <f>DATEDIF(J1511,$L$1,"M")</f>
        <v/>
      </c>
      <c r="M1511" s="0">
        <f>IF(L1511&lt;18,"新品期",IF(L1511&lt;=36,"老品期","衰退期"))</f>
        <v/>
      </c>
      <c r="O1511" s="37" t="n"/>
    </row>
    <row r="1512" customFormat="1" s="36">
      <c r="A1512" s="37" t="inlineStr">
        <is>
          <t>BYF-US</t>
        </is>
      </c>
      <c r="B1512" s="37" t="inlineStr">
        <is>
          <t>BYF美国站</t>
        </is>
      </c>
      <c r="C1512" s="4">
        <f>B1512&amp;D1512</f>
        <v/>
      </c>
      <c r="D1512" s="37" t="inlineStr">
        <is>
          <t>JSG-73.5-2</t>
        </is>
      </c>
      <c r="E1512" s="37" t="inlineStr">
        <is>
          <t>610F0012C01</t>
        </is>
      </c>
      <c r="F1512" s="37" t="inlineStr">
        <is>
          <t>73.5CM（29寸）红蓝进水管（M13/1,G1/2）</t>
        </is>
      </c>
      <c r="G1512" s="36" t="inlineStr">
        <is>
          <t>刘皓/郭家亮/胡颖楠/王幸</t>
        </is>
      </c>
      <c r="H1512" s="36" t="inlineStr">
        <is>
          <t>配件</t>
        </is>
      </c>
      <c r="I1512" s="12" t="inlineStr">
        <is>
          <t>否</t>
        </is>
      </c>
      <c r="J1512" s="36" t="inlineStr">
        <is>
          <t>/</t>
        </is>
      </c>
      <c r="K1512" s="36" t="inlineStr">
        <is>
          <t>/</t>
        </is>
      </c>
      <c r="L1512" s="0">
        <f>DATEDIF(J1512,$L$1,"M")</f>
        <v/>
      </c>
      <c r="M1512" s="0">
        <f>IF(L1512&lt;18,"新品期",IF(L1512&lt;=36,"老品期","衰退期"))</f>
        <v/>
      </c>
      <c r="N1512" s="36" t="inlineStr">
        <is>
          <t>落地浴缸龙头共用配件</t>
        </is>
      </c>
      <c r="O1512" s="37" t="n"/>
    </row>
    <row r="1513" customFormat="1" s="36">
      <c r="A1513" s="37" t="inlineStr">
        <is>
          <t>BYF-US</t>
        </is>
      </c>
      <c r="B1513" s="37" t="inlineStr">
        <is>
          <t>BYF美国站</t>
        </is>
      </c>
      <c r="C1513" s="4">
        <f>B1513&amp;D1513</f>
        <v/>
      </c>
      <c r="D1513" s="37" t="inlineStr">
        <is>
          <t>PHF-40-NEW</t>
        </is>
      </c>
      <c r="E1513" s="37" t="inlineStr">
        <is>
          <t>610F0009C01</t>
        </is>
      </c>
      <c r="F1513" s="37" t="inlineStr">
        <is>
          <t>AP044-40平脚压力平衡阀芯</t>
        </is>
      </c>
      <c r="G1513" s="36" t="inlineStr">
        <is>
          <t>宋江</t>
        </is>
      </c>
      <c r="H1513" s="36" t="inlineStr">
        <is>
          <t>配件</t>
        </is>
      </c>
      <c r="I1513" s="12" t="inlineStr">
        <is>
          <t>否</t>
        </is>
      </c>
      <c r="J1513" s="36" t="inlineStr">
        <is>
          <t>/</t>
        </is>
      </c>
      <c r="K1513" s="36" t="inlineStr">
        <is>
          <t>/</t>
        </is>
      </c>
      <c r="L1513" s="0">
        <f>DATEDIF(J1513,$L$1,"M")</f>
        <v/>
      </c>
      <c r="M1513" s="0">
        <f>IF(L1513&lt;18,"新品期",IF(L1513&lt;=36,"老品期","衰退期"))</f>
        <v/>
      </c>
      <c r="N1513" s="36" t="inlineStr">
        <is>
          <t>暗装淋浴配件</t>
        </is>
      </c>
      <c r="O1513" s="37" t="n"/>
    </row>
    <row r="1514" customFormat="1" s="36">
      <c r="A1514" s="37" t="inlineStr">
        <is>
          <t>BYF-US</t>
        </is>
      </c>
      <c r="B1514" s="37" t="inlineStr">
        <is>
          <t>BYF美国站</t>
        </is>
      </c>
      <c r="C1514" s="4">
        <f>B1514&amp;D1514</f>
        <v/>
      </c>
      <c r="D1514" s="37" t="inlineStr">
        <is>
          <t>PJF-35-NEW</t>
        </is>
      </c>
      <c r="E1514" s="37" t="inlineStr">
        <is>
          <t>610F0007C01</t>
        </is>
      </c>
      <c r="F1514" s="37" t="inlineStr">
        <is>
          <t>AP022-35平脚阀芯（双密封）</t>
        </is>
      </c>
      <c r="G1514" s="36" t="inlineStr">
        <is>
          <t>宋江</t>
        </is>
      </c>
      <c r="H1514" s="36" t="inlineStr">
        <is>
          <t>配件</t>
        </is>
      </c>
      <c r="I1514" s="12" t="inlineStr">
        <is>
          <t>否</t>
        </is>
      </c>
      <c r="J1514" s="36" t="inlineStr">
        <is>
          <t>/</t>
        </is>
      </c>
      <c r="K1514" s="36" t="inlineStr">
        <is>
          <t>/</t>
        </is>
      </c>
      <c r="L1514" s="0">
        <f>DATEDIF(J1514,$L$1,"M")</f>
        <v/>
      </c>
      <c r="M1514" s="0">
        <f>IF(L1514&lt;18,"新品期",IF(L1514&lt;=36,"老品期","衰退期"))</f>
        <v/>
      </c>
      <c r="N1514" s="36" t="inlineStr">
        <is>
          <t>暗装淋浴配件</t>
        </is>
      </c>
      <c r="O1514" s="37" t="n"/>
    </row>
    <row r="1515" customFormat="1" s="36">
      <c r="A1515" s="37" t="inlineStr">
        <is>
          <t>BYF-US</t>
        </is>
      </c>
      <c r="B1515" s="37" t="inlineStr">
        <is>
          <t>BYF美国站</t>
        </is>
      </c>
      <c r="C1515" s="4">
        <f>B1515&amp;D1515</f>
        <v/>
      </c>
      <c r="D1515" s="37" t="inlineStr">
        <is>
          <t>PJF-40-NEW</t>
        </is>
      </c>
      <c r="E1515" s="37" t="inlineStr">
        <is>
          <t>610F0008C01</t>
        </is>
      </c>
      <c r="F1515" s="37" t="inlineStr">
        <is>
          <t>AP014-40平脚阀芯（双密封）</t>
        </is>
      </c>
      <c r="G1515" s="36" t="inlineStr">
        <is>
          <t>宋江</t>
        </is>
      </c>
      <c r="H1515" s="36" t="inlineStr">
        <is>
          <t>配件</t>
        </is>
      </c>
      <c r="I1515" s="12" t="inlineStr">
        <is>
          <t>否</t>
        </is>
      </c>
      <c r="J1515" s="36" t="inlineStr">
        <is>
          <t>/</t>
        </is>
      </c>
      <c r="K1515" s="36" t="inlineStr">
        <is>
          <t>/</t>
        </is>
      </c>
      <c r="L1515" s="0">
        <f>DATEDIF(J1515,$L$1,"M")</f>
        <v/>
      </c>
      <c r="M1515" s="0">
        <f>IF(L1515&lt;18,"新品期",IF(L1515&lt;=36,"老品期","衰退期"))</f>
        <v/>
      </c>
      <c r="N1515" s="36" t="inlineStr">
        <is>
          <t>暗装淋浴配件</t>
        </is>
      </c>
      <c r="O1515" s="37" t="n"/>
    </row>
    <row r="1516" customFormat="1" s="36">
      <c r="A1516" s="37" t="inlineStr">
        <is>
          <t>Hanallx-US</t>
        </is>
      </c>
      <c r="B1516" s="37" t="inlineStr">
        <is>
          <t>Hanallx美国站</t>
        </is>
      </c>
      <c r="C1516" s="4">
        <f>B1516&amp;D1516</f>
        <v/>
      </c>
      <c r="D1516" s="37" t="inlineStr">
        <is>
          <t>HM-8808-BG--02</t>
        </is>
      </c>
      <c r="E1516" s="37" t="inlineStr">
        <is>
          <t>222F0088BG1</t>
        </is>
      </c>
      <c r="F1516" s="37" t="inlineStr">
        <is>
          <t>88系列四件套缸边浴缸龙头拉丝钛金封油</t>
        </is>
      </c>
      <c r="G1516" s="36" t="inlineStr">
        <is>
          <t>朱艺璇</t>
        </is>
      </c>
      <c r="H1516" s="36" t="inlineStr">
        <is>
          <t>缸边浴缸</t>
        </is>
      </c>
      <c r="I1516" s="22" t="inlineStr">
        <is>
          <t>否</t>
        </is>
      </c>
      <c r="J1516" s="25" t="n">
        <v>45992</v>
      </c>
      <c r="K1516" s="25" t="n">
        <v>45992</v>
      </c>
      <c r="L1516" s="0">
        <f>DATEDIF(J1516,$L$1,"M")</f>
        <v/>
      </c>
      <c r="M1516" s="0">
        <f>IF(L1516&lt;18,"新品期",IF(L1516&lt;=36,"老品期","衰退期"))</f>
        <v/>
      </c>
      <c r="O1516" s="37" t="n"/>
    </row>
    <row r="1517" customFormat="1" s="36">
      <c r="A1517" s="37" t="inlineStr">
        <is>
          <t>BYF-US</t>
        </is>
      </c>
      <c r="B1517" s="37" t="inlineStr">
        <is>
          <t>BYF美国站</t>
        </is>
      </c>
      <c r="C1517" s="4">
        <f>B1517&amp;D1517</f>
        <v/>
      </c>
      <c r="D1517" s="37" t="inlineStr">
        <is>
          <t>JSG-73.5-2</t>
        </is>
      </c>
      <c r="E1517" s="37" t="inlineStr">
        <is>
          <t>610F0012C01</t>
        </is>
      </c>
      <c r="F1517" s="37" t="inlineStr">
        <is>
          <t>73.5CM（29寸）红蓝进水管（M13/1,G1/2）</t>
        </is>
      </c>
      <c r="G1517" s="36" t="inlineStr">
        <is>
          <t>刘皓/郭家亮/胡颖楠/王幸</t>
        </is>
      </c>
      <c r="H1517" s="36" t="inlineStr">
        <is>
          <t>配件</t>
        </is>
      </c>
      <c r="I1517" s="12" t="inlineStr">
        <is>
          <t>否</t>
        </is>
      </c>
      <c r="J1517" s="36" t="inlineStr">
        <is>
          <t>/</t>
        </is>
      </c>
      <c r="K1517" s="36" t="inlineStr">
        <is>
          <t>/</t>
        </is>
      </c>
      <c r="L1517" s="0">
        <f>DATEDIF(J1517,$L$1,"M")</f>
        <v/>
      </c>
      <c r="M1517" s="0">
        <f>IF(L1517&lt;18,"新品期",IF(L1517&lt;=36,"老品期","衰退期"))</f>
        <v/>
      </c>
      <c r="N1517" s="36" t="inlineStr">
        <is>
          <t>落地浴缸龙头共用配件</t>
        </is>
      </c>
      <c r="O1517" s="37" t="n"/>
    </row>
    <row r="1518" customFormat="1" s="36">
      <c r="A1518" s="37" t="inlineStr">
        <is>
          <t>BYF-US</t>
        </is>
      </c>
      <c r="B1518" s="37" t="inlineStr">
        <is>
          <t>BYF美国站</t>
        </is>
      </c>
      <c r="C1518" s="4">
        <f>B1518&amp;D1518</f>
        <v/>
      </c>
      <c r="D1518" s="37" t="inlineStr">
        <is>
          <t>PHF-40-NEW</t>
        </is>
      </c>
      <c r="E1518" s="37" t="inlineStr">
        <is>
          <t>610F0009C01</t>
        </is>
      </c>
      <c r="F1518" s="37" t="inlineStr">
        <is>
          <t>AP044-40平脚压力平衡阀芯</t>
        </is>
      </c>
      <c r="G1518" s="36" t="inlineStr">
        <is>
          <t>宋江</t>
        </is>
      </c>
      <c r="H1518" s="36" t="inlineStr">
        <is>
          <t>配件</t>
        </is>
      </c>
      <c r="I1518" s="12" t="inlineStr">
        <is>
          <t>否</t>
        </is>
      </c>
      <c r="J1518" s="36" t="inlineStr">
        <is>
          <t>/</t>
        </is>
      </c>
      <c r="K1518" s="36" t="inlineStr">
        <is>
          <t>/</t>
        </is>
      </c>
      <c r="L1518" s="0">
        <f>DATEDIF(J1518,$L$1,"M")</f>
        <v/>
      </c>
      <c r="M1518" s="0">
        <f>IF(L1518&lt;18,"新品期",IF(L1518&lt;=36,"老品期","衰退期"))</f>
        <v/>
      </c>
      <c r="N1518" s="36" t="inlineStr">
        <is>
          <t>暗装淋浴配件</t>
        </is>
      </c>
      <c r="O1518" s="37" t="n"/>
    </row>
    <row r="1519" customFormat="1" s="36">
      <c r="A1519" s="37" t="inlineStr">
        <is>
          <t>BYF-US</t>
        </is>
      </c>
      <c r="B1519" s="37" t="inlineStr">
        <is>
          <t>BYF美国站</t>
        </is>
      </c>
      <c r="C1519" s="4">
        <f>B1519&amp;D1519</f>
        <v/>
      </c>
      <c r="D1519" s="37" t="inlineStr">
        <is>
          <t>PJF-35-NEW</t>
        </is>
      </c>
      <c r="E1519" s="37" t="inlineStr">
        <is>
          <t>610F0007C01</t>
        </is>
      </c>
      <c r="F1519" s="37" t="inlineStr">
        <is>
          <t>AP022-35平脚阀芯（双密封）</t>
        </is>
      </c>
      <c r="G1519" s="36" t="inlineStr">
        <is>
          <t>宋江</t>
        </is>
      </c>
      <c r="H1519" s="36" t="inlineStr">
        <is>
          <t>配件</t>
        </is>
      </c>
      <c r="I1519" s="12" t="inlineStr">
        <is>
          <t>否</t>
        </is>
      </c>
      <c r="J1519" s="36" t="inlineStr">
        <is>
          <t>/</t>
        </is>
      </c>
      <c r="K1519" s="36" t="inlineStr">
        <is>
          <t>/</t>
        </is>
      </c>
      <c r="L1519" s="0">
        <f>DATEDIF(J1519,$L$1,"M")</f>
        <v/>
      </c>
      <c r="M1519" s="0">
        <f>IF(L1519&lt;18,"新品期",IF(L1519&lt;=36,"老品期","衰退期"))</f>
        <v/>
      </c>
      <c r="N1519" s="36" t="inlineStr">
        <is>
          <t>暗装淋浴配件</t>
        </is>
      </c>
      <c r="O1519" s="37" t="n"/>
    </row>
    <row r="1520" customFormat="1" s="36">
      <c r="A1520" s="37" t="inlineStr">
        <is>
          <t>BYF-US</t>
        </is>
      </c>
      <c r="B1520" s="37" t="inlineStr">
        <is>
          <t>BYF美国站</t>
        </is>
      </c>
      <c r="C1520" s="4">
        <f>B1520&amp;D1520</f>
        <v/>
      </c>
      <c r="D1520" s="37" t="inlineStr">
        <is>
          <t>PJF-40-NEW</t>
        </is>
      </c>
      <c r="E1520" s="37" t="inlineStr">
        <is>
          <t>610F0008C01</t>
        </is>
      </c>
      <c r="F1520" s="37" t="inlineStr">
        <is>
          <t>AP014-40平脚阀芯（双密封）</t>
        </is>
      </c>
      <c r="G1520" s="36" t="inlineStr">
        <is>
          <t>宋江</t>
        </is>
      </c>
      <c r="H1520" s="36" t="inlineStr">
        <is>
          <t>配件</t>
        </is>
      </c>
      <c r="I1520" s="12" t="inlineStr">
        <is>
          <t>否</t>
        </is>
      </c>
      <c r="J1520" s="36" t="inlineStr">
        <is>
          <t>/</t>
        </is>
      </c>
      <c r="K1520" s="36" t="inlineStr">
        <is>
          <t>/</t>
        </is>
      </c>
      <c r="L1520" s="0">
        <f>DATEDIF(J1520,$L$1,"M")</f>
        <v/>
      </c>
      <c r="M1520" s="0">
        <f>IF(L1520&lt;18,"新品期",IF(L1520&lt;=36,"老品期","衰退期"))</f>
        <v/>
      </c>
      <c r="N1520" s="36" t="inlineStr">
        <is>
          <t>暗装淋浴配件</t>
        </is>
      </c>
      <c r="O1520" s="37" t="n"/>
    </row>
    <row r="1521" customFormat="1" s="36">
      <c r="A1521" s="37" t="inlineStr">
        <is>
          <t>Hanallx-US</t>
        </is>
      </c>
      <c r="B1521" s="37" t="inlineStr">
        <is>
          <t>Hanallx美国站</t>
        </is>
      </c>
      <c r="C1521" s="4">
        <f>B1521&amp;D1521</f>
        <v/>
      </c>
      <c r="D1521" s="37" t="inlineStr">
        <is>
          <t>HM-8808-BG--02</t>
        </is>
      </c>
      <c r="E1521" s="37" t="inlineStr">
        <is>
          <t>222F0088BG1</t>
        </is>
      </c>
      <c r="F1521" s="37" t="inlineStr">
        <is>
          <t>88系列四件套缸边浴缸龙头拉丝钛金封油</t>
        </is>
      </c>
      <c r="G1521" s="36" t="inlineStr">
        <is>
          <t>朱艺璇</t>
        </is>
      </c>
      <c r="H1521" s="36" t="inlineStr">
        <is>
          <t>缸边浴缸</t>
        </is>
      </c>
      <c r="I1521" s="22" t="inlineStr">
        <is>
          <t>否</t>
        </is>
      </c>
      <c r="J1521" s="25" t="n">
        <v>45992</v>
      </c>
      <c r="K1521" s="25" t="n">
        <v>45992</v>
      </c>
      <c r="L1521" s="0">
        <f>DATEDIF(J1521,$L$1,"M")</f>
        <v/>
      </c>
      <c r="M1521" s="0">
        <f>IF(L1521&lt;18,"新品期",IF(L1521&lt;=36,"老品期","衰退期"))</f>
        <v/>
      </c>
      <c r="O1521" s="37" t="n"/>
    </row>
    <row r="1522" customFormat="1" s="36">
      <c r="A1522" s="37" t="inlineStr">
        <is>
          <t>soebiz-US</t>
        </is>
      </c>
      <c r="B1522" s="37" t="inlineStr">
        <is>
          <t>Soebiz美国站</t>
        </is>
      </c>
      <c r="C1522" s="4">
        <f>B1522&amp;D1522</f>
        <v/>
      </c>
      <c r="D1522" s="37" t="inlineStr">
        <is>
          <t>AZ-US-SOEBIZ-33-BN</t>
        </is>
      </c>
      <c r="E1522" s="37" t="inlineStr">
        <is>
          <t>480F0002BN6</t>
        </is>
      </c>
      <c r="F1522" s="37" t="inlineStr">
        <is>
          <t>厨房0002抽拉花洒头拉丝封亮油</t>
        </is>
      </c>
      <c r="G1522" s="36" t="inlineStr">
        <is>
          <t>吕凯烨</t>
        </is>
      </c>
      <c r="H1522" s="4" t="inlineStr">
        <is>
          <t>厨房品线</t>
        </is>
      </c>
      <c r="I1522" s="12" t="inlineStr">
        <is>
          <t>否</t>
        </is>
      </c>
      <c r="J1522" s="34" t="n">
        <v>45874</v>
      </c>
      <c r="K1522" s="34" t="n">
        <v>45891</v>
      </c>
      <c r="L1522" s="0">
        <f>DATEDIF(J1522,$L$1,"M")</f>
        <v/>
      </c>
      <c r="M1522" s="0">
        <f>IF(L1522&lt;18,"新品期",IF(L1522&lt;=36,"老品期","衰退期"))</f>
        <v/>
      </c>
      <c r="N1522" s="36" t="inlineStr">
        <is>
          <t>售后链接</t>
        </is>
      </c>
      <c r="O1522" s="37" t="n"/>
    </row>
    <row r="1523" customFormat="1" s="36">
      <c r="A1523" s="4" t="inlineStr">
        <is>
          <t>Hangoro-CA</t>
        </is>
      </c>
      <c r="B1523" s="4" t="inlineStr">
        <is>
          <t>Hangoro加拿大站</t>
        </is>
      </c>
      <c r="C1523" s="4">
        <f>B1523&amp;D1523</f>
        <v/>
      </c>
      <c r="D1523" s="18" t="inlineStr">
        <is>
          <t>L2301-BG</t>
        </is>
      </c>
      <c r="E1523" s="4" t="inlineStr">
        <is>
          <t>110F0023BG1</t>
        </is>
      </c>
      <c r="F1523" s="4" t="inlineStr">
        <is>
          <t>23系列矮身单孔正开面盆龙头拉丝钛金封油</t>
        </is>
      </c>
      <c r="G1523" s="36" t="inlineStr">
        <is>
          <t>曾志发</t>
        </is>
      </c>
      <c r="H1523" s="36" t="inlineStr">
        <is>
          <t>面盆品线</t>
        </is>
      </c>
      <c r="I1523" s="22" t="inlineStr">
        <is>
          <t>否</t>
        </is>
      </c>
      <c r="J1523" s="34" t="n">
        <v>44712</v>
      </c>
      <c r="K1523" s="34" t="n">
        <v>44712</v>
      </c>
      <c r="L1523" s="0">
        <f>DATEDIF(J1523,$L$1,"M")</f>
        <v/>
      </c>
      <c r="M1523" s="0">
        <f>IF(L1523&lt;18,"新品期",IF(L1523&lt;=36,"老品期","衰退期"))</f>
        <v/>
      </c>
      <c r="N1523" s="36" t="inlineStr">
        <is>
          <t>2025年9月1号以前梁丽梅负责</t>
        </is>
      </c>
    </row>
    <row r="1524" customFormat="1" s="36">
      <c r="A1524" s="4" t="inlineStr">
        <is>
          <t>Hangoro-CA</t>
        </is>
      </c>
      <c r="B1524" s="4" t="inlineStr">
        <is>
          <t>Hangoro加拿大站</t>
        </is>
      </c>
      <c r="C1524" s="4">
        <f>B1524&amp;D1524</f>
        <v/>
      </c>
      <c r="D1524" s="18" t="inlineStr">
        <is>
          <t>L2304-BG</t>
        </is>
      </c>
      <c r="E1524" s="4" t="inlineStr">
        <is>
          <t>140F0023BG1</t>
        </is>
      </c>
      <c r="F1524" s="4" t="inlineStr">
        <is>
          <t>23系列四寸分体面盆龙头拉丝钛金封油</t>
        </is>
      </c>
      <c r="G1524" s="36" t="inlineStr">
        <is>
          <t>曾志发</t>
        </is>
      </c>
      <c r="H1524" s="36" t="inlineStr">
        <is>
          <t>面盆品线</t>
        </is>
      </c>
      <c r="I1524" s="22" t="inlineStr">
        <is>
          <t>否</t>
        </is>
      </c>
      <c r="J1524" s="34" t="n">
        <v>44757</v>
      </c>
      <c r="K1524" s="34" t="n">
        <v>44757</v>
      </c>
      <c r="L1524" s="0">
        <f>DATEDIF(J1524,$L$1,"M")</f>
        <v/>
      </c>
      <c r="M1524" s="0">
        <f>IF(L1524&lt;18,"新品期",IF(L1524&lt;=36,"老品期","衰退期"))</f>
        <v/>
      </c>
      <c r="N1524" s="36" t="inlineStr">
        <is>
          <t>2025年9月1号以前梁丽梅负责</t>
        </is>
      </c>
    </row>
    <row r="1525" customFormat="1" s="36">
      <c r="A1525" s="4" t="inlineStr">
        <is>
          <t>soebiz-US</t>
        </is>
      </c>
      <c r="B1525" s="4" t="inlineStr">
        <is>
          <t>Soebiz美国站</t>
        </is>
      </c>
      <c r="C1525" s="4">
        <f>B1525&amp;D1525</f>
        <v/>
      </c>
      <c r="D1525" s="18" t="inlineStr">
        <is>
          <t>SZ-L-HST-Standard-BN-01</t>
        </is>
      </c>
      <c r="E1525" s="4" t="inlineStr">
        <is>
          <t>480F0003BN6</t>
        </is>
      </c>
      <c r="F1525" s="4" t="inlineStr">
        <is>
          <t>0003抽拉花洒头拉丝封亮油</t>
        </is>
      </c>
      <c r="G1525" s="36" t="inlineStr">
        <is>
          <t>吕凯烨</t>
        </is>
      </c>
      <c r="H1525" s="4" t="inlineStr">
        <is>
          <t>厨房品线</t>
        </is>
      </c>
      <c r="I1525" s="12" t="inlineStr">
        <is>
          <t>否</t>
        </is>
      </c>
      <c r="J1525" s="34" t="n">
        <v>46029</v>
      </c>
      <c r="K1525" s="34" t="n">
        <v>46029</v>
      </c>
      <c r="L1525" s="0">
        <f>DATEDIF(J1525,$L$1,"M")</f>
        <v/>
      </c>
      <c r="M1525" s="0">
        <f>IF(L1525&lt;18,"新品期",IF(L1525&lt;=36,"老品期","衰退期"))</f>
        <v/>
      </c>
    </row>
    <row r="1526" customFormat="1" s="36">
      <c r="A1526" s="4" t="inlineStr">
        <is>
          <t>soebiz-US</t>
        </is>
      </c>
      <c r="B1526" s="4" t="inlineStr">
        <is>
          <t>Soebiz美国站</t>
        </is>
      </c>
      <c r="C1526" s="4">
        <f>B1526&amp;D1526</f>
        <v/>
      </c>
      <c r="D1526" s="18" t="inlineStr">
        <is>
          <t>SZ-L-SLTPF-9M1F-BS</t>
        </is>
      </c>
      <c r="E1526" s="4" t="inlineStr">
        <is>
          <t>610F0003C01</t>
        </is>
      </c>
      <c r="F1526" s="4" t="inlineStr">
        <is>
          <t>9/16(外牙)转1/2(内牙)转接头</t>
        </is>
      </c>
      <c r="G1526" s="36" t="inlineStr">
        <is>
          <t>吕凯烨</t>
        </is>
      </c>
      <c r="H1526" s="4" t="inlineStr">
        <is>
          <t>厨房品线</t>
        </is>
      </c>
      <c r="I1526" s="12" t="inlineStr">
        <is>
          <t>否</t>
        </is>
      </c>
      <c r="J1526" s="34" t="n">
        <v>45897</v>
      </c>
      <c r="K1526" s="34" t="n">
        <v>45944</v>
      </c>
      <c r="L1526" s="0">
        <f>DATEDIF(J1526,$L$1,"M")</f>
        <v/>
      </c>
      <c r="M1526" s="0">
        <f>IF(L1526&lt;18,"新品期",IF(L1526&lt;=36,"老品期","衰退期"))</f>
        <v/>
      </c>
      <c r="N1526" s="36" t="inlineStr">
        <is>
          <t>售后链接</t>
        </is>
      </c>
    </row>
    <row r="1527" customFormat="1" s="36">
      <c r="A1527" s="4" t="inlineStr">
        <is>
          <t>soebiz-MX</t>
        </is>
      </c>
      <c r="B1527" s="4" t="inlineStr">
        <is>
          <t>Soebiz墨西哥站</t>
        </is>
      </c>
      <c r="C1527" s="4">
        <f>B1527&amp;D1527</f>
        <v/>
      </c>
      <c r="D1527" s="18" t="inlineStr">
        <is>
          <t>SZ-L-SD-BK-03</t>
        </is>
      </c>
      <c r="E1527" s="4" t="inlineStr">
        <is>
          <t>490F0002BK1</t>
        </is>
      </c>
      <c r="F1527" s="4" t="inlineStr">
        <is>
          <t>经济型皂液器电泳黑</t>
        </is>
      </c>
      <c r="G1527" s="36" t="inlineStr">
        <is>
          <t>吕凯烨</t>
        </is>
      </c>
      <c r="H1527" s="4" t="inlineStr">
        <is>
          <t>厨房品线</t>
        </is>
      </c>
      <c r="I1527" s="12" t="inlineStr">
        <is>
          <t>否</t>
        </is>
      </c>
      <c r="J1527" s="34" t="n">
        <v>45906</v>
      </c>
      <c r="K1527" s="34" t="n">
        <v>46013</v>
      </c>
      <c r="L1527" s="0">
        <f>DATEDIF(J1527,$L$1,"M")</f>
        <v/>
      </c>
      <c r="M1527" s="0">
        <f>IF(L1527&lt;18,"新品期",IF(L1527&lt;=36,"老品期","衰退期"))</f>
        <v/>
      </c>
    </row>
    <row r="1528" customFormat="1" s="36">
      <c r="A1528" s="4" t="inlineStr">
        <is>
          <t>Winkear-CA</t>
        </is>
      </c>
      <c r="B1528" s="4" t="inlineStr">
        <is>
          <t>Winkear加拿大站</t>
        </is>
      </c>
      <c r="C1528" s="4">
        <f>B1528&amp;D1528</f>
        <v/>
      </c>
      <c r="D1528" s="18" t="inlineStr">
        <is>
          <t>B2207-BN</t>
        </is>
      </c>
      <c r="E1528" s="4" t="inlineStr">
        <is>
          <t>221F0022BN1</t>
        </is>
      </c>
      <c r="F1528" s="4" t="inlineStr">
        <is>
          <t>22系列三件套缸边浴缸龙头拉丝封油</t>
        </is>
      </c>
      <c r="G1528" s="36" t="inlineStr">
        <is>
          <t>胡娟娟</t>
        </is>
      </c>
      <c r="H1528" s="36" t="inlineStr">
        <is>
          <t>缸边浴缸</t>
        </is>
      </c>
      <c r="I1528" s="22" t="inlineStr">
        <is>
          <t>否</t>
        </is>
      </c>
      <c r="J1528" s="34" t="n">
        <v>44714</v>
      </c>
      <c r="K1528" s="34" t="n">
        <v>44714</v>
      </c>
      <c r="L1528" s="0">
        <f>DATEDIF(J1528,$L$1,"M")</f>
        <v/>
      </c>
      <c r="M1528" s="0">
        <f>IF(L1528&lt;18,"新品期",IF(L1528&lt;=36,"老品期","衰退期"))</f>
        <v/>
      </c>
    </row>
    <row r="1529" customFormat="1" s="36">
      <c r="A1529" s="4" t="inlineStr">
        <is>
          <t>Winkear-CA</t>
        </is>
      </c>
      <c r="B1529" s="4" t="inlineStr">
        <is>
          <t>Winkear加拿大站</t>
        </is>
      </c>
      <c r="C1529" s="4">
        <f>B1529&amp;D1529</f>
        <v/>
      </c>
      <c r="D1529" s="18" t="inlineStr">
        <is>
          <t>B2209-BN</t>
        </is>
      </c>
      <c r="E1529" s="4" t="inlineStr">
        <is>
          <t>223F0022BN1</t>
        </is>
      </c>
      <c r="F1529" s="4" t="inlineStr">
        <is>
          <t>22系列五件套缸边浴缸龙头拉丝封油</t>
        </is>
      </c>
      <c r="G1529" s="36" t="inlineStr">
        <is>
          <t>胡娟娟</t>
        </is>
      </c>
      <c r="H1529" s="36" t="inlineStr">
        <is>
          <t>缸边浴缸</t>
        </is>
      </c>
      <c r="I1529" s="22" t="inlineStr">
        <is>
          <t>否</t>
        </is>
      </c>
      <c r="J1529" s="34" t="n">
        <v>44714</v>
      </c>
      <c r="K1529" s="34" t="n">
        <v>44714</v>
      </c>
      <c r="L1529" s="0">
        <f>DATEDIF(J1529,$L$1,"M")</f>
        <v/>
      </c>
      <c r="M1529" s="0">
        <f>IF(L1529&lt;18,"新品期",IF(L1529&lt;=36,"老品期","衰退期"))</f>
        <v/>
      </c>
    </row>
    <row r="1530" customFormat="1" s="36">
      <c r="A1530" s="4" t="inlineStr">
        <is>
          <t>Winkear-CA</t>
        </is>
      </c>
      <c r="B1530" s="4" t="inlineStr">
        <is>
          <t>Winkear加拿大站</t>
        </is>
      </c>
      <c r="C1530" s="4">
        <f>B1530&amp;D1530</f>
        <v/>
      </c>
      <c r="D1530" s="18" t="inlineStr">
        <is>
          <t>L0001-BN</t>
        </is>
      </c>
      <c r="E1530" s="4" t="inlineStr">
        <is>
          <t>110F0001BN5</t>
        </is>
      </c>
      <c r="F1530" s="4" t="inlineStr">
        <is>
          <t>0001不锈钢面盆龙头拉丝封油</t>
        </is>
      </c>
      <c r="G1530" s="36" t="inlineStr">
        <is>
          <t>童劲威</t>
        </is>
      </c>
      <c r="H1530" s="36" t="inlineStr">
        <is>
          <t>面盆品线</t>
        </is>
      </c>
      <c r="I1530" s="12" t="inlineStr">
        <is>
          <t>否</t>
        </is>
      </c>
      <c r="J1530" s="34" t="n">
        <v>45694</v>
      </c>
      <c r="K1530" s="34" t="n">
        <v>45694</v>
      </c>
      <c r="L1530" s="0">
        <f>DATEDIF(J1530,$L$1,"M")</f>
        <v/>
      </c>
      <c r="M1530" s="0">
        <f>IF(L1530&lt;18,"新品期",IF(L1530&lt;=36,"老品期","衰退期"))</f>
        <v/>
      </c>
    </row>
    <row r="1531" customFormat="1" s="36">
      <c r="A1531" s="4" t="inlineStr">
        <is>
          <t>Wintap-US</t>
        </is>
      </c>
      <c r="B1531" s="4" t="inlineStr">
        <is>
          <t>Wintap美国站</t>
        </is>
      </c>
      <c r="C1531" s="4">
        <f>B1531&amp;D1531</f>
        <v/>
      </c>
      <c r="D1531" s="18" t="inlineStr">
        <is>
          <t>WT-3307BK</t>
        </is>
      </c>
      <c r="E1531" s="4" t="inlineStr">
        <is>
          <t>221F3307BK1</t>
        </is>
      </c>
      <c r="F1531" s="4" t="inlineStr">
        <is>
          <t>3307三件套浴缸龙头电泳黑</t>
        </is>
      </c>
      <c r="G1531" s="36" t="inlineStr">
        <is>
          <t>陈巧娴</t>
        </is>
      </c>
      <c r="H1531" s="36" t="inlineStr">
        <is>
          <t>缸边浴缸</t>
        </is>
      </c>
      <c r="I1531" s="12" t="inlineStr">
        <is>
          <t>否</t>
        </is>
      </c>
      <c r="J1531" s="25" t="n">
        <v>46042</v>
      </c>
      <c r="K1531" s="25" t="n">
        <v>46042</v>
      </c>
      <c r="L1531" s="0">
        <f>DATEDIF(J1531,$L$1,"M")</f>
        <v/>
      </c>
      <c r="M1531" s="0">
        <f>IF(L1531&lt;18,"新品期",IF(L1531&lt;=36,"老品期","衰退期"))</f>
        <v/>
      </c>
    </row>
    <row r="1532" customFormat="1" s="36">
      <c r="A1532" s="4" t="inlineStr">
        <is>
          <t>Wintap-US</t>
        </is>
      </c>
      <c r="B1532" s="4" t="inlineStr">
        <is>
          <t>Wintap美国站</t>
        </is>
      </c>
      <c r="C1532" s="4">
        <f>B1532&amp;D1532</f>
        <v/>
      </c>
      <c r="D1532" s="18" t="inlineStr">
        <is>
          <t>WT-3307BN</t>
        </is>
      </c>
      <c r="E1532" s="4" t="inlineStr">
        <is>
          <t>221F3307BN1</t>
        </is>
      </c>
      <c r="F1532" s="4" t="inlineStr">
        <is>
          <t>3307三件套浴缸龙头拉丝封油</t>
        </is>
      </c>
      <c r="G1532" s="36" t="inlineStr">
        <is>
          <t>陈巧娴</t>
        </is>
      </c>
      <c r="H1532" s="36" t="inlineStr">
        <is>
          <t>缸边浴缸</t>
        </is>
      </c>
      <c r="I1532" s="12" t="inlineStr">
        <is>
          <t>否</t>
        </is>
      </c>
      <c r="J1532" s="25" t="n">
        <v>46042</v>
      </c>
      <c r="K1532" s="25" t="n">
        <v>46042</v>
      </c>
      <c r="L1532" s="0">
        <f>DATEDIF(J1532,$L$1,"M")</f>
        <v/>
      </c>
      <c r="M1532" s="0">
        <f>IF(L1532&lt;18,"新品期",IF(L1532&lt;=36,"老品期","衰退期"))</f>
        <v/>
      </c>
    </row>
    <row r="1533" customFormat="1" s="36">
      <c r="A1533" s="4" t="inlineStr">
        <is>
          <t>Wintap-US</t>
        </is>
      </c>
      <c r="B1533" s="4" t="inlineStr">
        <is>
          <t>Wintap美国站</t>
        </is>
      </c>
      <c r="C1533" s="4">
        <f>B1533&amp;D1533</f>
        <v/>
      </c>
      <c r="D1533" s="18" t="inlineStr">
        <is>
          <t>WT-3307ORB</t>
        </is>
      </c>
      <c r="E1533" s="4" t="inlineStr">
        <is>
          <t>221F3307OB1</t>
        </is>
      </c>
      <c r="F1533" s="4" t="inlineStr">
        <is>
          <t>3307三件套浴缸龙头拉丝红古铜</t>
        </is>
      </c>
      <c r="G1533" s="36" t="inlineStr">
        <is>
          <t>陈巧娴</t>
        </is>
      </c>
      <c r="H1533" s="36" t="inlineStr">
        <is>
          <t>缸边浴缸</t>
        </is>
      </c>
      <c r="I1533" s="12" t="inlineStr">
        <is>
          <t>否</t>
        </is>
      </c>
      <c r="J1533" s="25" t="n">
        <v>46042</v>
      </c>
      <c r="K1533" s="25" t="n">
        <v>46042</v>
      </c>
      <c r="L1533" s="0">
        <f>DATEDIF(J1533,$L$1,"M")</f>
        <v/>
      </c>
      <c r="M1533" s="0">
        <f>IF(L1533&lt;18,"新品期",IF(L1533&lt;=36,"老品期","衰退期"))</f>
        <v/>
      </c>
    </row>
    <row r="1534" customFormat="1" s="36">
      <c r="A1534" s="4" t="inlineStr">
        <is>
          <t>Wintap-US</t>
        </is>
      </c>
      <c r="B1534" s="4" t="inlineStr">
        <is>
          <t>Wintap美国站</t>
        </is>
      </c>
      <c r="C1534" s="4">
        <f>B1534&amp;D1534</f>
        <v/>
      </c>
      <c r="D1534" s="18" t="inlineStr">
        <is>
          <t>WT-9807BKZZ01-KK</t>
        </is>
      </c>
      <c r="E1534" s="4" t="inlineStr">
        <is>
          <t>221F0098BK1</t>
        </is>
      </c>
      <c r="F1534" s="4" t="inlineStr">
        <is>
          <t>98系列三件套缸边浴缸龙头电泳黑</t>
        </is>
      </c>
      <c r="G1534" s="36" t="inlineStr">
        <is>
          <t>陈巧娴</t>
        </is>
      </c>
      <c r="H1534" s="36" t="inlineStr">
        <is>
          <t>缸边浴缸</t>
        </is>
      </c>
      <c r="I1534" s="12" t="inlineStr">
        <is>
          <t>否</t>
        </is>
      </c>
      <c r="J1534" s="34" t="n">
        <v>45992</v>
      </c>
      <c r="K1534" s="34" t="n">
        <v>45992</v>
      </c>
      <c r="L1534" s="0">
        <f>DATEDIF(J1534,$L$1,"M")</f>
        <v/>
      </c>
      <c r="M1534" s="0">
        <f>IF(L1534&lt;18,"新品期",IF(L1534&lt;=36,"老品期","衰退期"))</f>
        <v/>
      </c>
      <c r="N1534" s="36" t="inlineStr">
        <is>
          <t>种子链接</t>
        </is>
      </c>
    </row>
    <row r="1535" customFormat="1" s="36">
      <c r="A1535" s="4" t="inlineStr">
        <is>
          <t>Wintap-US</t>
        </is>
      </c>
      <c r="B1535" s="4" t="inlineStr">
        <is>
          <t>Wintap美国站</t>
        </is>
      </c>
      <c r="C1535" s="4">
        <f>B1535&amp;D1535</f>
        <v/>
      </c>
      <c r="D1535" s="18" t="inlineStr">
        <is>
          <t>WT-9811BGZZ03</t>
        </is>
      </c>
      <c r="E1535" s="4" t="inlineStr">
        <is>
          <t>211F0098BG3</t>
        </is>
      </c>
      <c r="F1535" s="4" t="inlineStr">
        <is>
          <t>98系列二功能落地浴缸龙头拉丝锆金封油</t>
        </is>
      </c>
      <c r="G1535" s="36" t="inlineStr">
        <is>
          <t>刘皓</t>
        </is>
      </c>
      <c r="H1535" s="36" t="inlineStr">
        <is>
          <t>落地浴缸</t>
        </is>
      </c>
      <c r="I1535" s="22" t="inlineStr">
        <is>
          <t>否</t>
        </is>
      </c>
      <c r="J1535" s="25" t="n">
        <v>45588</v>
      </c>
      <c r="K1535" s="25" t="n">
        <v>45588</v>
      </c>
      <c r="L1535" s="0">
        <f>DATEDIF(J1535,$L$1,"M")</f>
        <v/>
      </c>
      <c r="M1535" s="0">
        <f>IF(L1535&lt;18,"新品期",IF(L1535&lt;=36,"老品期","衰退期"))</f>
        <v/>
      </c>
      <c r="N1535" s="36" t="inlineStr">
        <is>
          <t>正常在售链接</t>
        </is>
      </c>
    </row>
    <row r="1536" customFormat="1" s="36">
      <c r="A1536" s="4" t="inlineStr">
        <is>
          <t>Wintap-MX</t>
        </is>
      </c>
      <c r="B1536" s="4" t="inlineStr">
        <is>
          <t>Wintap墨西哥站</t>
        </is>
      </c>
      <c r="C1536" s="4">
        <f>B1536&amp;D1536</f>
        <v/>
      </c>
      <c r="D1536" s="18" t="inlineStr">
        <is>
          <t>WT-9002BK</t>
        </is>
      </c>
      <c r="E1536" s="4" t="inlineStr">
        <is>
          <t>211F9002BK1</t>
        </is>
      </c>
      <c r="F1536" s="4" t="inlineStr">
        <is>
          <t>B9002落地浴缸龙头哑黑</t>
        </is>
      </c>
      <c r="G1536" s="36" t="inlineStr">
        <is>
          <t>刘皓</t>
        </is>
      </c>
      <c r="H1536" s="36" t="inlineStr">
        <is>
          <t>落地浴缸</t>
        </is>
      </c>
      <c r="I1536" s="22" t="inlineStr">
        <is>
          <t>否</t>
        </is>
      </c>
      <c r="J1536" s="25" t="n">
        <v>45464</v>
      </c>
      <c r="K1536" s="25" t="n">
        <v>45464</v>
      </c>
      <c r="L1536" s="0">
        <f>DATEDIF(J1536,$L$1,"M")</f>
        <v/>
      </c>
      <c r="M1536" s="0">
        <f>IF(L1536&lt;18,"新品期",IF(L1536&lt;=36,"老品期","衰退期"))</f>
        <v/>
      </c>
    </row>
    <row r="1537" customFormat="1" s="36">
      <c r="A1537" s="4" t="inlineStr">
        <is>
          <t>Wintap-MX</t>
        </is>
      </c>
      <c r="B1537" s="4" t="inlineStr">
        <is>
          <t>Wintap墨西哥站</t>
        </is>
      </c>
      <c r="C1537" s="4">
        <f>B1537&amp;D1537</f>
        <v/>
      </c>
      <c r="D1537" s="18" t="inlineStr">
        <is>
          <t>WT-9812BK</t>
        </is>
      </c>
      <c r="E1537" s="4" t="inlineStr">
        <is>
          <t>320F0098BK1</t>
        </is>
      </c>
      <c r="F1537" s="4" t="inlineStr">
        <is>
          <t>98系列二功能入墙暗装淋浴龙头（顶喷+手持）电泳黑</t>
        </is>
      </c>
      <c r="G1537" s="36" t="inlineStr">
        <is>
          <t>宋江</t>
        </is>
      </c>
      <c r="H1537" s="36" t="inlineStr">
        <is>
          <t>暗装淋浴</t>
        </is>
      </c>
      <c r="I1537" s="22" t="inlineStr">
        <is>
          <t>否</t>
        </is>
      </c>
      <c r="J1537" s="34" t="n">
        <v>45193</v>
      </c>
      <c r="K1537" s="34" t="n">
        <v>45292</v>
      </c>
      <c r="L1537" s="0">
        <f>DATEDIF(J1537,$L$1,"M")</f>
        <v/>
      </c>
      <c r="M1537" s="0">
        <f>IF(L1537&lt;18,"新品期",IF(L1537&lt;=36,"老品期","衰退期"))</f>
        <v/>
      </c>
    </row>
    <row r="1538" customFormat="1" s="36">
      <c r="A1538" s="4" t="inlineStr">
        <is>
          <t>Wintap-US</t>
        </is>
      </c>
      <c r="B1538" s="4" t="inlineStr">
        <is>
          <t>Wintap美国站</t>
        </is>
      </c>
      <c r="C1538" s="4">
        <f>B1538&amp;D1538</f>
        <v/>
      </c>
      <c r="D1538" s="18" t="inlineStr">
        <is>
          <t>WT-3307BG3</t>
        </is>
      </c>
      <c r="E1538" s="4" t="inlineStr">
        <is>
          <t>221F3307BG3</t>
        </is>
      </c>
      <c r="F1538" s="4" t="inlineStr">
        <is>
          <t>3307三件套浴缸龙头拉丝锆金封油</t>
        </is>
      </c>
      <c r="G1538" s="36" t="inlineStr">
        <is>
          <t>陈巧娴</t>
        </is>
      </c>
      <c r="H1538" s="36" t="inlineStr">
        <is>
          <t>缸边浴缸</t>
        </is>
      </c>
      <c r="I1538" s="12" t="inlineStr">
        <is>
          <t>否</t>
        </is>
      </c>
      <c r="J1538" s="25" t="n">
        <v>46042</v>
      </c>
      <c r="K1538" s="25" t="n">
        <v>46042</v>
      </c>
      <c r="L1538" s="0">
        <f>DATEDIF(J1538,$L$1,"M")</f>
        <v/>
      </c>
      <c r="M1538" s="0">
        <f>IF(L1538&lt;18,"新品期",IF(L1538&lt;=36,"老品期","衰退期"))</f>
        <v/>
      </c>
    </row>
    <row r="1539" customFormat="1" s="36">
      <c r="A1539" s="4" t="inlineStr">
        <is>
          <t>Winkear-CA</t>
        </is>
      </c>
      <c r="B1539" s="4" t="inlineStr">
        <is>
          <t>Winkear加拿大站</t>
        </is>
      </c>
      <c r="C1539" s="4">
        <f>B1539&amp;D1539</f>
        <v/>
      </c>
      <c r="D1539" s="18" t="inlineStr">
        <is>
          <t>B2207-ORB</t>
        </is>
      </c>
      <c r="E1539" s="4" t="inlineStr">
        <is>
          <t>221F0022OB1</t>
        </is>
      </c>
      <c r="F1539" s="4" t="inlineStr">
        <is>
          <t>22系列三件套缸边浴缸龙头拉丝古铜色</t>
        </is>
      </c>
      <c r="G1539" s="36" t="inlineStr">
        <is>
          <t>胡娟娟</t>
        </is>
      </c>
      <c r="H1539" s="36" t="inlineStr">
        <is>
          <t>缸边浴缸</t>
        </is>
      </c>
      <c r="I1539" s="22" t="inlineStr">
        <is>
          <t>否</t>
        </is>
      </c>
      <c r="J1539" s="34" t="n">
        <v>44714</v>
      </c>
      <c r="K1539" s="34" t="n">
        <v>44714</v>
      </c>
      <c r="L1539" s="0">
        <f>DATEDIF(J1539,$L$1,"M")</f>
        <v/>
      </c>
      <c r="M1539" s="0">
        <f>IF(L1539&lt;18,"新品期",IF(L1539&lt;=36,"老品期","衰退期"))</f>
        <v/>
      </c>
    </row>
    <row r="1540" customFormat="1" s="36">
      <c r="A1540" s="4" t="inlineStr">
        <is>
          <t>soebiz-US</t>
        </is>
      </c>
      <c r="B1540" s="4" t="inlineStr">
        <is>
          <t>Soebiz美国站</t>
        </is>
      </c>
      <c r="C1540" s="4">
        <f>B1540&amp;D1540</f>
        <v/>
      </c>
      <c r="D1540" s="18" t="inlineStr">
        <is>
          <t>SZ-S-3314-BN-02</t>
        </is>
      </c>
      <c r="E1540" s="4" t="inlineStr">
        <is>
          <t>420F3314BN5</t>
        </is>
      </c>
      <c r="F1540" s="4" t="inlineStr">
        <is>
          <t>3314半抽拉弹簧厨房龙头拉丝</t>
        </is>
      </c>
      <c r="G1540" s="36" t="inlineStr">
        <is>
          <t>吕凯烨</t>
        </is>
      </c>
      <c r="H1540" s="4" t="inlineStr">
        <is>
          <t>厨房品线</t>
        </is>
      </c>
      <c r="I1540" s="12" t="inlineStr">
        <is>
          <t>否</t>
        </is>
      </c>
      <c r="J1540" s="34" t="n">
        <v>45834</v>
      </c>
      <c r="K1540" s="28" t="n">
        <v>45870</v>
      </c>
      <c r="L1540" s="0">
        <f>DATEDIF(J1540,$L$1,"M")</f>
        <v/>
      </c>
      <c r="M1540" s="0">
        <f>IF(L1540&lt;18,"新品期",IF(L1540&lt;=36,"老品期","衰退期"))</f>
        <v/>
      </c>
    </row>
    <row r="1541" customFormat="1" s="36">
      <c r="A1541" s="4" t="inlineStr">
        <is>
          <t>Kruzoo-CA</t>
        </is>
      </c>
      <c r="B1541" s="4" t="inlineStr">
        <is>
          <t>Kruzoo加拿大站</t>
        </is>
      </c>
      <c r="C1541" s="4">
        <f>B1541&amp;D1541</f>
        <v/>
      </c>
      <c r="D1541" s="18" t="inlineStr">
        <is>
          <t>WT-9812BN</t>
        </is>
      </c>
      <c r="E1541" s="4" t="inlineStr">
        <is>
          <t>320F0098BN1</t>
        </is>
      </c>
      <c r="F1541" s="4" t="inlineStr">
        <is>
          <t>98系列二功能入墙暗装淋浴龙头（顶喷+手持）拉丝封油</t>
        </is>
      </c>
      <c r="G1541" s="36" t="inlineStr">
        <is>
          <t>宋江</t>
        </is>
      </c>
      <c r="H1541" s="36" t="inlineStr">
        <is>
          <t>暗装淋浴</t>
        </is>
      </c>
      <c r="I1541" s="22" t="inlineStr">
        <is>
          <t>否</t>
        </is>
      </c>
      <c r="J1541" s="34" t="n">
        <v>45193</v>
      </c>
      <c r="K1541" s="34" t="n">
        <v>45292</v>
      </c>
      <c r="L1541" s="0">
        <f>DATEDIF(J1541,$L$1,"M")</f>
        <v/>
      </c>
      <c r="M1541" s="0">
        <f>IF(L1541&lt;18,"新品期",IF(L1541&lt;=36,"老品期","衰退期"))</f>
        <v/>
      </c>
      <c r="N1541" s="36" t="inlineStr">
        <is>
          <t>店铺名好像不对，应该是Wintap的</t>
        </is>
      </c>
    </row>
    <row r="1542" customFormat="1" s="36">
      <c r="A1542" s="4" t="inlineStr">
        <is>
          <t>soebiz-US</t>
        </is>
      </c>
      <c r="B1542" s="4" t="inlineStr">
        <is>
          <t>Soebiz美国站</t>
        </is>
      </c>
      <c r="C1542" s="4">
        <f>B1542&amp;D1542</f>
        <v/>
      </c>
      <c r="D1542" s="18" t="inlineStr">
        <is>
          <t>AZ-US-SOEBIZ-0013</t>
        </is>
      </c>
      <c r="E1542" s="4" t="inlineStr">
        <is>
          <t>610F0001C01</t>
        </is>
      </c>
      <c r="F1542" s="4" t="inlineStr">
        <is>
          <t>35芯平脚阀芯(凯利适阀芯)蓝色</t>
        </is>
      </c>
      <c r="G1542" s="36" t="inlineStr">
        <is>
          <t>吕凯烨</t>
        </is>
      </c>
      <c r="H1542" s="4" t="inlineStr">
        <is>
          <t>厨房品线</t>
        </is>
      </c>
      <c r="I1542" s="12" t="inlineStr">
        <is>
          <t>否</t>
        </is>
      </c>
      <c r="J1542" s="34" t="n">
        <v>46052</v>
      </c>
      <c r="K1542" s="34" t="n">
        <v>46052</v>
      </c>
      <c r="L1542" s="0">
        <f>DATEDIF(J1542,$L$1,"M")</f>
        <v/>
      </c>
      <c r="M1542" s="0">
        <f>IF(L1542&lt;18,"新品期",IF(L1542&lt;=36,"老品期","衰退期"))</f>
        <v/>
      </c>
      <c r="N1542" s="36" t="inlineStr">
        <is>
          <t>售后链接</t>
        </is>
      </c>
    </row>
    <row r="1543" customFormat="1" s="36">
      <c r="A1543" s="4" t="inlineStr">
        <is>
          <t>soebiz-US</t>
        </is>
      </c>
      <c r="B1543" s="4" t="inlineStr">
        <is>
          <t>Soebiz美国站</t>
        </is>
      </c>
      <c r="C1543" s="4">
        <f>B1543&amp;D1543</f>
        <v/>
      </c>
      <c r="D1543" s="18" t="inlineStr">
        <is>
          <t>SZ-L-SLTPF-9M1M-BS</t>
        </is>
      </c>
      <c r="E1543" s="4" t="inlineStr">
        <is>
          <t>610F0002C01</t>
        </is>
      </c>
      <c r="F1543" s="4" t="inlineStr">
        <is>
          <t>9/16(外牙)转1/2(外牙)转接头</t>
        </is>
      </c>
      <c r="G1543" s="36" t="inlineStr">
        <is>
          <t>吕凯烨</t>
        </is>
      </c>
      <c r="H1543" s="4" t="inlineStr">
        <is>
          <t>厨房品线</t>
        </is>
      </c>
      <c r="I1543" s="12" t="inlineStr">
        <is>
          <t>否</t>
        </is>
      </c>
      <c r="J1543" s="34" t="n">
        <v>45897</v>
      </c>
      <c r="K1543" s="34" t="n">
        <v>45944</v>
      </c>
      <c r="L1543" s="0">
        <f>DATEDIF(J1543,$L$1,"M")</f>
        <v/>
      </c>
      <c r="M1543" s="0">
        <f>IF(L1543&lt;18,"新品期",IF(L1543&lt;=36,"老品期","衰退期"))</f>
        <v/>
      </c>
      <c r="N1543" s="36" t="inlineStr">
        <is>
          <t>售后链接</t>
        </is>
      </c>
    </row>
    <row r="1544" customFormat="1" s="36">
      <c r="A1544" s="4" t="inlineStr">
        <is>
          <t>soebiz-US</t>
        </is>
      </c>
      <c r="B1544" s="4" t="inlineStr">
        <is>
          <t>Soebiz美国站</t>
        </is>
      </c>
      <c r="C1544" s="4">
        <f>B1544&amp;D1544</f>
        <v/>
      </c>
      <c r="D1544" s="18" t="inlineStr">
        <is>
          <t>SZ-L-SLTPF-9M3M-BS</t>
        </is>
      </c>
      <c r="E1544" s="4" t="inlineStr">
        <is>
          <t>610F0005C01</t>
        </is>
      </c>
      <c r="F1544" s="4" t="inlineStr">
        <is>
          <t>9/16(外牙)转3/8(外牙)转接头</t>
        </is>
      </c>
      <c r="G1544" s="36" t="inlineStr">
        <is>
          <t>吕凯烨</t>
        </is>
      </c>
      <c r="H1544" s="4" t="inlineStr">
        <is>
          <t>厨房品线</t>
        </is>
      </c>
      <c r="I1544" s="12" t="inlineStr">
        <is>
          <t>否</t>
        </is>
      </c>
      <c r="J1544" s="34" t="n">
        <v>45897</v>
      </c>
      <c r="K1544" s="34" t="n">
        <v>45944</v>
      </c>
      <c r="L1544" s="0">
        <f>DATEDIF(J1544,$L$1,"M")</f>
        <v/>
      </c>
      <c r="M1544" s="0">
        <f>IF(L1544&lt;18,"新品期",IF(L1544&lt;=36,"老品期","衰退期"))</f>
        <v/>
      </c>
      <c r="N1544" s="36" t="inlineStr">
        <is>
          <t>售后链接</t>
        </is>
      </c>
    </row>
    <row r="1545" customFormat="1" s="36">
      <c r="A1545" s="4" t="inlineStr">
        <is>
          <t>Hanallx-US</t>
        </is>
      </c>
      <c r="B1545" s="4" t="inlineStr">
        <is>
          <t>Hanallx美国站</t>
        </is>
      </c>
      <c r="C1545" s="4">
        <f>B1545&amp;D1545</f>
        <v/>
      </c>
      <c r="D1545" s="18" t="inlineStr">
        <is>
          <t>8801BGJB-1</t>
        </is>
      </c>
      <c r="E1545" s="4" t="inlineStr">
        <is>
          <t>110F0088BG1</t>
        </is>
      </c>
      <c r="F1545" s="4" t="inlineStr">
        <is>
          <t>88系列矮身单孔正开面盆龙头拉丝钛金封油</t>
        </is>
      </c>
      <c r="G1545" s="36" t="inlineStr">
        <is>
          <t>曾志发</t>
        </is>
      </c>
      <c r="H1545" s="36" t="inlineStr">
        <is>
          <t>面盆品线</t>
        </is>
      </c>
      <c r="I1545" s="22" t="inlineStr">
        <is>
          <t>否</t>
        </is>
      </c>
      <c r="J1545" s="25" t="n">
        <v>45410</v>
      </c>
      <c r="K1545" s="25" t="n">
        <v>45542</v>
      </c>
      <c r="L1545" s="0">
        <f>DATEDIF(J1545,$L$1,"M")</f>
        <v/>
      </c>
      <c r="M1545" s="0">
        <f>IF(L1545&lt;18,"新品期",IF(L1545&lt;=36,"老品期","衰退期"))</f>
        <v/>
      </c>
      <c r="N1545" s="36" t="inlineStr">
        <is>
          <t>2025年9月1号以前梁丽梅负责</t>
        </is>
      </c>
    </row>
    <row r="1546" customFormat="1" s="36">
      <c r="A1546" s="36" t="inlineStr">
        <is>
          <t>Hanallx-CA</t>
        </is>
      </c>
      <c r="B1546" s="37" t="inlineStr">
        <is>
          <t>Hanallx加拿大站</t>
        </is>
      </c>
      <c r="C1546" s="4">
        <f>B1546&amp;D1546</f>
        <v/>
      </c>
      <c r="D1546" s="37" t="inlineStr">
        <is>
          <t>HM-8807-ORB</t>
        </is>
      </c>
      <c r="E1546" s="37" t="inlineStr">
        <is>
          <t>221F0088OB1</t>
        </is>
      </c>
      <c r="F1546" s="37" t="inlineStr">
        <is>
          <t>88系列三件套缸边浴缸龙头拉丝红古铜</t>
        </is>
      </c>
      <c r="G1546" s="37" t="inlineStr">
        <is>
          <t>朱艺璇</t>
        </is>
      </c>
      <c r="H1546" s="36" t="inlineStr">
        <is>
          <t>缸边浴缸</t>
        </is>
      </c>
      <c r="I1546" s="22" t="inlineStr">
        <is>
          <t>否</t>
        </is>
      </c>
      <c r="J1546" s="25" t="n">
        <v>45992</v>
      </c>
      <c r="K1546" s="25" t="n">
        <v>45992</v>
      </c>
      <c r="L1546" s="0">
        <f>DATEDIF(J1546,$L$1,"M")</f>
        <v/>
      </c>
      <c r="M1546" s="0">
        <f>IF(L1546&lt;18,"新品期",IF(L1546&lt;=36,"老品期","衰退期"))</f>
        <v/>
      </c>
      <c r="N1546" s="37" t="n"/>
    </row>
    <row r="1547" customFormat="1" s="36">
      <c r="A1547" s="36" t="inlineStr">
        <is>
          <t>Winkear-CA</t>
        </is>
      </c>
      <c r="B1547" s="37" t="inlineStr">
        <is>
          <t>Winkear加拿大站</t>
        </is>
      </c>
      <c r="C1547" s="4">
        <f>B1547&amp;D1547</f>
        <v/>
      </c>
      <c r="D1547" s="37" t="inlineStr">
        <is>
          <t>L2201-BG</t>
        </is>
      </c>
      <c r="E1547" s="37" t="inlineStr">
        <is>
          <t>110F0022BG1</t>
        </is>
      </c>
      <c r="F1547" s="37" t="inlineStr">
        <is>
          <t>22系列矮身单孔正开面盆龙头拉丝钛金封油</t>
        </is>
      </c>
      <c r="G1547" s="36" t="inlineStr">
        <is>
          <t>童劲威</t>
        </is>
      </c>
      <c r="H1547" s="36" t="inlineStr">
        <is>
          <t>面盆品线</t>
        </is>
      </c>
      <c r="I1547" s="12" t="inlineStr">
        <is>
          <t>否</t>
        </is>
      </c>
      <c r="J1547" s="34" t="n">
        <v>44712</v>
      </c>
      <c r="K1547" s="34" t="n">
        <v>44712</v>
      </c>
      <c r="L1547" s="0">
        <f>DATEDIF(J1547,$L$1,"M")</f>
        <v/>
      </c>
      <c r="M1547" s="0">
        <f>IF(L1547&lt;18,"新品期",IF(L1547&lt;=36,"老品期","衰退期"))</f>
        <v/>
      </c>
      <c r="N1547" s="37" t="n"/>
    </row>
    <row r="1548" customFormat="1" s="36">
      <c r="A1548" s="36" t="inlineStr">
        <is>
          <t>Wintap-CA</t>
        </is>
      </c>
      <c r="B1548" s="37" t="inlineStr">
        <is>
          <t>Wintap加拿大站</t>
        </is>
      </c>
      <c r="C1548" s="4">
        <f>B1548&amp;D1548</f>
        <v/>
      </c>
      <c r="D1548" s="37" t="inlineStr">
        <is>
          <t>WT-3311-BK</t>
        </is>
      </c>
      <c r="E1548" s="37" t="inlineStr">
        <is>
          <t>211F0033BK1</t>
        </is>
      </c>
      <c r="F1548" s="37" t="inlineStr">
        <is>
          <t>经济款二功能落地浴缸龙头哑黑</t>
        </is>
      </c>
      <c r="G1548" s="37" t="inlineStr">
        <is>
          <t>刘皓</t>
        </is>
      </c>
      <c r="H1548" s="36" t="inlineStr">
        <is>
          <t>落地浴缸</t>
        </is>
      </c>
      <c r="I1548" s="22" t="inlineStr">
        <is>
          <t>否</t>
        </is>
      </c>
      <c r="J1548" s="34" t="n">
        <v>45943</v>
      </c>
      <c r="K1548" s="25" t="n">
        <v>45943</v>
      </c>
      <c r="L1548" s="0" t="n"/>
      <c r="M1548" s="0">
        <f>IF(L1548&lt;18,"新品期",IF(L1548&lt;=36,"老品期","衰退期"))</f>
        <v/>
      </c>
      <c r="N1548" s="37" t="n"/>
    </row>
    <row r="1549" customFormat="1" s="36">
      <c r="A1549" s="36" t="inlineStr">
        <is>
          <t>Winkear-CA</t>
        </is>
      </c>
      <c r="B1549" s="37" t="inlineStr">
        <is>
          <t>Winkear加拿大站</t>
        </is>
      </c>
      <c r="C1549" s="4">
        <f>B1549&amp;D1549</f>
        <v/>
      </c>
      <c r="D1549" s="37" t="inlineStr">
        <is>
          <t>B2207-CP</t>
        </is>
      </c>
      <c r="E1549" s="37" t="inlineStr">
        <is>
          <t>221F0022CP1</t>
        </is>
      </c>
      <c r="F1549" s="37" t="inlineStr">
        <is>
          <t>22系列三件套缸边浴缸龙头铬</t>
        </is>
      </c>
      <c r="G1549" s="37" t="inlineStr">
        <is>
          <t>胡娟娟</t>
        </is>
      </c>
      <c r="H1549" s="36" t="inlineStr">
        <is>
          <t>缸边浴缸</t>
        </is>
      </c>
      <c r="I1549" s="38" t="inlineStr">
        <is>
          <t>否</t>
        </is>
      </c>
      <c r="J1549" s="34" t="n">
        <v>44714</v>
      </c>
      <c r="K1549" s="34" t="n">
        <v>44714</v>
      </c>
      <c r="L1549" s="0">
        <f>DATEDIF(J1549,$L$1,"M")</f>
        <v/>
      </c>
      <c r="M1549" s="0">
        <f>IF(L1549&lt;18,"新品期",IF(L1549&lt;=36,"老品期","衰退期"))</f>
        <v/>
      </c>
      <c r="N1549" s="37" t="n"/>
    </row>
    <row r="1550" customFormat="1" s="36">
      <c r="A1550" s="36" t="inlineStr">
        <is>
          <t>Hanallx-US</t>
        </is>
      </c>
      <c r="B1550" s="37" t="inlineStr">
        <is>
          <t>Hanallx美国站</t>
        </is>
      </c>
      <c r="C1550" s="4">
        <f>B1550&amp;D1550</f>
        <v/>
      </c>
      <c r="D1550" s="37" t="inlineStr">
        <is>
          <t>HM-8807-BG1-01</t>
        </is>
      </c>
      <c r="E1550" s="37" t="inlineStr">
        <is>
          <t>221F0088BG1</t>
        </is>
      </c>
      <c r="F1550" s="37" t="inlineStr">
        <is>
          <t>88系列三件套缸边浴缸龙头拉丝钛金封油</t>
        </is>
      </c>
      <c r="G1550" s="37" t="inlineStr">
        <is>
          <t>朱艺璇</t>
        </is>
      </c>
      <c r="H1550" s="36" t="inlineStr">
        <is>
          <t>缸边浴缸</t>
        </is>
      </c>
      <c r="I1550" s="22" t="inlineStr">
        <is>
          <t>否</t>
        </is>
      </c>
      <c r="J1550" s="25" t="n">
        <v>45992</v>
      </c>
      <c r="K1550" s="25" t="n">
        <v>45992</v>
      </c>
      <c r="L1550" s="0">
        <f>DATEDIF(J1550,$L$1,"M")</f>
        <v/>
      </c>
      <c r="M1550" s="0">
        <f>IF(L1550&lt;18,"新品期",IF(L1550&lt;=36,"老品期","衰退期"))</f>
        <v/>
      </c>
      <c r="N1550" s="37" t="n"/>
    </row>
    <row r="1551" customFormat="1" s="36">
      <c r="A1551" s="37" t="inlineStr">
        <is>
          <t>BYF-US</t>
        </is>
      </c>
      <c r="B1551" s="37" t="inlineStr">
        <is>
          <t>BYF美国站</t>
        </is>
      </c>
      <c r="C1551" s="4">
        <f>B1551&amp;D1551</f>
        <v/>
      </c>
      <c r="D1551" s="37" t="inlineStr">
        <is>
          <t>JSG-71.5-NEW1</t>
        </is>
      </c>
      <c r="E1551" s="37" t="inlineStr">
        <is>
          <t>610F0010C01</t>
        </is>
      </c>
      <c r="F1551" s="37" t="inlineStr">
        <is>
          <t>71.5红蓝进水管（M13/1,G1/2）</t>
        </is>
      </c>
      <c r="G1551" s="36" t="inlineStr">
        <is>
          <t>刘皓/郭家亮/胡颖楠/王幸</t>
        </is>
      </c>
      <c r="H1551" s="37" t="inlineStr">
        <is>
          <t>配件</t>
        </is>
      </c>
      <c r="I1551" s="12" t="inlineStr">
        <is>
          <t>否</t>
        </is>
      </c>
      <c r="J1551" s="36" t="inlineStr">
        <is>
          <t>/</t>
        </is>
      </c>
      <c r="K1551" s="36" t="inlineStr">
        <is>
          <t>/</t>
        </is>
      </c>
      <c r="L1551" s="0">
        <f>DATEDIF(J1551,$L$1,"M")</f>
        <v/>
      </c>
      <c r="M1551" s="0">
        <f>IF(L1551&lt;18,"新品期",IF(L1551&lt;=36,"老品期","衰退期"))</f>
        <v/>
      </c>
      <c r="N1551" s="36" t="inlineStr">
        <is>
          <t>落地浴缸龙头共用配件</t>
        </is>
      </c>
    </row>
    <row r="1552" customFormat="1" s="36">
      <c r="A1552" s="4" t="n"/>
      <c r="B1552" s="4" t="n"/>
      <c r="C1552" s="4" t="n"/>
      <c r="D1552" s="18" t="n"/>
      <c r="E1552" s="4" t="n"/>
      <c r="F1552" s="4" t="n"/>
      <c r="G1552" s="4" t="n"/>
      <c r="H1552" s="4" t="n"/>
      <c r="I1552" s="12" t="n"/>
    </row>
    <row r="1553" customFormat="1" s="36">
      <c r="A1553" s="4" t="n"/>
      <c r="B1553" s="4" t="n"/>
      <c r="C1553" s="4" t="n"/>
      <c r="D1553" s="18" t="n"/>
      <c r="E1553" s="4" t="n"/>
      <c r="F1553" s="4" t="n"/>
      <c r="G1553" s="4" t="n"/>
      <c r="H1553" s="4" t="n"/>
      <c r="I1553" s="12" t="n"/>
    </row>
    <row r="1554" customFormat="1" s="36">
      <c r="A1554" s="4" t="n"/>
      <c r="B1554" s="4" t="n"/>
      <c r="C1554" s="4" t="n"/>
      <c r="D1554" s="18" t="n"/>
      <c r="E1554" s="4" t="n"/>
      <c r="F1554" s="4" t="n"/>
      <c r="G1554" s="4" t="n"/>
      <c r="H1554" s="4" t="n"/>
      <c r="I1554" s="12" t="n"/>
    </row>
    <row r="1555" customFormat="1" s="36">
      <c r="A1555" s="4" t="n"/>
      <c r="B1555" s="4" t="n"/>
      <c r="C1555" s="4" t="n"/>
      <c r="D1555" s="18" t="n"/>
      <c r="E1555" s="4" t="n"/>
      <c r="F1555" s="4" t="n"/>
      <c r="G1555" s="4" t="n"/>
      <c r="H1555" s="4" t="n"/>
      <c r="I1555" s="12" t="n"/>
    </row>
    <row r="1556" customFormat="1" s="36">
      <c r="A1556" s="4" t="n"/>
      <c r="B1556" s="4" t="n"/>
      <c r="C1556" s="4" t="n"/>
      <c r="D1556" s="18" t="n"/>
      <c r="E1556" s="4" t="n"/>
      <c r="F1556" s="4" t="n"/>
      <c r="G1556" s="4" t="n"/>
      <c r="H1556" s="4" t="n"/>
      <c r="I1556" s="12" t="n"/>
    </row>
    <row r="1557" customFormat="1" s="36">
      <c r="A1557" s="4" t="n"/>
      <c r="B1557" s="4" t="n"/>
      <c r="C1557" s="4" t="n"/>
      <c r="D1557" s="18" t="n"/>
      <c r="E1557" s="4" t="n"/>
      <c r="F1557" s="4" t="n"/>
      <c r="G1557" s="4" t="n"/>
      <c r="H1557" s="4" t="n"/>
      <c r="I1557" s="12" t="n"/>
    </row>
    <row r="1558" customFormat="1" s="36">
      <c r="A1558" s="4" t="n"/>
      <c r="B1558" s="4" t="n"/>
      <c r="C1558" s="4" t="n"/>
      <c r="D1558" s="18" t="n"/>
      <c r="E1558" s="4" t="n"/>
      <c r="F1558" s="4" t="n"/>
      <c r="G1558" s="4" t="n"/>
      <c r="H1558" s="4" t="n"/>
      <c r="I1558" s="12" t="n"/>
    </row>
    <row r="1559" customFormat="1" s="36">
      <c r="A1559" s="4" t="n"/>
      <c r="B1559" s="4" t="n"/>
      <c r="C1559" s="4" t="n"/>
      <c r="D1559" s="18" t="n"/>
      <c r="E1559" s="4" t="n"/>
      <c r="F1559" s="4" t="n"/>
      <c r="G1559" s="4" t="n"/>
      <c r="H1559" s="4" t="n"/>
      <c r="I1559" s="12" t="n"/>
    </row>
    <row r="1560" customFormat="1" s="36">
      <c r="A1560" s="4" t="n"/>
      <c r="B1560" s="4" t="n"/>
      <c r="C1560" s="4" t="n"/>
      <c r="D1560" s="18" t="n"/>
      <c r="E1560" s="4" t="n"/>
      <c r="F1560" s="4" t="n"/>
      <c r="G1560" s="4" t="n"/>
      <c r="H1560" s="4" t="n"/>
      <c r="I1560" s="12" t="n"/>
    </row>
    <row r="1561" customFormat="1" s="36">
      <c r="A1561" s="4" t="n"/>
      <c r="B1561" s="4" t="n"/>
      <c r="C1561" s="4" t="n"/>
      <c r="D1561" s="18" t="n"/>
      <c r="E1561" s="4" t="n"/>
      <c r="F1561" s="4" t="n"/>
      <c r="G1561" s="4" t="n"/>
      <c r="H1561" s="4" t="n"/>
      <c r="I1561" s="12" t="n"/>
    </row>
    <row r="1562" customFormat="1" s="36">
      <c r="A1562" s="4" t="n"/>
      <c r="B1562" s="4" t="n"/>
      <c r="C1562" s="4" t="n"/>
      <c r="D1562" s="18" t="n"/>
      <c r="E1562" s="4" t="n"/>
      <c r="F1562" s="4" t="n"/>
      <c r="G1562" s="4" t="n"/>
      <c r="H1562" s="4" t="n"/>
      <c r="I1562" s="12" t="n"/>
    </row>
    <row r="1563" customFormat="1" s="36">
      <c r="A1563" s="4" t="n"/>
      <c r="B1563" s="4" t="n"/>
      <c r="C1563" s="4" t="n"/>
      <c r="D1563" s="18" t="n"/>
      <c r="E1563" s="4" t="n"/>
      <c r="F1563" s="4" t="n"/>
      <c r="G1563" s="4" t="n"/>
      <c r="H1563" s="4" t="n"/>
      <c r="I1563" s="12" t="n"/>
    </row>
    <row r="1564" customFormat="1" s="36">
      <c r="A1564" s="4" t="n"/>
      <c r="B1564" s="4" t="n"/>
      <c r="C1564" s="4" t="n"/>
      <c r="D1564" s="18" t="n"/>
      <c r="E1564" s="4" t="n"/>
      <c r="F1564" s="4" t="n"/>
      <c r="G1564" s="4" t="n"/>
      <c r="H1564" s="4" t="n"/>
      <c r="I1564" s="12" t="n"/>
    </row>
    <row r="1565" customFormat="1" s="36">
      <c r="A1565" s="4" t="n"/>
      <c r="B1565" s="4" t="n"/>
      <c r="C1565" s="4" t="n"/>
      <c r="D1565" s="18" t="n"/>
      <c r="E1565" s="4" t="n"/>
      <c r="F1565" s="4" t="n"/>
      <c r="G1565" s="4" t="n"/>
      <c r="H1565" s="4" t="n"/>
      <c r="I1565" s="12" t="n"/>
    </row>
    <row r="1566" customFormat="1" s="36">
      <c r="A1566" s="4" t="n"/>
      <c r="B1566" s="4" t="n"/>
      <c r="C1566" s="4" t="n"/>
      <c r="D1566" s="18" t="n"/>
      <c r="E1566" s="4" t="n"/>
      <c r="F1566" s="4" t="n"/>
      <c r="G1566" s="4" t="n"/>
      <c r="H1566" s="4" t="n"/>
      <c r="I1566" s="12" t="n"/>
    </row>
    <row r="1567" customFormat="1" s="36">
      <c r="A1567" s="4" t="n"/>
      <c r="B1567" s="4" t="n"/>
      <c r="C1567" s="4" t="n"/>
      <c r="D1567" s="18" t="n"/>
      <c r="E1567" s="4" t="n"/>
      <c r="F1567" s="4" t="n"/>
      <c r="G1567" s="4" t="n"/>
      <c r="H1567" s="4" t="n"/>
      <c r="I1567" s="12" t="n"/>
    </row>
    <row r="1568" customFormat="1" s="36">
      <c r="A1568" s="4" t="n"/>
      <c r="B1568" s="4" t="n"/>
      <c r="C1568" s="4" t="n"/>
      <c r="D1568" s="18" t="n"/>
      <c r="E1568" s="4" t="n"/>
      <c r="F1568" s="4" t="n"/>
      <c r="G1568" s="4" t="n"/>
      <c r="H1568" s="4" t="n"/>
      <c r="I1568" s="12" t="n"/>
    </row>
    <row r="1569" customFormat="1" s="36">
      <c r="A1569" s="4" t="n"/>
      <c r="B1569" s="4" t="n"/>
      <c r="C1569" s="4" t="n"/>
      <c r="D1569" s="18" t="n"/>
      <c r="E1569" s="4" t="n"/>
      <c r="F1569" s="4" t="n"/>
      <c r="G1569" s="4" t="n"/>
      <c r="H1569" s="4" t="n"/>
      <c r="I1569" s="12" t="n"/>
    </row>
    <row r="1570" customFormat="1" s="36">
      <c r="A1570" s="4" t="n"/>
      <c r="B1570" s="4" t="n"/>
      <c r="C1570" s="4" t="n"/>
      <c r="D1570" s="18" t="n"/>
      <c r="E1570" s="4" t="n"/>
      <c r="F1570" s="4" t="n"/>
      <c r="G1570" s="4" t="n"/>
      <c r="H1570" s="4" t="n"/>
      <c r="I1570" s="12" t="n"/>
    </row>
    <row r="1571" customFormat="1" s="36">
      <c r="A1571" s="4" t="n"/>
      <c r="B1571" s="4" t="n"/>
      <c r="C1571" s="4" t="n"/>
      <c r="D1571" s="18" t="n"/>
      <c r="E1571" s="4" t="n"/>
      <c r="F1571" s="4" t="n"/>
      <c r="G1571" s="4" t="n"/>
      <c r="H1571" s="4" t="n"/>
      <c r="I1571" s="12" t="n"/>
    </row>
    <row r="1572" customFormat="1" s="36">
      <c r="A1572" s="4" t="n"/>
      <c r="B1572" s="4" t="n"/>
      <c r="C1572" s="4" t="n"/>
      <c r="D1572" s="18" t="n"/>
      <c r="E1572" s="4" t="n"/>
      <c r="F1572" s="4" t="n"/>
      <c r="G1572" s="4" t="n"/>
      <c r="H1572" s="4" t="n"/>
      <c r="I1572" s="12" t="n"/>
    </row>
    <row r="1573" customFormat="1" s="36">
      <c r="A1573" s="4" t="n"/>
      <c r="B1573" s="4" t="n"/>
      <c r="C1573" s="4" t="n"/>
      <c r="D1573" s="18" t="n"/>
      <c r="E1573" s="4" t="n"/>
      <c r="F1573" s="4" t="n"/>
      <c r="G1573" s="4" t="n"/>
      <c r="H1573" s="4" t="n"/>
      <c r="I1573" s="12" t="n"/>
    </row>
    <row r="1574" customFormat="1" s="36">
      <c r="A1574" s="4" t="n"/>
      <c r="B1574" s="4" t="n"/>
      <c r="C1574" s="4" t="n"/>
      <c r="D1574" s="18" t="n"/>
      <c r="E1574" s="4" t="n"/>
      <c r="F1574" s="4" t="n"/>
      <c r="G1574" s="4" t="n"/>
      <c r="H1574" s="4" t="n"/>
      <c r="I1574" s="12" t="n"/>
    </row>
    <row r="1575" customFormat="1" s="36">
      <c r="A1575" s="4" t="n"/>
      <c r="B1575" s="4" t="n"/>
      <c r="C1575" s="4" t="n"/>
      <c r="D1575" s="18" t="n"/>
      <c r="E1575" s="4" t="n"/>
      <c r="F1575" s="4" t="n"/>
      <c r="G1575" s="4" t="n"/>
      <c r="H1575" s="4" t="n"/>
      <c r="I1575" s="12" t="n"/>
    </row>
    <row r="1576" customFormat="1" s="36">
      <c r="A1576" s="4" t="n"/>
      <c r="B1576" s="4" t="n"/>
      <c r="C1576" s="4" t="n"/>
      <c r="D1576" s="18" t="n"/>
      <c r="E1576" s="4" t="n"/>
      <c r="F1576" s="4" t="n"/>
      <c r="G1576" s="4" t="n"/>
      <c r="H1576" s="4" t="n"/>
      <c r="I1576" s="12" t="n"/>
    </row>
    <row r="1577" customFormat="1" s="36">
      <c r="A1577" s="4" t="n"/>
      <c r="B1577" s="4" t="n"/>
      <c r="C1577" s="4" t="n"/>
      <c r="D1577" s="18" t="n"/>
      <c r="E1577" s="4" t="n"/>
      <c r="F1577" s="4" t="n"/>
      <c r="G1577" s="4" t="n"/>
      <c r="H1577" s="4" t="n"/>
      <c r="I1577" s="12" t="n"/>
    </row>
    <row r="1578" customFormat="1" s="36">
      <c r="A1578" s="4" t="n"/>
      <c r="B1578" s="4" t="n"/>
      <c r="C1578" s="4" t="n"/>
      <c r="D1578" s="18" t="n"/>
      <c r="E1578" s="4" t="n"/>
      <c r="F1578" s="4" t="n"/>
      <c r="G1578" s="4" t="n"/>
      <c r="H1578" s="4" t="n"/>
      <c r="I1578" s="12" t="n"/>
    </row>
    <row r="1579" customFormat="1" s="36">
      <c r="A1579" s="4" t="n"/>
      <c r="B1579" s="4" t="n"/>
      <c r="C1579" s="4" t="n"/>
      <c r="D1579" s="18" t="n"/>
      <c r="E1579" s="4" t="n"/>
      <c r="F1579" s="4" t="n"/>
      <c r="G1579" s="4" t="n"/>
      <c r="H1579" s="4" t="n"/>
      <c r="I1579" s="12" t="n"/>
    </row>
    <row r="1580" customFormat="1" s="36">
      <c r="A1580" s="4" t="n"/>
      <c r="B1580" s="4" t="n"/>
      <c r="C1580" s="4" t="n"/>
      <c r="D1580" s="18" t="n"/>
      <c r="E1580" s="4" t="n"/>
      <c r="F1580" s="4" t="n"/>
      <c r="G1580" s="4" t="n"/>
      <c r="H1580" s="4" t="n"/>
      <c r="I1580" s="12" t="n"/>
    </row>
    <row r="1581" customFormat="1" s="36">
      <c r="A1581" s="4" t="n"/>
      <c r="B1581" s="4" t="n"/>
      <c r="C1581" s="4" t="n"/>
      <c r="D1581" s="18" t="n"/>
      <c r="E1581" s="4" t="n"/>
      <c r="F1581" s="4" t="n"/>
      <c r="G1581" s="4" t="n"/>
      <c r="H1581" s="4" t="n"/>
      <c r="I1581" s="12" t="n"/>
    </row>
    <row r="1582" customFormat="1" s="36">
      <c r="A1582" s="4" t="n"/>
      <c r="B1582" s="4" t="n"/>
      <c r="C1582" s="4" t="n"/>
      <c r="D1582" s="18" t="n"/>
      <c r="E1582" s="4" t="n"/>
      <c r="F1582" s="4" t="n"/>
      <c r="G1582" s="4" t="n"/>
      <c r="H1582" s="4" t="n"/>
      <c r="I1582" s="12" t="n"/>
    </row>
    <row r="1583" customFormat="1" s="36">
      <c r="A1583" s="4" t="n"/>
      <c r="B1583" s="4" t="n"/>
      <c r="C1583" s="4" t="n"/>
      <c r="D1583" s="18" t="n"/>
      <c r="E1583" s="4" t="n"/>
      <c r="F1583" s="4" t="n"/>
      <c r="G1583" s="4" t="n"/>
      <c r="H1583" s="4" t="n"/>
      <c r="I1583" s="12" t="n"/>
    </row>
    <row r="1584" customFormat="1" s="36">
      <c r="A1584" s="4" t="n"/>
      <c r="B1584" s="4" t="n"/>
      <c r="C1584" s="4" t="n"/>
      <c r="D1584" s="18" t="n"/>
      <c r="E1584" s="4" t="n"/>
      <c r="F1584" s="4" t="n"/>
      <c r="G1584" s="4" t="n"/>
      <c r="H1584" s="4" t="n"/>
      <c r="I1584" s="12" t="n"/>
    </row>
    <row r="1585" customFormat="1" s="36">
      <c r="A1585" s="4" t="n"/>
      <c r="B1585" s="4" t="n"/>
      <c r="C1585" s="4" t="n"/>
      <c r="D1585" s="18" t="n"/>
      <c r="E1585" s="4" t="n"/>
      <c r="F1585" s="4" t="n"/>
      <c r="G1585" s="4" t="n"/>
      <c r="H1585" s="4" t="n"/>
      <c r="I1585" s="12" t="n"/>
    </row>
    <row r="1586" customFormat="1" s="36">
      <c r="A1586" s="4" t="n"/>
      <c r="B1586" s="4" t="n"/>
      <c r="C1586" s="4" t="n"/>
      <c r="D1586" s="18" t="n"/>
      <c r="E1586" s="4" t="n"/>
      <c r="F1586" s="4" t="n"/>
      <c r="G1586" s="4" t="n"/>
      <c r="H1586" s="4" t="n"/>
      <c r="I1586" s="12" t="n"/>
    </row>
    <row r="1587" customFormat="1" s="36">
      <c r="A1587" s="4" t="n"/>
      <c r="B1587" s="4" t="n"/>
      <c r="C1587" s="4" t="n"/>
      <c r="D1587" s="18" t="n"/>
      <c r="E1587" s="4" t="n"/>
      <c r="F1587" s="4" t="n"/>
      <c r="G1587" s="4" t="n"/>
      <c r="H1587" s="4" t="n"/>
      <c r="I1587" s="12" t="n"/>
    </row>
    <row r="1588" customFormat="1" s="36">
      <c r="A1588" s="4" t="n"/>
      <c r="B1588" s="4" t="n"/>
      <c r="C1588" s="4" t="n"/>
      <c r="D1588" s="18" t="n"/>
      <c r="E1588" s="4" t="n"/>
      <c r="F1588" s="4" t="n"/>
      <c r="G1588" s="4" t="n"/>
      <c r="H1588" s="4" t="n"/>
      <c r="I1588" s="12" t="n"/>
    </row>
    <row r="1589" customFormat="1" s="36">
      <c r="A1589" s="4" t="n"/>
      <c r="B1589" s="4" t="n"/>
      <c r="C1589" s="4" t="n"/>
      <c r="D1589" s="18" t="n"/>
      <c r="E1589" s="4" t="n"/>
      <c r="F1589" s="4" t="n"/>
      <c r="G1589" s="4" t="n"/>
      <c r="H1589" s="4" t="n"/>
      <c r="I1589" s="12" t="n"/>
    </row>
    <row r="1590" customFormat="1" s="36">
      <c r="A1590" s="4" t="n"/>
      <c r="B1590" s="4" t="n"/>
      <c r="C1590" s="4" t="n"/>
      <c r="D1590" s="18" t="n"/>
      <c r="E1590" s="4" t="n"/>
      <c r="F1590" s="4" t="n"/>
      <c r="G1590" s="4" t="n"/>
      <c r="H1590" s="4" t="n"/>
      <c r="I1590" s="12" t="n"/>
    </row>
    <row r="1591" customFormat="1" s="36">
      <c r="A1591" s="4" t="n"/>
      <c r="B1591" s="4" t="n"/>
      <c r="C1591" s="4" t="n"/>
      <c r="D1591" s="18" t="n"/>
      <c r="E1591" s="4" t="n"/>
      <c r="F1591" s="4" t="n"/>
      <c r="G1591" s="4" t="n"/>
      <c r="H1591" s="4" t="n"/>
      <c r="I1591" s="12" t="n"/>
    </row>
    <row r="1592" customFormat="1" s="36">
      <c r="A1592" s="4" t="n"/>
      <c r="B1592" s="4" t="n"/>
      <c r="C1592" s="4" t="n"/>
      <c r="D1592" s="18" t="n"/>
      <c r="E1592" s="4" t="n"/>
      <c r="F1592" s="4" t="n"/>
      <c r="G1592" s="4" t="n"/>
      <c r="H1592" s="4" t="n"/>
      <c r="I1592" s="12" t="n"/>
    </row>
    <row r="1593" customFormat="1" s="36">
      <c r="A1593" s="4" t="n"/>
      <c r="B1593" s="4" t="n"/>
      <c r="C1593" s="4" t="n"/>
      <c r="D1593" s="18" t="n"/>
      <c r="E1593" s="4" t="n"/>
      <c r="F1593" s="4" t="n"/>
      <c r="G1593" s="4" t="n"/>
      <c r="H1593" s="4" t="n"/>
      <c r="I1593" s="12" t="n"/>
    </row>
    <row r="1594" customFormat="1" s="36">
      <c r="A1594" s="4" t="n"/>
      <c r="B1594" s="4" t="n"/>
      <c r="C1594" s="4" t="n"/>
      <c r="D1594" s="18" t="n"/>
      <c r="E1594" s="4" t="n"/>
      <c r="F1594" s="4" t="n"/>
      <c r="G1594" s="4" t="n"/>
      <c r="H1594" s="4" t="n"/>
      <c r="I1594" s="12" t="n"/>
    </row>
    <row r="1595" customFormat="1" s="36">
      <c r="A1595" s="4" t="n"/>
      <c r="B1595" s="4" t="n"/>
      <c r="C1595" s="4" t="n"/>
      <c r="D1595" s="18" t="n"/>
      <c r="E1595" s="4" t="n"/>
      <c r="F1595" s="4" t="n"/>
      <c r="G1595" s="4" t="n"/>
      <c r="H1595" s="4" t="n"/>
      <c r="I1595" s="12" t="n"/>
    </row>
    <row r="1596" customFormat="1" s="36">
      <c r="A1596" s="4" t="n"/>
      <c r="B1596" s="4" t="n"/>
      <c r="C1596" s="4" t="n"/>
      <c r="D1596" s="18" t="n"/>
      <c r="E1596" s="4" t="n"/>
      <c r="F1596" s="4" t="n"/>
      <c r="G1596" s="4" t="n"/>
      <c r="H1596" s="4" t="n"/>
      <c r="I1596" s="12" t="n"/>
    </row>
    <row r="1597" customFormat="1" s="36">
      <c r="A1597" s="4" t="n"/>
      <c r="B1597" s="4" t="n"/>
      <c r="C1597" s="4" t="n"/>
      <c r="D1597" s="18" t="n"/>
      <c r="E1597" s="4" t="n"/>
      <c r="F1597" s="4" t="n"/>
      <c r="G1597" s="4" t="n"/>
      <c r="H1597" s="4" t="n"/>
      <c r="I1597" s="12" t="n"/>
    </row>
    <row r="1598" customFormat="1" s="36">
      <c r="A1598" s="4" t="n"/>
      <c r="B1598" s="4" t="n"/>
      <c r="C1598" s="4" t="n"/>
      <c r="D1598" s="18" t="n"/>
      <c r="E1598" s="4" t="n"/>
      <c r="F1598" s="4" t="n"/>
      <c r="G1598" s="4" t="n"/>
      <c r="H1598" s="4" t="n"/>
      <c r="I1598" s="12" t="n"/>
    </row>
    <row r="1599" customFormat="1" s="36">
      <c r="A1599" s="4" t="n"/>
      <c r="B1599" s="4" t="n"/>
      <c r="C1599" s="4" t="n"/>
      <c r="D1599" s="18" t="n"/>
      <c r="E1599" s="4" t="n"/>
      <c r="F1599" s="4" t="n"/>
      <c r="G1599" s="4" t="n"/>
      <c r="H1599" s="4" t="n"/>
      <c r="I1599" s="12" t="n"/>
    </row>
    <row r="1600" customFormat="1" s="36">
      <c r="A1600" s="4" t="n"/>
      <c r="B1600" s="4" t="n"/>
      <c r="C1600" s="4" t="n"/>
      <c r="D1600" s="18" t="n"/>
      <c r="E1600" s="4" t="n"/>
      <c r="F1600" s="4" t="n"/>
      <c r="G1600" s="4" t="n"/>
      <c r="H1600" s="4" t="n"/>
      <c r="I1600" s="12" t="n"/>
    </row>
    <row r="1601" customFormat="1" s="36">
      <c r="A1601" s="4" t="n"/>
      <c r="B1601" s="4" t="n"/>
      <c r="C1601" s="4" t="n"/>
      <c r="D1601" s="18" t="n"/>
      <c r="E1601" s="4" t="n"/>
      <c r="F1601" s="4" t="n"/>
      <c r="G1601" s="4" t="n"/>
      <c r="H1601" s="4" t="n"/>
      <c r="I1601" s="12" t="n"/>
    </row>
    <row r="1602" customFormat="1" s="36">
      <c r="A1602" s="4" t="n"/>
      <c r="B1602" s="4" t="n"/>
      <c r="C1602" s="4" t="n"/>
      <c r="D1602" s="18" t="n"/>
      <c r="E1602" s="4" t="n"/>
      <c r="F1602" s="4" t="n"/>
      <c r="G1602" s="4" t="n"/>
      <c r="H1602" s="4" t="n"/>
      <c r="I1602" s="12" t="n"/>
    </row>
    <row r="1603" customFormat="1" s="36">
      <c r="A1603" s="4" t="n"/>
      <c r="B1603" s="4" t="n"/>
      <c r="C1603" s="4" t="n"/>
      <c r="D1603" s="18" t="n"/>
      <c r="E1603" s="4" t="n"/>
      <c r="F1603" s="4" t="n"/>
      <c r="G1603" s="4" t="n"/>
      <c r="H1603" s="4" t="n"/>
      <c r="I1603" s="12" t="n"/>
    </row>
    <row r="1604" customFormat="1" s="36">
      <c r="A1604" s="4" t="n"/>
      <c r="B1604" s="4" t="n"/>
      <c r="C1604" s="4" t="n"/>
      <c r="D1604" s="18" t="n"/>
      <c r="E1604" s="4" t="n"/>
      <c r="F1604" s="4" t="n"/>
      <c r="G1604" s="4" t="n"/>
      <c r="H1604" s="4" t="n"/>
      <c r="I1604" s="12" t="n"/>
    </row>
    <row r="1605" customFormat="1" s="36">
      <c r="A1605" s="4" t="n"/>
      <c r="B1605" s="4" t="n"/>
      <c r="C1605" s="4" t="n"/>
      <c r="D1605" s="18" t="n"/>
      <c r="E1605" s="4" t="n"/>
      <c r="F1605" s="4" t="n"/>
      <c r="G1605" s="4" t="n"/>
      <c r="H1605" s="4" t="n"/>
      <c r="I1605" s="12" t="n"/>
    </row>
    <row r="1606" customFormat="1" s="36">
      <c r="A1606" s="4" t="n"/>
      <c r="B1606" s="4" t="n"/>
      <c r="C1606" s="4" t="n"/>
      <c r="D1606" s="18" t="n"/>
      <c r="E1606" s="4" t="n"/>
      <c r="F1606" s="4" t="n"/>
      <c r="G1606" s="4" t="n"/>
      <c r="H1606" s="4" t="n"/>
      <c r="I1606" s="12" t="n"/>
    </row>
    <row r="1607" customFormat="1" s="36">
      <c r="A1607" s="4" t="n"/>
      <c r="B1607" s="4" t="n"/>
      <c r="C1607" s="4" t="n"/>
      <c r="D1607" s="18" t="n"/>
      <c r="E1607" s="4" t="n"/>
      <c r="F1607" s="4" t="n"/>
      <c r="G1607" s="4" t="n"/>
      <c r="H1607" s="4" t="n"/>
      <c r="I1607" s="12" t="n"/>
    </row>
    <row r="1608" customFormat="1" s="36">
      <c r="A1608" s="4" t="n"/>
      <c r="B1608" s="4" t="n"/>
      <c r="C1608" s="4" t="n"/>
      <c r="D1608" s="18" t="n"/>
      <c r="E1608" s="4" t="n"/>
      <c r="F1608" s="4" t="n"/>
      <c r="G1608" s="4" t="n"/>
      <c r="H1608" s="4" t="n"/>
      <c r="I1608" s="12" t="n"/>
    </row>
    <row r="1609" customFormat="1" s="36">
      <c r="A1609" s="4" t="n"/>
      <c r="B1609" s="4" t="n"/>
      <c r="C1609" s="4" t="n"/>
      <c r="D1609" s="18" t="n"/>
      <c r="E1609" s="4" t="n"/>
      <c r="F1609" s="4" t="n"/>
      <c r="G1609" s="4" t="n"/>
      <c r="H1609" s="4" t="n"/>
      <c r="I1609" s="12" t="n"/>
    </row>
    <row r="1610" customFormat="1" s="36">
      <c r="A1610" s="4" t="n"/>
      <c r="B1610" s="4" t="n"/>
      <c r="C1610" s="4" t="n"/>
      <c r="D1610" s="18" t="n"/>
      <c r="E1610" s="4" t="n"/>
      <c r="F1610" s="4" t="n"/>
      <c r="G1610" s="4" t="n"/>
      <c r="H1610" s="4" t="n"/>
      <c r="I1610" s="12" t="n"/>
    </row>
    <row r="1611" customFormat="1" s="36">
      <c r="A1611" s="4" t="n"/>
      <c r="B1611" s="4" t="n"/>
      <c r="C1611" s="4" t="n"/>
      <c r="D1611" s="18" t="n"/>
      <c r="E1611" s="4" t="n"/>
      <c r="F1611" s="4" t="n"/>
      <c r="G1611" s="4" t="n"/>
      <c r="H1611" s="4" t="n"/>
      <c r="I1611" s="12" t="n"/>
    </row>
    <row r="1612" customFormat="1" s="36">
      <c r="A1612" s="4" t="n"/>
      <c r="B1612" s="4" t="n"/>
      <c r="C1612" s="4" t="n"/>
      <c r="D1612" s="18" t="n"/>
      <c r="E1612" s="4" t="n"/>
      <c r="F1612" s="4" t="n"/>
      <c r="G1612" s="4" t="n"/>
      <c r="H1612" s="4" t="n"/>
      <c r="I1612" s="12" t="n"/>
    </row>
    <row r="1613" customFormat="1" s="36">
      <c r="A1613" s="4" t="n"/>
      <c r="B1613" s="4" t="n"/>
      <c r="C1613" s="4" t="n"/>
      <c r="D1613" s="18" t="n"/>
      <c r="E1613" s="4" t="n"/>
      <c r="F1613" s="4" t="n"/>
      <c r="G1613" s="4" t="n"/>
      <c r="H1613" s="4" t="n"/>
      <c r="I1613" s="12" t="n"/>
    </row>
    <row r="1614" customFormat="1" s="36">
      <c r="A1614" s="4" t="n"/>
      <c r="B1614" s="4" t="n"/>
      <c r="C1614" s="4" t="n"/>
      <c r="D1614" s="18" t="n"/>
      <c r="E1614" s="4" t="n"/>
      <c r="F1614" s="4" t="n"/>
      <c r="G1614" s="4" t="n"/>
      <c r="H1614" s="4" t="n"/>
      <c r="I1614" s="12" t="n"/>
    </row>
    <row r="1615" customFormat="1" s="36">
      <c r="A1615" s="4" t="n"/>
      <c r="B1615" s="4" t="n"/>
      <c r="C1615" s="4" t="n"/>
      <c r="D1615" s="18" t="n"/>
      <c r="E1615" s="4" t="n"/>
      <c r="F1615" s="4" t="n"/>
      <c r="G1615" s="4" t="n"/>
      <c r="H1615" s="4" t="n"/>
      <c r="I1615" s="12" t="n"/>
    </row>
    <row r="1616" customFormat="1" s="36">
      <c r="A1616" s="4" t="n"/>
      <c r="B1616" s="4" t="n"/>
      <c r="C1616" s="4" t="n"/>
      <c r="D1616" s="18" t="n"/>
      <c r="E1616" s="4" t="n"/>
      <c r="F1616" s="4" t="n"/>
      <c r="G1616" s="4" t="n"/>
      <c r="H1616" s="4" t="n"/>
      <c r="I1616" s="12" t="n"/>
    </row>
    <row r="1617" customFormat="1" s="36">
      <c r="A1617" s="4" t="n"/>
      <c r="B1617" s="4" t="n"/>
      <c r="C1617" s="4" t="n"/>
      <c r="D1617" s="18" t="n"/>
      <c r="E1617" s="4" t="n"/>
      <c r="F1617" s="4" t="n"/>
      <c r="G1617" s="4" t="n"/>
      <c r="H1617" s="4" t="n"/>
      <c r="I1617" s="12" t="n"/>
    </row>
    <row r="1618" customFormat="1" s="36">
      <c r="A1618" s="4" t="n"/>
      <c r="B1618" s="4" t="n"/>
      <c r="C1618" s="4" t="n"/>
      <c r="D1618" s="18" t="n"/>
      <c r="E1618" s="4" t="n"/>
      <c r="F1618" s="4" t="n"/>
      <c r="G1618" s="4" t="n"/>
      <c r="H1618" s="4" t="n"/>
      <c r="I1618" s="12" t="n"/>
    </row>
    <row r="1619" customFormat="1" s="36">
      <c r="A1619" s="4" t="n"/>
      <c r="B1619" s="4" t="n"/>
      <c r="C1619" s="4" t="n"/>
      <c r="D1619" s="18" t="n"/>
      <c r="E1619" s="4" t="n"/>
      <c r="F1619" s="4" t="n"/>
      <c r="G1619" s="4" t="n"/>
      <c r="H1619" s="4" t="n"/>
      <c r="I1619" s="12" t="n"/>
    </row>
    <row r="1620" customFormat="1" s="36">
      <c r="A1620" s="4" t="n"/>
      <c r="B1620" s="4" t="n"/>
      <c r="C1620" s="4" t="n"/>
      <c r="D1620" s="18" t="n"/>
      <c r="E1620" s="4" t="n"/>
      <c r="F1620" s="4" t="n"/>
      <c r="G1620" s="4" t="n"/>
      <c r="H1620" s="4" t="n"/>
      <c r="I1620" s="12" t="n"/>
    </row>
    <row r="1621" customFormat="1" s="36">
      <c r="A1621" s="4" t="n"/>
      <c r="B1621" s="4" t="n"/>
      <c r="C1621" s="4" t="n"/>
      <c r="D1621" s="18" t="n"/>
      <c r="E1621" s="4" t="n"/>
      <c r="F1621" s="4" t="n"/>
      <c r="G1621" s="4" t="n"/>
      <c r="H1621" s="4" t="n"/>
      <c r="I1621" s="12" t="n"/>
    </row>
    <row r="1622" customFormat="1" s="36">
      <c r="A1622" s="4" t="n"/>
      <c r="B1622" s="4" t="n"/>
      <c r="C1622" s="4" t="n"/>
      <c r="D1622" s="18" t="n"/>
      <c r="E1622" s="4" t="n"/>
      <c r="F1622" s="4" t="n"/>
      <c r="G1622" s="4" t="n"/>
      <c r="H1622" s="4" t="n"/>
      <c r="I1622" s="12" t="n"/>
    </row>
    <row r="1623" customFormat="1" s="36">
      <c r="A1623" s="4" t="n"/>
      <c r="B1623" s="4" t="n"/>
      <c r="C1623" s="4" t="n"/>
      <c r="D1623" s="18" t="n"/>
      <c r="E1623" s="4" t="n"/>
      <c r="F1623" s="4" t="n"/>
      <c r="G1623" s="4" t="n"/>
      <c r="H1623" s="4" t="n"/>
      <c r="I1623" s="12" t="n"/>
    </row>
    <row r="1624" customFormat="1" s="36">
      <c r="A1624" s="4" t="n"/>
      <c r="B1624" s="4" t="n"/>
      <c r="C1624" s="4" t="n"/>
      <c r="D1624" s="18" t="n"/>
      <c r="E1624" s="4" t="n"/>
      <c r="F1624" s="4" t="n"/>
      <c r="G1624" s="4" t="n"/>
      <c r="H1624" s="4" t="n"/>
      <c r="I1624" s="12" t="n"/>
    </row>
    <row r="1625" customFormat="1" s="36">
      <c r="A1625" s="4" t="n"/>
      <c r="B1625" s="4" t="n"/>
      <c r="C1625" s="4" t="n"/>
      <c r="D1625" s="18" t="n"/>
      <c r="E1625" s="4" t="n"/>
      <c r="F1625" s="4" t="n"/>
      <c r="G1625" s="4" t="n"/>
      <c r="H1625" s="4" t="n"/>
      <c r="I1625" s="12" t="n"/>
    </row>
    <row r="1626" customFormat="1" s="36">
      <c r="A1626" s="4" t="n"/>
      <c r="B1626" s="4" t="n"/>
      <c r="C1626" s="4" t="n"/>
      <c r="D1626" s="18" t="n"/>
      <c r="E1626" s="4" t="n"/>
      <c r="F1626" s="4" t="n"/>
      <c r="G1626" s="4" t="n"/>
      <c r="H1626" s="4" t="n"/>
      <c r="I1626" s="12" t="n"/>
    </row>
    <row r="1627" customFormat="1" s="36">
      <c r="A1627" s="4" t="n"/>
      <c r="B1627" s="4" t="n"/>
      <c r="C1627" s="4" t="n"/>
      <c r="D1627" s="18" t="n"/>
      <c r="E1627" s="4" t="n"/>
      <c r="F1627" s="4" t="n"/>
      <c r="G1627" s="4" t="n"/>
      <c r="H1627" s="4" t="n"/>
      <c r="I1627" s="12" t="n"/>
    </row>
    <row r="1628" customFormat="1" s="36">
      <c r="A1628" s="4" t="n"/>
      <c r="B1628" s="4" t="n"/>
      <c r="C1628" s="4" t="n"/>
      <c r="D1628" s="18" t="n"/>
      <c r="E1628" s="4" t="n"/>
      <c r="F1628" s="4" t="n"/>
      <c r="G1628" s="4" t="n"/>
      <c r="H1628" s="4" t="n"/>
      <c r="I1628" s="12" t="n"/>
    </row>
    <row r="1629" customFormat="1" s="36">
      <c r="A1629" s="4" t="n"/>
      <c r="B1629" s="4" t="n"/>
      <c r="C1629" s="4" t="n"/>
      <c r="D1629" s="18" t="n"/>
      <c r="E1629" s="4" t="n"/>
      <c r="F1629" s="4" t="n"/>
      <c r="G1629" s="4" t="n"/>
      <c r="H1629" s="4" t="n"/>
      <c r="I1629" s="12" t="n"/>
    </row>
    <row r="1630" customFormat="1" s="36">
      <c r="A1630" s="4" t="n"/>
      <c r="B1630" s="4" t="n"/>
      <c r="C1630" s="4" t="n"/>
      <c r="D1630" s="18" t="n"/>
      <c r="E1630" s="4" t="n"/>
      <c r="F1630" s="4" t="n"/>
      <c r="G1630" s="4" t="n"/>
      <c r="H1630" s="4" t="n"/>
      <c r="I1630" s="12" t="n"/>
    </row>
    <row r="1631" customFormat="1" s="36">
      <c r="A1631" s="4" t="n"/>
      <c r="B1631" s="4" t="n"/>
      <c r="C1631" s="4" t="n"/>
      <c r="D1631" s="18" t="n"/>
      <c r="E1631" s="4" t="n"/>
      <c r="F1631" s="4" t="n"/>
      <c r="G1631" s="4" t="n"/>
      <c r="H1631" s="4" t="n"/>
      <c r="I1631" s="12" t="n"/>
    </row>
    <row r="1632" customFormat="1" s="36">
      <c r="A1632" s="4" t="n"/>
      <c r="B1632" s="4" t="n"/>
      <c r="C1632" s="4" t="n"/>
      <c r="D1632" s="18" t="n"/>
      <c r="E1632" s="4" t="n"/>
      <c r="F1632" s="4" t="n"/>
      <c r="G1632" s="4" t="n"/>
      <c r="H1632" s="4" t="n"/>
      <c r="I1632" s="12" t="n"/>
    </row>
    <row r="1633" customFormat="1" s="36">
      <c r="A1633" s="4" t="n"/>
      <c r="B1633" s="4" t="n"/>
      <c r="C1633" s="4" t="n"/>
      <c r="D1633" s="18" t="n"/>
      <c r="E1633" s="4" t="n"/>
      <c r="F1633" s="4" t="n"/>
      <c r="G1633" s="4" t="n"/>
      <c r="H1633" s="4" t="n"/>
      <c r="I1633" s="12" t="n"/>
    </row>
    <row r="1634" customFormat="1" s="36">
      <c r="A1634" s="4" t="n"/>
      <c r="B1634" s="4" t="n"/>
      <c r="C1634" s="4" t="n"/>
      <c r="D1634" s="18" t="n"/>
      <c r="E1634" s="4" t="n"/>
      <c r="F1634" s="4" t="n"/>
      <c r="G1634" s="4" t="n"/>
      <c r="H1634" s="4" t="n"/>
      <c r="I1634" s="12" t="n"/>
    </row>
    <row r="1635" customFormat="1" s="36">
      <c r="A1635" s="4" t="n"/>
      <c r="B1635" s="4" t="n"/>
      <c r="C1635" s="4" t="n"/>
      <c r="D1635" s="18" t="n"/>
      <c r="E1635" s="4" t="n"/>
      <c r="F1635" s="4" t="n"/>
      <c r="G1635" s="4" t="n"/>
      <c r="H1635" s="4" t="n"/>
      <c r="I1635" s="12" t="n"/>
    </row>
    <row r="1636" customFormat="1" s="36">
      <c r="A1636" s="4" t="n"/>
      <c r="B1636" s="4" t="n"/>
      <c r="C1636" s="4" t="n"/>
      <c r="D1636" s="18" t="n"/>
      <c r="E1636" s="4" t="n"/>
      <c r="F1636" s="4" t="n"/>
      <c r="G1636" s="4" t="n"/>
      <c r="H1636" s="4" t="n"/>
      <c r="I1636" s="12" t="n"/>
    </row>
    <row r="1637" customFormat="1" s="36">
      <c r="A1637" s="4" t="n"/>
      <c r="B1637" s="4" t="n"/>
      <c r="C1637" s="4" t="n"/>
      <c r="D1637" s="18" t="n"/>
      <c r="E1637" s="4" t="n"/>
      <c r="F1637" s="4" t="n"/>
      <c r="G1637" s="4" t="n"/>
      <c r="H1637" s="4" t="n"/>
      <c r="I1637" s="12" t="n"/>
    </row>
    <row r="1638" customFormat="1" s="36">
      <c r="A1638" s="4" t="n"/>
      <c r="B1638" s="4" t="n"/>
      <c r="C1638" s="4" t="n"/>
      <c r="D1638" s="18" t="n"/>
      <c r="E1638" s="4" t="n"/>
      <c r="F1638" s="4" t="n"/>
      <c r="G1638" s="4" t="n"/>
      <c r="H1638" s="4" t="n"/>
      <c r="I1638" s="12" t="n"/>
    </row>
    <row r="1639" customFormat="1" s="36">
      <c r="A1639" s="4" t="n"/>
      <c r="B1639" s="4" t="n"/>
      <c r="C1639" s="4" t="n"/>
      <c r="D1639" s="18" t="n"/>
      <c r="E1639" s="4" t="n"/>
      <c r="F1639" s="4" t="n"/>
      <c r="G1639" s="4" t="n"/>
      <c r="H1639" s="4" t="n"/>
      <c r="I1639" s="12" t="n"/>
    </row>
    <row r="1640" customFormat="1" s="36">
      <c r="A1640" s="4" t="n"/>
      <c r="B1640" s="4" t="n"/>
      <c r="C1640" s="4" t="n"/>
      <c r="D1640" s="18" t="n"/>
      <c r="E1640" s="4" t="n"/>
      <c r="F1640" s="4" t="n"/>
      <c r="G1640" s="4" t="n"/>
      <c r="H1640" s="4" t="n"/>
      <c r="I1640" s="12" t="n"/>
    </row>
    <row r="1641" customFormat="1" s="36">
      <c r="A1641" s="4" t="n"/>
      <c r="B1641" s="4" t="n"/>
      <c r="C1641" s="4" t="n"/>
      <c r="D1641" s="18" t="n"/>
      <c r="E1641" s="4" t="n"/>
      <c r="F1641" s="4" t="n"/>
      <c r="G1641" s="4" t="n"/>
      <c r="H1641" s="4" t="n"/>
      <c r="I1641" s="12" t="n"/>
    </row>
    <row r="1642" customFormat="1" s="36">
      <c r="A1642" s="4" t="n"/>
      <c r="B1642" s="4" t="n"/>
      <c r="C1642" s="4" t="n"/>
      <c r="D1642" s="18" t="n"/>
      <c r="E1642" s="4" t="n"/>
      <c r="F1642" s="4" t="n"/>
      <c r="G1642" s="4" t="n"/>
      <c r="H1642" s="4" t="n"/>
      <c r="I1642" s="12" t="n"/>
    </row>
    <row r="1643" customFormat="1" s="36">
      <c r="A1643" s="4" t="n"/>
      <c r="B1643" s="4" t="n"/>
      <c r="C1643" s="4" t="n"/>
      <c r="D1643" s="18" t="n"/>
      <c r="E1643" s="4" t="n"/>
      <c r="F1643" s="4" t="n"/>
      <c r="G1643" s="4" t="n"/>
      <c r="H1643" s="4" t="n"/>
      <c r="I1643" s="12" t="n"/>
    </row>
    <row r="1644" customFormat="1" s="36">
      <c r="A1644" s="4" t="n"/>
      <c r="B1644" s="4" t="n"/>
      <c r="C1644" s="4" t="n"/>
      <c r="D1644" s="18" t="n"/>
      <c r="E1644" s="4" t="n"/>
      <c r="F1644" s="4" t="n"/>
      <c r="G1644" s="4" t="n"/>
      <c r="H1644" s="4" t="n"/>
      <c r="I1644" s="12" t="n"/>
    </row>
    <row r="1645" customFormat="1" s="36">
      <c r="A1645" s="4" t="n"/>
      <c r="B1645" s="4" t="n"/>
      <c r="C1645" s="4" t="n"/>
      <c r="D1645" s="18" t="n"/>
      <c r="E1645" s="4" t="n"/>
      <c r="F1645" s="4" t="n"/>
      <c r="G1645" s="4" t="n"/>
      <c r="H1645" s="4" t="n"/>
      <c r="I1645" s="12" t="n"/>
    </row>
    <row r="1646" customFormat="1" s="36">
      <c r="A1646" s="4" t="n"/>
      <c r="B1646" s="4" t="n"/>
      <c r="C1646" s="4" t="n"/>
      <c r="D1646" s="18" t="n"/>
      <c r="E1646" s="4" t="n"/>
      <c r="F1646" s="4" t="n"/>
      <c r="G1646" s="4" t="n"/>
      <c r="H1646" s="4" t="n"/>
      <c r="I1646" s="12" t="n"/>
    </row>
    <row r="1647" customFormat="1" s="36">
      <c r="A1647" s="4" t="n"/>
      <c r="B1647" s="4" t="n"/>
      <c r="C1647" s="4" t="n"/>
      <c r="D1647" s="18" t="n"/>
      <c r="E1647" s="4" t="n"/>
      <c r="F1647" s="4" t="n"/>
      <c r="G1647" s="4" t="n"/>
      <c r="H1647" s="4" t="n"/>
      <c r="I1647" s="12" t="n"/>
    </row>
    <row r="1648" customFormat="1" s="36">
      <c r="A1648" s="4" t="n"/>
      <c r="B1648" s="4" t="n"/>
      <c r="C1648" s="4" t="n"/>
      <c r="D1648" s="18" t="n"/>
      <c r="E1648" s="4" t="n"/>
      <c r="F1648" s="4" t="n"/>
      <c r="G1648" s="4" t="n"/>
      <c r="H1648" s="4" t="n"/>
      <c r="I1648" s="12" t="n"/>
    </row>
    <row r="1649" customFormat="1" s="36">
      <c r="A1649" s="4" t="n"/>
      <c r="B1649" s="4" t="n"/>
      <c r="C1649" s="4" t="n"/>
      <c r="D1649" s="18" t="n"/>
      <c r="E1649" s="4" t="n"/>
      <c r="F1649" s="4" t="n"/>
      <c r="G1649" s="4" t="n"/>
      <c r="H1649" s="4" t="n"/>
      <c r="I1649" s="12" t="n"/>
    </row>
    <row r="1650" customFormat="1" s="36">
      <c r="A1650" s="4" t="n"/>
      <c r="B1650" s="4" t="n"/>
      <c r="C1650" s="4" t="n"/>
      <c r="D1650" s="18" t="n"/>
      <c r="E1650" s="4" t="n"/>
      <c r="F1650" s="4" t="n"/>
      <c r="G1650" s="4" t="n"/>
      <c r="H1650" s="4" t="n"/>
      <c r="I1650" s="12" t="n"/>
    </row>
    <row r="1651" customFormat="1" s="36">
      <c r="A1651" s="4" t="n"/>
      <c r="B1651" s="4" t="n"/>
      <c r="C1651" s="4" t="n"/>
      <c r="D1651" s="18" t="n"/>
      <c r="E1651" s="4" t="n"/>
      <c r="F1651" s="4" t="n"/>
      <c r="G1651" s="4" t="n"/>
      <c r="H1651" s="4" t="n"/>
      <c r="I1651" s="12" t="n"/>
    </row>
    <row r="1652" customFormat="1" s="36">
      <c r="A1652" s="4" t="n"/>
      <c r="B1652" s="4" t="n"/>
      <c r="C1652" s="4" t="n"/>
      <c r="D1652" s="18" t="n"/>
      <c r="E1652" s="4" t="n"/>
      <c r="F1652" s="4" t="n"/>
      <c r="G1652" s="4" t="n"/>
      <c r="H1652" s="4" t="n"/>
      <c r="I1652" s="12" t="n"/>
    </row>
    <row r="1653" customFormat="1" s="36">
      <c r="A1653" s="4" t="n"/>
      <c r="B1653" s="4" t="n"/>
      <c r="C1653" s="4" t="n"/>
      <c r="D1653" s="18" t="n"/>
      <c r="E1653" s="4" t="n"/>
      <c r="F1653" s="4" t="n"/>
      <c r="G1653" s="4" t="n"/>
      <c r="H1653" s="4" t="n"/>
      <c r="I1653" s="12" t="n"/>
    </row>
    <row r="1654" customFormat="1" s="36">
      <c r="A1654" s="4" t="n"/>
      <c r="B1654" s="4" t="n"/>
      <c r="C1654" s="4" t="n"/>
      <c r="D1654" s="18" t="n"/>
      <c r="E1654" s="4" t="n"/>
      <c r="F1654" s="4" t="n"/>
      <c r="G1654" s="4" t="n"/>
      <c r="H1654" s="4" t="n"/>
      <c r="I1654" s="12" t="n"/>
    </row>
    <row r="1655" customFormat="1" s="36">
      <c r="A1655" s="4" t="n"/>
      <c r="B1655" s="4" t="n"/>
      <c r="C1655" s="4" t="n"/>
      <c r="D1655" s="18" t="n"/>
      <c r="E1655" s="4" t="n"/>
      <c r="F1655" s="4" t="n"/>
      <c r="G1655" s="4" t="n"/>
      <c r="H1655" s="4" t="n"/>
      <c r="I1655" s="12" t="n"/>
    </row>
    <row r="1656" customFormat="1" s="36">
      <c r="A1656" s="4" t="n"/>
      <c r="B1656" s="4" t="n"/>
      <c r="C1656" s="4" t="n"/>
      <c r="D1656" s="18" t="n"/>
      <c r="E1656" s="4" t="n"/>
      <c r="F1656" s="4" t="n"/>
      <c r="G1656" s="4" t="n"/>
      <c r="H1656" s="4" t="n"/>
      <c r="I1656" s="12" t="n"/>
    </row>
    <row r="1657" customFormat="1" s="36">
      <c r="A1657" s="4" t="n"/>
      <c r="B1657" s="4" t="n"/>
      <c r="C1657" s="4" t="n"/>
      <c r="D1657" s="18" t="n"/>
      <c r="E1657" s="4" t="n"/>
      <c r="F1657" s="4" t="n"/>
      <c r="G1657" s="4" t="n"/>
      <c r="H1657" s="4" t="n"/>
      <c r="I1657" s="12" t="n"/>
    </row>
    <row r="1658" customFormat="1" s="36">
      <c r="A1658" s="4" t="n"/>
      <c r="B1658" s="4" t="n"/>
      <c r="C1658" s="4" t="n"/>
      <c r="D1658" s="18" t="n"/>
      <c r="E1658" s="4" t="n"/>
      <c r="F1658" s="4" t="n"/>
      <c r="G1658" s="4" t="n"/>
      <c r="H1658" s="4" t="n"/>
      <c r="I1658" s="12" t="n"/>
    </row>
    <row r="1659" customFormat="1" s="36">
      <c r="A1659" s="4" t="n"/>
      <c r="B1659" s="4" t="n"/>
      <c r="C1659" s="4" t="n"/>
      <c r="D1659" s="18" t="n"/>
      <c r="E1659" s="4" t="n"/>
      <c r="F1659" s="4" t="n"/>
      <c r="G1659" s="4" t="n"/>
      <c r="H1659" s="4" t="n"/>
      <c r="I1659" s="12" t="n"/>
    </row>
    <row r="1660" customFormat="1" s="36">
      <c r="A1660" s="4" t="n"/>
      <c r="B1660" s="4" t="n"/>
      <c r="C1660" s="4" t="n"/>
      <c r="D1660" s="18" t="n"/>
      <c r="E1660" s="4" t="n"/>
      <c r="F1660" s="4" t="n"/>
      <c r="G1660" s="4" t="n"/>
      <c r="H1660" s="4" t="n"/>
      <c r="I1660" s="12" t="n"/>
    </row>
    <row r="1661" customFormat="1" s="36">
      <c r="A1661" s="4" t="n"/>
      <c r="B1661" s="4" t="n"/>
      <c r="C1661" s="4" t="n"/>
      <c r="D1661" s="18" t="n"/>
      <c r="E1661" s="4" t="n"/>
      <c r="F1661" s="4" t="n"/>
      <c r="G1661" s="4" t="n"/>
      <c r="H1661" s="4" t="n"/>
      <c r="I1661" s="12" t="n"/>
    </row>
    <row r="1662" customFormat="1" s="36">
      <c r="A1662" s="4" t="n"/>
      <c r="B1662" s="4" t="n"/>
      <c r="C1662" s="4" t="n"/>
      <c r="D1662" s="18" t="n"/>
      <c r="E1662" s="4" t="n"/>
      <c r="F1662" s="4" t="n"/>
      <c r="G1662" s="4" t="n"/>
      <c r="H1662" s="4" t="n"/>
      <c r="I1662" s="12" t="n"/>
    </row>
    <row r="1663" customFormat="1" s="36">
      <c r="A1663" s="4" t="n"/>
      <c r="B1663" s="4" t="n"/>
      <c r="C1663" s="4" t="n"/>
      <c r="D1663" s="18" t="n"/>
      <c r="E1663" s="4" t="n"/>
      <c r="F1663" s="4" t="n"/>
      <c r="G1663" s="4" t="n"/>
      <c r="H1663" s="4" t="n"/>
      <c r="I1663" s="12" t="n"/>
    </row>
    <row r="1664" customFormat="1" s="36">
      <c r="A1664" s="4" t="n"/>
      <c r="B1664" s="4" t="n"/>
      <c r="C1664" s="4" t="n"/>
      <c r="D1664" s="18" t="n"/>
      <c r="E1664" s="4" t="n"/>
      <c r="F1664" s="4" t="n"/>
      <c r="G1664" s="4" t="n"/>
      <c r="H1664" s="4" t="n"/>
      <c r="I1664" s="12" t="n"/>
    </row>
    <row r="1665" customFormat="1" s="36">
      <c r="A1665" s="4" t="n"/>
      <c r="B1665" s="4" t="n"/>
      <c r="C1665" s="4" t="n"/>
      <c r="D1665" s="18" t="n"/>
      <c r="E1665" s="4" t="n"/>
      <c r="F1665" s="4" t="n"/>
      <c r="G1665" s="4" t="n"/>
      <c r="H1665" s="4" t="n"/>
      <c r="I1665" s="12" t="n"/>
    </row>
    <row r="1666" customFormat="1" s="36">
      <c r="A1666" s="4" t="n"/>
      <c r="B1666" s="4" t="n"/>
      <c r="C1666" s="4" t="n"/>
      <c r="D1666" s="18" t="n"/>
      <c r="E1666" s="4" t="n"/>
      <c r="F1666" s="4" t="n"/>
      <c r="G1666" s="4" t="n"/>
      <c r="H1666" s="4" t="n"/>
      <c r="I1666" s="12" t="n"/>
    </row>
    <row r="1667" customFormat="1" s="36">
      <c r="A1667" s="4" t="n"/>
      <c r="B1667" s="4" t="n"/>
      <c r="C1667" s="4" t="n"/>
      <c r="D1667" s="18" t="n"/>
      <c r="E1667" s="4" t="n"/>
      <c r="F1667" s="4" t="n"/>
      <c r="G1667" s="4" t="n"/>
      <c r="H1667" s="4" t="n"/>
      <c r="I1667" s="12" t="n"/>
    </row>
    <row r="1668" customFormat="1" s="36">
      <c r="A1668" s="4" t="n"/>
      <c r="B1668" s="4" t="n"/>
      <c r="C1668" s="4" t="n"/>
      <c r="D1668" s="18" t="n"/>
      <c r="E1668" s="4" t="n"/>
      <c r="F1668" s="4" t="n"/>
      <c r="G1668" s="4" t="n"/>
      <c r="H1668" s="4" t="n"/>
      <c r="I1668" s="12" t="n"/>
    </row>
    <row r="1669" customFormat="1" s="36">
      <c r="A1669" s="4" t="n"/>
      <c r="B1669" s="4" t="n"/>
      <c r="C1669" s="4" t="n"/>
      <c r="D1669" s="18" t="n"/>
      <c r="E1669" s="4" t="n"/>
      <c r="F1669" s="4" t="n"/>
      <c r="G1669" s="4" t="n"/>
      <c r="H1669" s="4" t="n"/>
      <c r="I1669" s="12" t="n"/>
    </row>
    <row r="1670" customFormat="1" s="36">
      <c r="A1670" s="4" t="n"/>
      <c r="B1670" s="4" t="n"/>
      <c r="C1670" s="4" t="n"/>
      <c r="D1670" s="18" t="n"/>
      <c r="E1670" s="4" t="n"/>
      <c r="F1670" s="4" t="n"/>
      <c r="G1670" s="4" t="n"/>
      <c r="H1670" s="4" t="n"/>
      <c r="I1670" s="12" t="n"/>
    </row>
    <row r="1671" customFormat="1" s="36">
      <c r="A1671" s="4" t="n"/>
      <c r="B1671" s="4" t="n"/>
      <c r="C1671" s="4" t="n"/>
      <c r="D1671" s="18" t="n"/>
      <c r="E1671" s="4" t="n"/>
      <c r="F1671" s="4" t="n"/>
      <c r="G1671" s="4" t="n"/>
      <c r="H1671" s="4" t="n"/>
      <c r="I1671" s="12" t="n"/>
    </row>
    <row r="1672" customFormat="1" s="36">
      <c r="A1672" s="4" t="n"/>
      <c r="B1672" s="4" t="n"/>
      <c r="C1672" s="4" t="n"/>
      <c r="D1672" s="18" t="n"/>
      <c r="E1672" s="4" t="n"/>
      <c r="F1672" s="4" t="n"/>
      <c r="G1672" s="4" t="n"/>
      <c r="H1672" s="4" t="n"/>
      <c r="I1672" s="12" t="n"/>
    </row>
    <row r="1673" customFormat="1" s="36">
      <c r="A1673" s="4" t="n"/>
      <c r="B1673" s="4" t="n"/>
      <c r="C1673" s="4" t="n"/>
      <c r="D1673" s="18" t="n"/>
      <c r="E1673" s="4" t="n"/>
      <c r="F1673" s="4" t="n"/>
      <c r="G1673" s="4" t="n"/>
      <c r="H1673" s="4" t="n"/>
      <c r="I1673" s="12" t="n"/>
    </row>
    <row r="1674" customFormat="1" s="36">
      <c r="A1674" s="4" t="n"/>
      <c r="B1674" s="4" t="n"/>
      <c r="C1674" s="4" t="n"/>
      <c r="D1674" s="18" t="n"/>
      <c r="E1674" s="4" t="n"/>
      <c r="F1674" s="4" t="n"/>
      <c r="G1674" s="4" t="n"/>
      <c r="H1674" s="4" t="n"/>
      <c r="I1674" s="12" t="n"/>
    </row>
    <row r="1675" customFormat="1" s="36">
      <c r="A1675" s="4" t="n"/>
      <c r="B1675" s="4" t="n"/>
      <c r="C1675" s="4" t="n"/>
      <c r="D1675" s="18" t="n"/>
      <c r="E1675" s="4" t="n"/>
      <c r="F1675" s="4" t="n"/>
      <c r="G1675" s="4" t="n"/>
      <c r="H1675" s="4" t="n"/>
      <c r="I1675" s="12" t="n"/>
    </row>
    <row r="1676" customFormat="1" s="36">
      <c r="A1676" s="4" t="n"/>
      <c r="B1676" s="4" t="n"/>
      <c r="C1676" s="4" t="n"/>
      <c r="D1676" s="18" t="n"/>
      <c r="E1676" s="4" t="n"/>
      <c r="F1676" s="4" t="n"/>
      <c r="G1676" s="4" t="n"/>
      <c r="H1676" s="4" t="n"/>
      <c r="I1676" s="12" t="n"/>
    </row>
    <row r="1677" customFormat="1" s="36">
      <c r="A1677" s="4" t="n"/>
      <c r="B1677" s="4" t="n"/>
      <c r="C1677" s="4" t="n"/>
      <c r="D1677" s="18" t="n"/>
      <c r="E1677" s="4" t="n"/>
      <c r="F1677" s="4" t="n"/>
      <c r="G1677" s="4" t="n"/>
      <c r="H1677" s="4" t="n"/>
      <c r="I1677" s="12" t="n"/>
    </row>
    <row r="1678" customFormat="1" s="36">
      <c r="A1678" s="4" t="n"/>
      <c r="B1678" s="4" t="n"/>
      <c r="C1678" s="4" t="n"/>
      <c r="D1678" s="18" t="n"/>
      <c r="E1678" s="4" t="n"/>
      <c r="F1678" s="4" t="n"/>
      <c r="G1678" s="4" t="n"/>
      <c r="H1678" s="4" t="n"/>
      <c r="I1678" s="12" t="n"/>
    </row>
    <row r="1679" customFormat="1" s="36">
      <c r="A1679" s="4" t="n"/>
      <c r="B1679" s="4" t="n"/>
      <c r="C1679" s="4" t="n"/>
      <c r="D1679" s="18" t="n"/>
      <c r="E1679" s="4" t="n"/>
      <c r="F1679" s="4" t="n"/>
      <c r="G1679" s="4" t="n"/>
      <c r="H1679" s="4" t="n"/>
      <c r="I1679" s="12" t="n"/>
    </row>
    <row r="1680" customFormat="1" s="36">
      <c r="A1680" s="4" t="n"/>
      <c r="B1680" s="4" t="n"/>
      <c r="C1680" s="4" t="n"/>
      <c r="D1680" s="18" t="n"/>
      <c r="E1680" s="4" t="n"/>
      <c r="F1680" s="4" t="n"/>
      <c r="G1680" s="4" t="n"/>
      <c r="H1680" s="4" t="n"/>
      <c r="I1680" s="12" t="n"/>
    </row>
    <row r="1681" customFormat="1" s="36">
      <c r="A1681" s="4" t="n"/>
      <c r="B1681" s="4" t="n"/>
      <c r="C1681" s="4" t="n"/>
      <c r="D1681" s="18" t="n"/>
      <c r="E1681" s="4" t="n"/>
      <c r="F1681" s="4" t="n"/>
      <c r="G1681" s="4" t="n"/>
      <c r="H1681" s="4" t="n"/>
      <c r="I1681" s="12" t="n"/>
    </row>
    <row r="1682" customFormat="1" s="36">
      <c r="A1682" s="4" t="n"/>
      <c r="B1682" s="4" t="n"/>
      <c r="C1682" s="4" t="n"/>
      <c r="D1682" s="18" t="n"/>
      <c r="E1682" s="4" t="n"/>
      <c r="F1682" s="4" t="n"/>
      <c r="G1682" s="4" t="n"/>
      <c r="H1682" s="4" t="n"/>
      <c r="I1682" s="12" t="n"/>
    </row>
    <row r="1683" customFormat="1" s="36">
      <c r="A1683" s="4" t="n"/>
      <c r="B1683" s="4" t="n"/>
      <c r="C1683" s="4" t="n"/>
      <c r="D1683" s="18" t="n"/>
      <c r="E1683" s="4" t="n"/>
      <c r="F1683" s="4" t="n"/>
      <c r="G1683" s="4" t="n"/>
      <c r="H1683" s="4" t="n"/>
      <c r="I1683" s="12" t="n"/>
    </row>
    <row r="1684" customFormat="1" s="36">
      <c r="A1684" s="4" t="n"/>
      <c r="B1684" s="4" t="n"/>
      <c r="C1684" s="4" t="n"/>
      <c r="D1684" s="18" t="n"/>
      <c r="E1684" s="4" t="n"/>
      <c r="F1684" s="4" t="n"/>
      <c r="G1684" s="4" t="n"/>
      <c r="H1684" s="4" t="n"/>
      <c r="I1684" s="12" t="n"/>
    </row>
    <row r="1685" customFormat="1" s="36">
      <c r="A1685" s="4" t="n"/>
      <c r="B1685" s="4" t="n"/>
      <c r="C1685" s="4" t="n"/>
      <c r="D1685" s="18" t="n"/>
      <c r="E1685" s="4" t="n"/>
      <c r="F1685" s="4" t="n"/>
      <c r="G1685" s="4" t="n"/>
      <c r="H1685" s="4" t="n"/>
      <c r="I1685" s="12" t="n"/>
    </row>
    <row r="1686" customFormat="1" s="36">
      <c r="A1686" s="4" t="n"/>
      <c r="B1686" s="4" t="n"/>
      <c r="C1686" s="4" t="n"/>
      <c r="D1686" s="18" t="n"/>
      <c r="E1686" s="4" t="n"/>
      <c r="F1686" s="4" t="n"/>
      <c r="G1686" s="4" t="n"/>
      <c r="H1686" s="4" t="n"/>
      <c r="I1686" s="12" t="n"/>
    </row>
    <row r="1687" customFormat="1" s="36">
      <c r="A1687" s="4" t="n"/>
      <c r="B1687" s="4" t="n"/>
      <c r="C1687" s="4" t="n"/>
      <c r="D1687" s="18" t="n"/>
      <c r="E1687" s="4" t="n"/>
      <c r="F1687" s="4" t="n"/>
      <c r="G1687" s="4" t="n"/>
      <c r="H1687" s="4" t="n"/>
      <c r="I1687" s="12" t="n"/>
    </row>
    <row r="1688" customFormat="1" s="36">
      <c r="A1688" s="4" t="n"/>
      <c r="B1688" s="4" t="n"/>
      <c r="C1688" s="4" t="n"/>
      <c r="D1688" s="18" t="n"/>
      <c r="E1688" s="4" t="n"/>
      <c r="F1688" s="4" t="n"/>
      <c r="G1688" s="4" t="n"/>
      <c r="H1688" s="4" t="n"/>
      <c r="I1688" s="12" t="n"/>
    </row>
    <row r="1689" customFormat="1" s="36">
      <c r="A1689" s="4" t="n"/>
      <c r="B1689" s="4" t="n"/>
      <c r="C1689" s="4" t="n"/>
      <c r="D1689" s="18" t="n"/>
      <c r="E1689" s="4" t="n"/>
      <c r="F1689" s="4" t="n"/>
      <c r="G1689" s="4" t="n"/>
      <c r="H1689" s="4" t="n"/>
      <c r="I1689" s="12" t="n"/>
    </row>
    <row r="1690" customFormat="1" s="36">
      <c r="A1690" s="4" t="n"/>
      <c r="B1690" s="4" t="n"/>
      <c r="C1690" s="4" t="n"/>
      <c r="D1690" s="18" t="n"/>
      <c r="E1690" s="4" t="n"/>
      <c r="F1690" s="4" t="n"/>
      <c r="G1690" s="4" t="n"/>
      <c r="H1690" s="4" t="n"/>
      <c r="I1690" s="12" t="n"/>
    </row>
    <row r="1691" customFormat="1" s="36">
      <c r="A1691" s="4" t="n"/>
      <c r="B1691" s="4" t="n"/>
      <c r="C1691" s="4" t="n"/>
      <c r="D1691" s="18" t="n"/>
      <c r="E1691" s="4" t="n"/>
      <c r="F1691" s="4" t="n"/>
      <c r="G1691" s="4" t="n"/>
      <c r="H1691" s="4" t="n"/>
      <c r="I1691" s="12" t="n"/>
    </row>
    <row r="1692" customFormat="1" s="36">
      <c r="A1692" s="4" t="n"/>
      <c r="B1692" s="4" t="n"/>
      <c r="C1692" s="4" t="n"/>
      <c r="D1692" s="18" t="n"/>
      <c r="E1692" s="4" t="n"/>
      <c r="F1692" s="4" t="n"/>
      <c r="G1692" s="4" t="n"/>
      <c r="H1692" s="4" t="n"/>
      <c r="I1692" s="12" t="n"/>
    </row>
    <row r="1693" customFormat="1" s="36">
      <c r="A1693" s="4" t="n"/>
      <c r="B1693" s="4" t="n"/>
      <c r="C1693" s="4" t="n"/>
      <c r="D1693" s="18" t="n"/>
      <c r="E1693" s="4" t="n"/>
      <c r="F1693" s="4" t="n"/>
      <c r="G1693" s="4" t="n"/>
      <c r="H1693" s="4" t="n"/>
      <c r="I1693" s="12" t="n"/>
    </row>
    <row r="1694" customFormat="1" s="36">
      <c r="A1694" s="4" t="n"/>
      <c r="B1694" s="4" t="n"/>
      <c r="C1694" s="4" t="n"/>
      <c r="D1694" s="18" t="n"/>
      <c r="E1694" s="4" t="n"/>
      <c r="F1694" s="4" t="n"/>
      <c r="G1694" s="4" t="n"/>
      <c r="H1694" s="4" t="n"/>
      <c r="I1694" s="12" t="n"/>
    </row>
    <row r="1695" customFormat="1" s="36">
      <c r="A1695" s="4" t="n"/>
      <c r="B1695" s="4" t="n"/>
      <c r="C1695" s="4" t="n"/>
      <c r="D1695" s="18" t="n"/>
      <c r="E1695" s="4" t="n"/>
      <c r="F1695" s="4" t="n"/>
      <c r="G1695" s="4" t="n"/>
      <c r="H1695" s="4" t="n"/>
      <c r="I1695" s="12" t="n"/>
    </row>
    <row r="1696" customFormat="1" s="36">
      <c r="A1696" s="4" t="n"/>
      <c r="B1696" s="4" t="n"/>
      <c r="C1696" s="4" t="n"/>
      <c r="D1696" s="18" t="n"/>
      <c r="E1696" s="4" t="n"/>
      <c r="F1696" s="4" t="n"/>
      <c r="G1696" s="4" t="n"/>
      <c r="H1696" s="4" t="n"/>
      <c r="I1696" s="12" t="n"/>
    </row>
    <row r="1697" customFormat="1" s="36">
      <c r="A1697" s="4" t="n"/>
      <c r="B1697" s="4" t="n"/>
      <c r="C1697" s="4" t="n"/>
      <c r="D1697" s="18" t="n"/>
      <c r="E1697" s="4" t="n"/>
      <c r="F1697" s="4" t="n"/>
      <c r="G1697" s="4" t="n"/>
      <c r="H1697" s="4" t="n"/>
      <c r="I1697" s="12" t="n"/>
    </row>
    <row r="1698" customFormat="1" s="36">
      <c r="A1698" s="4" t="n"/>
      <c r="B1698" s="4" t="n"/>
      <c r="C1698" s="4" t="n"/>
      <c r="D1698" s="18" t="n"/>
      <c r="E1698" s="4" t="n"/>
      <c r="F1698" s="4" t="n"/>
      <c r="G1698" s="4" t="n"/>
      <c r="H1698" s="4" t="n"/>
      <c r="I1698" s="12" t="n"/>
    </row>
    <row r="1699" customFormat="1" s="36">
      <c r="A1699" s="4" t="n"/>
      <c r="B1699" s="4" t="n"/>
      <c r="C1699" s="4" t="n"/>
      <c r="D1699" s="18" t="n"/>
      <c r="E1699" s="4" t="n"/>
      <c r="F1699" s="4" t="n"/>
      <c r="G1699" s="4" t="n"/>
      <c r="H1699" s="4" t="n"/>
      <c r="I1699" s="12" t="n"/>
    </row>
    <row r="1700" customFormat="1" s="36">
      <c r="A1700" s="4" t="n"/>
      <c r="B1700" s="4" t="n"/>
      <c r="C1700" s="4" t="n"/>
      <c r="D1700" s="18" t="n"/>
      <c r="E1700" s="4" t="n"/>
      <c r="F1700" s="4" t="n"/>
      <c r="G1700" s="4" t="n"/>
      <c r="H1700" s="4" t="n"/>
      <c r="I1700" s="12" t="n"/>
    </row>
    <row r="1701" customFormat="1" s="36">
      <c r="A1701" s="4" t="n"/>
      <c r="B1701" s="4" t="n"/>
      <c r="C1701" s="4" t="n"/>
      <c r="D1701" s="18" t="n"/>
      <c r="E1701" s="4" t="n"/>
      <c r="F1701" s="4" t="n"/>
      <c r="G1701" s="4" t="n"/>
      <c r="H1701" s="4" t="n"/>
      <c r="I1701" s="12" t="n"/>
    </row>
    <row r="1702" customFormat="1" s="36">
      <c r="A1702" s="4" t="n"/>
      <c r="B1702" s="4" t="n"/>
      <c r="C1702" s="4" t="n"/>
      <c r="D1702" s="18" t="n"/>
      <c r="E1702" s="4" t="n"/>
      <c r="F1702" s="4" t="n"/>
      <c r="G1702" s="4" t="n"/>
      <c r="H1702" s="4" t="n"/>
      <c r="I1702" s="12" t="n"/>
    </row>
    <row r="1703" customFormat="1" s="36">
      <c r="A1703" s="4" t="n"/>
      <c r="B1703" s="4" t="n"/>
      <c r="C1703" s="4" t="n"/>
      <c r="D1703" s="18" t="n"/>
      <c r="E1703" s="4" t="n"/>
      <c r="F1703" s="4" t="n"/>
      <c r="G1703" s="4" t="n"/>
      <c r="H1703" s="4" t="n"/>
      <c r="I1703" s="12" t="n"/>
    </row>
    <row r="1704" customFormat="1" s="36">
      <c r="A1704" s="4" t="n"/>
      <c r="B1704" s="4" t="n"/>
      <c r="C1704" s="4" t="n"/>
      <c r="D1704" s="18" t="n"/>
      <c r="E1704" s="4" t="n"/>
      <c r="F1704" s="4" t="n"/>
      <c r="G1704" s="4" t="n"/>
      <c r="H1704" s="4" t="n"/>
      <c r="I1704" s="12" t="n"/>
    </row>
    <row r="1705" customFormat="1" s="36">
      <c r="A1705" s="4" t="n"/>
      <c r="B1705" s="4" t="n"/>
      <c r="C1705" s="4" t="n"/>
      <c r="D1705" s="18" t="n"/>
      <c r="E1705" s="4" t="n"/>
      <c r="F1705" s="4" t="n"/>
      <c r="G1705" s="4" t="n"/>
      <c r="H1705" s="4" t="n"/>
      <c r="I1705" s="12" t="n"/>
    </row>
    <row r="1706" customFormat="1" s="36">
      <c r="A1706" s="4" t="n"/>
      <c r="B1706" s="4" t="n"/>
      <c r="C1706" s="4" t="n"/>
      <c r="D1706" s="18" t="n"/>
      <c r="E1706" s="4" t="n"/>
      <c r="F1706" s="4" t="n"/>
      <c r="G1706" s="4" t="n"/>
      <c r="H1706" s="4" t="n"/>
      <c r="I1706" s="12" t="n"/>
    </row>
    <row r="1707" customFormat="1" s="36">
      <c r="A1707" s="4" t="n"/>
      <c r="B1707" s="4" t="n"/>
      <c r="C1707" s="4" t="n"/>
      <c r="D1707" s="18" t="n"/>
      <c r="E1707" s="4" t="n"/>
      <c r="F1707" s="4" t="n"/>
      <c r="G1707" s="4" t="n"/>
      <c r="H1707" s="4" t="n"/>
      <c r="I1707" s="12" t="n"/>
    </row>
    <row r="1708" customFormat="1" s="36">
      <c r="A1708" s="4" t="n"/>
      <c r="B1708" s="4" t="n"/>
      <c r="C1708" s="4" t="n"/>
      <c r="D1708" s="18" t="n"/>
      <c r="E1708" s="4" t="n"/>
      <c r="F1708" s="4" t="n"/>
      <c r="G1708" s="4" t="n"/>
      <c r="H1708" s="4" t="n"/>
      <c r="I1708" s="12" t="n"/>
    </row>
    <row r="1709" customFormat="1" s="36">
      <c r="A1709" s="4" t="n"/>
      <c r="B1709" s="4" t="n"/>
      <c r="C1709" s="4" t="n"/>
      <c r="D1709" s="18" t="n"/>
      <c r="E1709" s="4" t="n"/>
      <c r="F1709" s="4" t="n"/>
      <c r="G1709" s="4" t="n"/>
      <c r="H1709" s="4" t="n"/>
      <c r="I1709" s="12" t="n"/>
    </row>
    <row r="1710" customFormat="1" s="36">
      <c r="A1710" s="4" t="n"/>
      <c r="B1710" s="4" t="n"/>
      <c r="C1710" s="4" t="n"/>
      <c r="D1710" s="18" t="n"/>
      <c r="E1710" s="4" t="n"/>
      <c r="F1710" s="4" t="n"/>
      <c r="G1710" s="4" t="n"/>
      <c r="H1710" s="4" t="n"/>
      <c r="I1710" s="12" t="n"/>
    </row>
    <row r="1711" customFormat="1" s="36">
      <c r="A1711" s="4" t="n"/>
      <c r="B1711" s="4" t="n"/>
      <c r="C1711" s="4" t="n"/>
      <c r="D1711" s="18" t="n"/>
      <c r="E1711" s="4" t="n"/>
      <c r="F1711" s="4" t="n"/>
      <c r="G1711" s="4" t="n"/>
      <c r="H1711" s="4" t="n"/>
      <c r="I1711" s="12" t="n"/>
    </row>
    <row r="1712" customFormat="1" s="36">
      <c r="A1712" s="4" t="n"/>
      <c r="B1712" s="4" t="n"/>
      <c r="C1712" s="4" t="n"/>
      <c r="D1712" s="18" t="n"/>
      <c r="E1712" s="4" t="n"/>
      <c r="F1712" s="4" t="n"/>
      <c r="G1712" s="4" t="n"/>
      <c r="H1712" s="4" t="n"/>
      <c r="I1712" s="12" t="n"/>
    </row>
    <row r="1713" customFormat="1" s="36">
      <c r="A1713" s="4" t="n"/>
      <c r="B1713" s="4" t="n"/>
      <c r="C1713" s="4" t="n"/>
      <c r="D1713" s="18" t="n"/>
      <c r="E1713" s="4" t="n"/>
      <c r="F1713" s="4" t="n"/>
      <c r="G1713" s="4" t="n"/>
      <c r="H1713" s="4" t="n"/>
      <c r="I1713" s="12" t="n"/>
    </row>
    <row r="1714" customFormat="1" s="36">
      <c r="A1714" s="4" t="n"/>
      <c r="B1714" s="4" t="n"/>
      <c r="C1714" s="4" t="n"/>
      <c r="D1714" s="18" t="n"/>
      <c r="E1714" s="4" t="n"/>
      <c r="F1714" s="4" t="n"/>
      <c r="G1714" s="4" t="n"/>
      <c r="H1714" s="4" t="n"/>
      <c r="I1714" s="12" t="n"/>
    </row>
    <row r="1715" customFormat="1" s="36">
      <c r="A1715" s="4" t="n"/>
      <c r="B1715" s="4" t="n"/>
      <c r="C1715" s="4" t="n"/>
      <c r="D1715" s="18" t="n"/>
      <c r="E1715" s="4" t="n"/>
      <c r="F1715" s="4" t="n"/>
      <c r="G1715" s="4" t="n"/>
      <c r="H1715" s="4" t="n"/>
      <c r="I1715" s="12" t="n"/>
    </row>
    <row r="1716" customFormat="1" s="36">
      <c r="A1716" s="4" t="n"/>
      <c r="B1716" s="4" t="n"/>
      <c r="C1716" s="4" t="n"/>
      <c r="D1716" s="18" t="n"/>
      <c r="E1716" s="4" t="n"/>
      <c r="F1716" s="4" t="n"/>
      <c r="G1716" s="4" t="n"/>
      <c r="H1716" s="4" t="n"/>
      <c r="I1716" s="12" t="n"/>
    </row>
    <row r="1717" customFormat="1" s="36">
      <c r="A1717" s="4" t="n"/>
      <c r="B1717" s="4" t="n"/>
      <c r="C1717" s="4" t="n"/>
      <c r="D1717" s="18" t="n"/>
      <c r="E1717" s="4" t="n"/>
      <c r="F1717" s="4" t="n"/>
      <c r="G1717" s="4" t="n"/>
      <c r="H1717" s="4" t="n"/>
      <c r="I1717" s="12" t="n"/>
    </row>
    <row r="1718" customFormat="1" s="36">
      <c r="A1718" s="4" t="n"/>
      <c r="B1718" s="4" t="n"/>
      <c r="C1718" s="4" t="n"/>
      <c r="D1718" s="18" t="n"/>
      <c r="E1718" s="4" t="n"/>
      <c r="F1718" s="4" t="n"/>
      <c r="G1718" s="4" t="n"/>
      <c r="H1718" s="4" t="n"/>
      <c r="I1718" s="12" t="n"/>
    </row>
    <row r="1719" customFormat="1" s="36">
      <c r="A1719" s="4" t="n"/>
      <c r="B1719" s="4" t="n"/>
      <c r="C1719" s="4" t="n"/>
      <c r="D1719" s="18" t="n"/>
      <c r="E1719" s="4" t="n"/>
      <c r="F1719" s="4" t="n"/>
      <c r="G1719" s="4" t="n"/>
      <c r="H1719" s="4" t="n"/>
      <c r="I1719" s="12" t="n"/>
    </row>
    <row r="1720" customFormat="1" s="36">
      <c r="A1720" s="4" t="n"/>
      <c r="B1720" s="4" t="n"/>
      <c r="C1720" s="4" t="n"/>
      <c r="D1720" s="18" t="n"/>
      <c r="E1720" s="4" t="n"/>
      <c r="F1720" s="4" t="n"/>
      <c r="G1720" s="4" t="n"/>
      <c r="H1720" s="4" t="n"/>
      <c r="I1720" s="12" t="n"/>
    </row>
    <row r="1721" customFormat="1" s="36">
      <c r="A1721" s="4" t="n"/>
      <c r="B1721" s="4" t="n"/>
      <c r="C1721" s="4" t="n"/>
      <c r="D1721" s="18" t="n"/>
      <c r="E1721" s="4" t="n"/>
      <c r="F1721" s="4" t="n"/>
      <c r="G1721" s="4" t="n"/>
      <c r="H1721" s="4" t="n"/>
      <c r="I1721" s="12" t="n"/>
    </row>
    <row r="1722" customFormat="1" s="36">
      <c r="A1722" s="4" t="n"/>
      <c r="B1722" s="4" t="n"/>
      <c r="C1722" s="4" t="n"/>
      <c r="D1722" s="18" t="n"/>
      <c r="E1722" s="4" t="n"/>
      <c r="F1722" s="4" t="n"/>
      <c r="G1722" s="4" t="n"/>
      <c r="H1722" s="4" t="n"/>
      <c r="I1722" s="12" t="n"/>
    </row>
    <row r="1723" customFormat="1" s="36">
      <c r="A1723" s="4" t="n"/>
      <c r="B1723" s="4" t="n"/>
      <c r="C1723" s="4" t="n"/>
      <c r="D1723" s="18" t="n"/>
      <c r="E1723" s="4" t="n"/>
      <c r="F1723" s="4" t="n"/>
      <c r="G1723" s="4" t="n"/>
      <c r="H1723" s="4" t="n"/>
      <c r="I1723" s="12" t="n"/>
    </row>
    <row r="1724" customFormat="1" s="36">
      <c r="A1724" s="4" t="n"/>
      <c r="B1724" s="4" t="n"/>
      <c r="C1724" s="4" t="n"/>
      <c r="D1724" s="18" t="n"/>
      <c r="E1724" s="4" t="n"/>
      <c r="F1724" s="4" t="n"/>
      <c r="G1724" s="4" t="n"/>
      <c r="H1724" s="4" t="n"/>
      <c r="I1724" s="12" t="n"/>
    </row>
    <row r="1725" customFormat="1" s="36">
      <c r="A1725" s="4" t="n"/>
      <c r="B1725" s="4" t="n"/>
      <c r="C1725" s="4" t="n"/>
      <c r="D1725" s="18" t="n"/>
      <c r="E1725" s="4" t="n"/>
      <c r="F1725" s="4" t="n"/>
      <c r="G1725" s="4" t="n"/>
      <c r="H1725" s="4" t="n"/>
      <c r="I1725" s="12" t="n"/>
    </row>
    <row r="1726" customFormat="1" s="36">
      <c r="A1726" s="4" t="n"/>
      <c r="B1726" s="4" t="n"/>
      <c r="C1726" s="4" t="n"/>
      <c r="D1726" s="18" t="n"/>
      <c r="E1726" s="4" t="n"/>
      <c r="F1726" s="4" t="n"/>
      <c r="G1726" s="4" t="n"/>
      <c r="H1726" s="4" t="n"/>
      <c r="I1726" s="12" t="n"/>
    </row>
    <row r="1727" customFormat="1" s="36">
      <c r="A1727" s="4" t="n"/>
      <c r="B1727" s="4" t="n"/>
      <c r="C1727" s="4" t="n"/>
      <c r="D1727" s="18" t="n"/>
      <c r="E1727" s="4" t="n"/>
      <c r="F1727" s="4" t="n"/>
      <c r="G1727" s="4" t="n"/>
      <c r="H1727" s="4" t="n"/>
      <c r="I1727" s="12" t="n"/>
    </row>
    <row r="1728" customFormat="1" s="36">
      <c r="A1728" s="4" t="n"/>
      <c r="B1728" s="4" t="n"/>
      <c r="C1728" s="4" t="n"/>
      <c r="D1728" s="18" t="n"/>
      <c r="E1728" s="4" t="n"/>
      <c r="F1728" s="4" t="n"/>
      <c r="G1728" s="4" t="n"/>
      <c r="H1728" s="4" t="n"/>
      <c r="I1728" s="12" t="n"/>
    </row>
    <row r="1729" customFormat="1" s="36">
      <c r="A1729" s="4" t="n"/>
      <c r="B1729" s="4" t="n"/>
      <c r="C1729" s="4" t="n"/>
      <c r="D1729" s="18" t="n"/>
      <c r="E1729" s="4" t="n"/>
      <c r="F1729" s="4" t="n"/>
      <c r="G1729" s="4" t="n"/>
      <c r="H1729" s="4" t="n"/>
      <c r="I1729" s="12" t="n"/>
    </row>
    <row r="1730" customFormat="1" s="36">
      <c r="A1730" s="4" t="n"/>
      <c r="B1730" s="4" t="n"/>
      <c r="C1730" s="4" t="n"/>
      <c r="D1730" s="18" t="n"/>
      <c r="E1730" s="4" t="n"/>
      <c r="F1730" s="4" t="n"/>
      <c r="G1730" s="4" t="n"/>
      <c r="H1730" s="4" t="n"/>
      <c r="I1730" s="12" t="n"/>
    </row>
    <row r="1731" customFormat="1" s="36">
      <c r="A1731" s="4" t="n"/>
      <c r="B1731" s="4" t="n"/>
      <c r="C1731" s="4" t="n"/>
      <c r="D1731" s="18" t="n"/>
      <c r="E1731" s="4" t="n"/>
      <c r="F1731" s="4" t="n"/>
      <c r="G1731" s="4" t="n"/>
      <c r="H1731" s="4" t="n"/>
      <c r="I1731" s="12" t="n"/>
    </row>
    <row r="1732" customFormat="1" s="36">
      <c r="A1732" s="4" t="n"/>
      <c r="B1732" s="4" t="n"/>
      <c r="C1732" s="4" t="n"/>
      <c r="D1732" s="18" t="n"/>
      <c r="E1732" s="4" t="n"/>
      <c r="F1732" s="4" t="n"/>
      <c r="G1732" s="4" t="n"/>
      <c r="H1732" s="4" t="n"/>
      <c r="I1732" s="12" t="n"/>
    </row>
    <row r="1733" customFormat="1" s="36">
      <c r="A1733" s="4" t="n"/>
      <c r="B1733" s="4" t="n"/>
      <c r="C1733" s="4" t="n"/>
      <c r="D1733" s="18" t="n"/>
      <c r="E1733" s="4" t="n"/>
      <c r="F1733" s="4" t="n"/>
      <c r="G1733" s="4" t="n"/>
      <c r="H1733" s="4" t="n"/>
      <c r="I1733" s="12" t="n"/>
    </row>
    <row r="1734" customFormat="1" s="36">
      <c r="A1734" s="4" t="n"/>
      <c r="B1734" s="4" t="n"/>
      <c r="C1734" s="4" t="n"/>
      <c r="D1734" s="18" t="n"/>
      <c r="E1734" s="4" t="n"/>
      <c r="F1734" s="4" t="n"/>
      <c r="G1734" s="4" t="n"/>
      <c r="H1734" s="4" t="n"/>
      <c r="I1734" s="12" t="n"/>
    </row>
    <row r="1735" customFormat="1" s="36">
      <c r="A1735" s="4" t="n"/>
      <c r="B1735" s="4" t="n"/>
      <c r="C1735" s="4" t="n"/>
      <c r="D1735" s="18" t="n"/>
      <c r="E1735" s="4" t="n"/>
      <c r="F1735" s="4" t="n"/>
      <c r="G1735" s="4" t="n"/>
      <c r="H1735" s="4" t="n"/>
      <c r="I1735" s="12" t="n"/>
    </row>
    <row r="1736" customFormat="1" s="36">
      <c r="A1736" s="4" t="n"/>
      <c r="B1736" s="4" t="n"/>
      <c r="C1736" s="4" t="n"/>
      <c r="D1736" s="18" t="n"/>
      <c r="E1736" s="4" t="n"/>
      <c r="F1736" s="4" t="n"/>
      <c r="G1736" s="4" t="n"/>
      <c r="H1736" s="4" t="n"/>
      <c r="I1736" s="12" t="n"/>
    </row>
    <row r="1737" customFormat="1" s="36">
      <c r="A1737" s="4" t="n"/>
      <c r="B1737" s="4" t="n"/>
      <c r="C1737" s="4" t="n"/>
      <c r="D1737" s="18" t="n"/>
      <c r="E1737" s="4" t="n"/>
      <c r="F1737" s="4" t="n"/>
      <c r="G1737" s="4" t="n"/>
      <c r="H1737" s="4" t="n"/>
      <c r="I1737" s="12" t="n"/>
    </row>
    <row r="1738" customFormat="1" s="36">
      <c r="A1738" s="4" t="n"/>
      <c r="B1738" s="4" t="n"/>
      <c r="C1738" s="4" t="n"/>
      <c r="D1738" s="18" t="n"/>
      <c r="E1738" s="4" t="n"/>
      <c r="F1738" s="4" t="n"/>
      <c r="G1738" s="4" t="n"/>
      <c r="H1738" s="4" t="n"/>
      <c r="I1738" s="12" t="n"/>
    </row>
    <row r="1739" customFormat="1" s="36">
      <c r="A1739" s="4" t="n"/>
      <c r="B1739" s="4" t="n"/>
      <c r="C1739" s="4" t="n"/>
      <c r="D1739" s="18" t="n"/>
      <c r="E1739" s="4" t="n"/>
      <c r="F1739" s="4" t="n"/>
      <c r="G1739" s="4" t="n"/>
      <c r="H1739" s="4" t="n"/>
      <c r="I1739" s="12" t="n"/>
    </row>
    <row r="1740" customFormat="1" s="36">
      <c r="A1740" s="4" t="n"/>
      <c r="B1740" s="4" t="n"/>
      <c r="C1740" s="4" t="n"/>
      <c r="D1740" s="18" t="n"/>
      <c r="E1740" s="4" t="n"/>
      <c r="F1740" s="4" t="n"/>
      <c r="G1740" s="4" t="n"/>
      <c r="H1740" s="4" t="n"/>
      <c r="I1740" s="12" t="n"/>
    </row>
    <row r="1741" customFormat="1" s="36">
      <c r="A1741" s="4" t="n"/>
      <c r="B1741" s="4" t="n"/>
      <c r="C1741" s="4" t="n"/>
      <c r="D1741" s="18" t="n"/>
      <c r="E1741" s="4" t="n"/>
      <c r="F1741" s="4" t="n"/>
      <c r="G1741" s="4" t="n"/>
      <c r="H1741" s="4" t="n"/>
      <c r="I1741" s="12" t="n"/>
    </row>
    <row r="1742" customFormat="1" s="36">
      <c r="A1742" s="4" t="n"/>
      <c r="B1742" s="4" t="n"/>
      <c r="C1742" s="4" t="n"/>
      <c r="D1742" s="18" t="n"/>
      <c r="E1742" s="4" t="n"/>
      <c r="F1742" s="4" t="n"/>
      <c r="G1742" s="4" t="n"/>
      <c r="H1742" s="4" t="n"/>
      <c r="I1742" s="12" t="n"/>
    </row>
    <row r="1743" customFormat="1" s="36">
      <c r="A1743" s="4" t="n"/>
      <c r="B1743" s="4" t="n"/>
      <c r="C1743" s="4" t="n"/>
      <c r="D1743" s="18" t="n"/>
      <c r="E1743" s="4" t="n"/>
      <c r="F1743" s="4" t="n"/>
      <c r="G1743" s="4" t="n"/>
      <c r="H1743" s="4" t="n"/>
      <c r="I1743" s="12" t="n"/>
    </row>
    <row r="1744" customFormat="1" s="36">
      <c r="A1744" s="4" t="n"/>
      <c r="B1744" s="4" t="n"/>
      <c r="C1744" s="4" t="n"/>
      <c r="D1744" s="18" t="n"/>
      <c r="E1744" s="4" t="n"/>
      <c r="F1744" s="4" t="n"/>
      <c r="G1744" s="4" t="n"/>
      <c r="H1744" s="4" t="n"/>
      <c r="I1744" s="12" t="n"/>
    </row>
    <row r="1745" customFormat="1" s="36">
      <c r="A1745" s="4" t="n"/>
      <c r="B1745" s="4" t="n"/>
      <c r="C1745" s="4" t="n"/>
      <c r="D1745" s="18" t="n"/>
      <c r="E1745" s="4" t="n"/>
      <c r="F1745" s="4" t="n"/>
      <c r="G1745" s="4" t="n"/>
      <c r="H1745" s="4" t="n"/>
      <c r="I1745" s="12" t="n"/>
    </row>
    <row r="1746" customFormat="1" s="36">
      <c r="A1746" s="4" t="n"/>
      <c r="B1746" s="4" t="n"/>
      <c r="C1746" s="4" t="n"/>
      <c r="D1746" s="18" t="n"/>
      <c r="E1746" s="4" t="n"/>
      <c r="F1746" s="4" t="n"/>
      <c r="G1746" s="4" t="n"/>
      <c r="H1746" s="4" t="n"/>
      <c r="I1746" s="12" t="n"/>
    </row>
    <row r="1747" customFormat="1" s="36">
      <c r="A1747" s="4" t="n"/>
      <c r="B1747" s="4" t="n"/>
      <c r="C1747" s="4" t="n"/>
      <c r="D1747" s="18" t="n"/>
      <c r="E1747" s="4" t="n"/>
      <c r="F1747" s="4" t="n"/>
      <c r="G1747" s="4" t="n"/>
      <c r="H1747" s="4" t="n"/>
      <c r="I1747" s="12" t="n"/>
    </row>
    <row r="1748" customFormat="1" s="36">
      <c r="A1748" s="4" t="n"/>
      <c r="B1748" s="4" t="n"/>
      <c r="C1748" s="4" t="n"/>
      <c r="D1748" s="18" t="n"/>
      <c r="E1748" s="4" t="n"/>
      <c r="F1748" s="4" t="n"/>
      <c r="G1748" s="4" t="n"/>
      <c r="H1748" s="4" t="n"/>
      <c r="I1748" s="12" t="n"/>
    </row>
    <row r="1749" customFormat="1" s="36">
      <c r="A1749" s="4" t="n"/>
      <c r="B1749" s="4" t="n"/>
      <c r="C1749" s="4" t="n"/>
      <c r="D1749" s="18" t="n"/>
      <c r="E1749" s="4" t="n"/>
      <c r="F1749" s="4" t="n"/>
      <c r="G1749" s="4" t="n"/>
      <c r="H1749" s="4" t="n"/>
      <c r="I1749" s="12" t="n"/>
    </row>
    <row r="1750" customFormat="1" s="36">
      <c r="A1750" s="4" t="n"/>
      <c r="B1750" s="4" t="n"/>
      <c r="C1750" s="4" t="n"/>
      <c r="D1750" s="18" t="n"/>
      <c r="E1750" s="4" t="n"/>
      <c r="F1750" s="4" t="n"/>
      <c r="G1750" s="4" t="n"/>
      <c r="H1750" s="4" t="n"/>
      <c r="I1750" s="12" t="n"/>
    </row>
    <row r="1751" customFormat="1" s="36">
      <c r="A1751" s="4" t="n"/>
      <c r="B1751" s="4" t="n"/>
      <c r="C1751" s="4" t="n"/>
      <c r="D1751" s="18" t="n"/>
      <c r="E1751" s="4" t="n"/>
      <c r="F1751" s="4" t="n"/>
      <c r="G1751" s="4" t="n"/>
      <c r="H1751" s="4" t="n"/>
      <c r="I1751" s="12" t="n"/>
    </row>
    <row r="1752" customFormat="1" s="36">
      <c r="A1752" s="4" t="n"/>
      <c r="B1752" s="4" t="n"/>
      <c r="C1752" s="4" t="n"/>
      <c r="D1752" s="18" t="n"/>
      <c r="E1752" s="4" t="n"/>
      <c r="F1752" s="4" t="n"/>
      <c r="G1752" s="4" t="n"/>
      <c r="H1752" s="4" t="n"/>
      <c r="I1752" s="12" t="n"/>
    </row>
    <row r="1753" customFormat="1" s="36">
      <c r="A1753" s="4" t="n"/>
      <c r="B1753" s="4" t="n"/>
      <c r="C1753" s="4" t="n"/>
      <c r="D1753" s="18" t="n"/>
      <c r="E1753" s="4" t="n"/>
      <c r="F1753" s="4" t="n"/>
      <c r="G1753" s="4" t="n"/>
      <c r="H1753" s="4" t="n"/>
      <c r="I1753" s="12" t="n"/>
    </row>
    <row r="1754" customFormat="1" s="36">
      <c r="A1754" s="4" t="n"/>
      <c r="B1754" s="4" t="n"/>
      <c r="C1754" s="4" t="n"/>
      <c r="D1754" s="18" t="n"/>
      <c r="E1754" s="4" t="n"/>
      <c r="F1754" s="4" t="n"/>
      <c r="G1754" s="4" t="n"/>
      <c r="H1754" s="4" t="n"/>
      <c r="I1754" s="12" t="n"/>
    </row>
    <row r="1755" customFormat="1" s="36">
      <c r="A1755" s="4" t="n"/>
      <c r="B1755" s="4" t="n"/>
      <c r="C1755" s="4" t="n"/>
      <c r="D1755" s="18" t="n"/>
      <c r="E1755" s="4" t="n"/>
      <c r="F1755" s="4" t="n"/>
      <c r="G1755" s="4" t="n"/>
      <c r="H1755" s="4" t="n"/>
      <c r="I1755" s="12" t="n"/>
    </row>
    <row r="1756" customFormat="1" s="36">
      <c r="A1756" s="4" t="n"/>
      <c r="B1756" s="4" t="n"/>
      <c r="C1756" s="4" t="n"/>
      <c r="D1756" s="18" t="n"/>
      <c r="E1756" s="4" t="n"/>
      <c r="F1756" s="4" t="n"/>
      <c r="G1756" s="4" t="n"/>
      <c r="H1756" s="4" t="n"/>
      <c r="I1756" s="12" t="n"/>
    </row>
    <row r="1757" customFormat="1" s="36">
      <c r="A1757" s="4" t="n"/>
      <c r="B1757" s="4" t="n"/>
      <c r="C1757" s="4" t="n"/>
      <c r="D1757" s="18" t="n"/>
      <c r="E1757" s="4" t="n"/>
      <c r="F1757" s="4" t="n"/>
      <c r="G1757" s="4" t="n"/>
      <c r="H1757" s="4" t="n"/>
      <c r="I1757" s="12" t="n"/>
    </row>
    <row r="1758" customFormat="1" s="36">
      <c r="A1758" s="4" t="n"/>
      <c r="B1758" s="4" t="n"/>
      <c r="C1758" s="4" t="n"/>
      <c r="D1758" s="18" t="n"/>
      <c r="E1758" s="4" t="n"/>
      <c r="F1758" s="4" t="n"/>
      <c r="G1758" s="4" t="n"/>
      <c r="H1758" s="4" t="n"/>
      <c r="I1758" s="12" t="n"/>
    </row>
    <row r="1759" customFormat="1" s="36">
      <c r="A1759" s="4" t="n"/>
      <c r="B1759" s="4" t="n"/>
      <c r="C1759" s="4" t="n"/>
      <c r="D1759" s="18" t="n"/>
      <c r="E1759" s="4" t="n"/>
      <c r="F1759" s="4" t="n"/>
      <c r="G1759" s="4" t="n"/>
      <c r="H1759" s="4" t="n"/>
      <c r="I1759" s="12" t="n"/>
    </row>
    <row r="1760" customFormat="1" s="36">
      <c r="A1760" s="4" t="n"/>
      <c r="B1760" s="4" t="n"/>
      <c r="C1760" s="4" t="n"/>
      <c r="D1760" s="18" t="n"/>
      <c r="E1760" s="4" t="n"/>
      <c r="F1760" s="4" t="n"/>
      <c r="G1760" s="4" t="n"/>
      <c r="H1760" s="4" t="n"/>
      <c r="I1760" s="12" t="n"/>
    </row>
    <row r="1761" customFormat="1" s="36">
      <c r="A1761" s="4" t="n"/>
      <c r="B1761" s="4" t="n"/>
      <c r="C1761" s="4" t="n"/>
      <c r="D1761" s="18" t="n"/>
      <c r="E1761" s="4" t="n"/>
      <c r="F1761" s="4" t="n"/>
      <c r="G1761" s="4" t="n"/>
      <c r="H1761" s="4" t="n"/>
      <c r="I1761" s="12" t="n"/>
    </row>
    <row r="1762" customFormat="1" s="36">
      <c r="A1762" s="4" t="n"/>
      <c r="B1762" s="4" t="n"/>
      <c r="C1762" s="4" t="n"/>
      <c r="D1762" s="18" t="n"/>
      <c r="E1762" s="4" t="n"/>
      <c r="F1762" s="4" t="n"/>
      <c r="G1762" s="4" t="n"/>
      <c r="H1762" s="4" t="n"/>
      <c r="I1762" s="12" t="n"/>
    </row>
    <row r="1763" customFormat="1" s="36">
      <c r="A1763" s="4" t="n"/>
      <c r="B1763" s="4" t="n"/>
      <c r="C1763" s="4" t="n"/>
      <c r="D1763" s="18" t="n"/>
      <c r="E1763" s="4" t="n"/>
      <c r="F1763" s="4" t="n"/>
      <c r="G1763" s="4" t="n"/>
      <c r="H1763" s="4" t="n"/>
      <c r="I1763" s="12" t="n"/>
    </row>
    <row r="1764" customFormat="1" s="36">
      <c r="A1764" s="4" t="n"/>
      <c r="B1764" s="4" t="n"/>
      <c r="C1764" s="4" t="n"/>
      <c r="D1764" s="18" t="n"/>
      <c r="E1764" s="4" t="n"/>
      <c r="F1764" s="4" t="n"/>
      <c r="G1764" s="4" t="n"/>
      <c r="H1764" s="4" t="n"/>
      <c r="I1764" s="12" t="n"/>
    </row>
    <row r="1765" customFormat="1" s="36">
      <c r="A1765" s="4" t="n"/>
      <c r="B1765" s="4" t="n"/>
      <c r="C1765" s="4" t="n"/>
      <c r="D1765" s="18" t="n"/>
      <c r="E1765" s="4" t="n"/>
      <c r="F1765" s="4" t="n"/>
      <c r="G1765" s="4" t="n"/>
      <c r="H1765" s="4" t="n"/>
      <c r="I1765" s="12" t="n"/>
    </row>
    <row r="1766" customFormat="1" s="36">
      <c r="A1766" s="4" t="n"/>
      <c r="B1766" s="4" t="n"/>
      <c r="C1766" s="4" t="n"/>
      <c r="D1766" s="18" t="n"/>
      <c r="E1766" s="4" t="n"/>
      <c r="F1766" s="4" t="n"/>
      <c r="G1766" s="4" t="n"/>
      <c r="H1766" s="4" t="n"/>
      <c r="I1766" s="12" t="n"/>
    </row>
    <row r="1767" customFormat="1" s="36">
      <c r="A1767" s="4" t="n"/>
      <c r="B1767" s="4" t="n"/>
      <c r="C1767" s="4" t="n"/>
      <c r="D1767" s="18" t="n"/>
      <c r="E1767" s="4" t="n"/>
      <c r="F1767" s="4" t="n"/>
      <c r="G1767" s="4" t="n"/>
      <c r="H1767" s="4" t="n"/>
      <c r="I1767" s="12" t="n"/>
    </row>
    <row r="1768" customFormat="1" s="36">
      <c r="A1768" s="4" t="n"/>
      <c r="B1768" s="4" t="n"/>
      <c r="C1768" s="4" t="n"/>
      <c r="D1768" s="18" t="n"/>
      <c r="E1768" s="4" t="n"/>
      <c r="F1768" s="4" t="n"/>
      <c r="G1768" s="4" t="n"/>
      <c r="H1768" s="4" t="n"/>
      <c r="I1768" s="12" t="n"/>
    </row>
    <row r="1769" customFormat="1" s="36">
      <c r="A1769" s="4" t="n"/>
      <c r="B1769" s="4" t="n"/>
      <c r="C1769" s="4" t="n"/>
      <c r="D1769" s="18" t="n"/>
      <c r="E1769" s="4" t="n"/>
      <c r="F1769" s="4" t="n"/>
      <c r="G1769" s="4" t="n"/>
      <c r="H1769" s="4" t="n"/>
      <c r="I1769" s="12" t="n"/>
    </row>
    <row r="1770" customFormat="1" s="36">
      <c r="A1770" s="4" t="n"/>
      <c r="B1770" s="4" t="n"/>
      <c r="C1770" s="4" t="n"/>
      <c r="D1770" s="18" t="n"/>
      <c r="E1770" s="4" t="n"/>
      <c r="F1770" s="4" t="n"/>
      <c r="G1770" s="4" t="n"/>
      <c r="H1770" s="4" t="n"/>
      <c r="I1770" s="12" t="n"/>
    </row>
    <row r="1771" customFormat="1" s="36">
      <c r="A1771" s="4" t="n"/>
      <c r="B1771" s="4" t="n"/>
      <c r="C1771" s="4" t="n"/>
      <c r="D1771" s="18" t="n"/>
      <c r="E1771" s="4" t="n"/>
      <c r="F1771" s="4" t="n"/>
      <c r="G1771" s="4" t="n"/>
      <c r="H1771" s="4" t="n"/>
      <c r="I1771" s="12" t="n"/>
    </row>
    <row r="1772" customFormat="1" s="36">
      <c r="A1772" s="4" t="n"/>
      <c r="B1772" s="4" t="n"/>
      <c r="C1772" s="4" t="n"/>
      <c r="D1772" s="18" t="n"/>
      <c r="E1772" s="4" t="n"/>
      <c r="F1772" s="4" t="n"/>
      <c r="G1772" s="4" t="n"/>
      <c r="H1772" s="4" t="n"/>
      <c r="I1772" s="12" t="n"/>
    </row>
    <row r="1773" customFormat="1" s="36">
      <c r="A1773" s="4" t="n"/>
      <c r="B1773" s="4" t="n"/>
      <c r="C1773" s="4" t="n"/>
      <c r="D1773" s="18" t="n"/>
      <c r="E1773" s="4" t="n"/>
      <c r="F1773" s="4" t="n"/>
      <c r="G1773" s="4" t="n"/>
      <c r="H1773" s="4" t="n"/>
      <c r="I1773" s="12" t="n"/>
    </row>
    <row r="1774" customFormat="1" s="36">
      <c r="A1774" s="4" t="n"/>
      <c r="B1774" s="4" t="n"/>
      <c r="C1774" s="4" t="n"/>
      <c r="D1774" s="18" t="n"/>
      <c r="E1774" s="4" t="n"/>
      <c r="F1774" s="4" t="n"/>
      <c r="G1774" s="4" t="n"/>
      <c r="H1774" s="4" t="n"/>
      <c r="I1774" s="12" t="n"/>
    </row>
    <row r="1775" customFormat="1" s="36">
      <c r="A1775" s="4" t="n"/>
      <c r="B1775" s="4" t="n"/>
      <c r="C1775" s="4" t="n"/>
      <c r="D1775" s="18" t="n"/>
      <c r="E1775" s="4" t="n"/>
      <c r="F1775" s="4" t="n"/>
      <c r="G1775" s="4" t="n"/>
      <c r="H1775" s="4" t="n"/>
      <c r="I1775" s="12" t="n"/>
    </row>
    <row r="1776" customFormat="1" s="36">
      <c r="A1776" s="4" t="n"/>
      <c r="B1776" s="4" t="n"/>
      <c r="C1776" s="4" t="n"/>
      <c r="D1776" s="18" t="n"/>
      <c r="E1776" s="4" t="n"/>
      <c r="F1776" s="4" t="n"/>
      <c r="G1776" s="4" t="n"/>
      <c r="H1776" s="4" t="n"/>
      <c r="I1776" s="12" t="n"/>
    </row>
    <row r="1777" customFormat="1" s="36">
      <c r="A1777" s="4" t="n"/>
      <c r="B1777" s="4" t="n"/>
      <c r="C1777" s="4" t="n"/>
      <c r="D1777" s="18" t="n"/>
      <c r="E1777" s="4" t="n"/>
      <c r="F1777" s="4" t="n"/>
      <c r="G1777" s="4" t="n"/>
      <c r="H1777" s="4" t="n"/>
      <c r="I1777" s="12" t="n"/>
    </row>
    <row r="1778" customFormat="1" s="36">
      <c r="A1778" s="4" t="n"/>
      <c r="B1778" s="4" t="n"/>
      <c r="C1778" s="4" t="n"/>
      <c r="D1778" s="18" t="n"/>
      <c r="E1778" s="4" t="n"/>
      <c r="F1778" s="4" t="n"/>
      <c r="G1778" s="4" t="n"/>
      <c r="H1778" s="4" t="n"/>
      <c r="I1778" s="12" t="n"/>
    </row>
    <row r="1779" customFormat="1" s="36">
      <c r="A1779" s="4" t="n"/>
      <c r="B1779" s="4" t="n"/>
      <c r="C1779" s="4" t="n"/>
      <c r="D1779" s="18" t="n"/>
      <c r="E1779" s="4" t="n"/>
      <c r="F1779" s="4" t="n"/>
      <c r="G1779" s="4" t="n"/>
      <c r="H1779" s="4" t="n"/>
      <c r="I1779" s="12" t="n"/>
    </row>
    <row r="1780" customFormat="1" s="36">
      <c r="A1780" s="4" t="n"/>
      <c r="B1780" s="4" t="n"/>
      <c r="C1780" s="4" t="n"/>
      <c r="D1780" s="18" t="n"/>
      <c r="E1780" s="4" t="n"/>
      <c r="F1780" s="4" t="n"/>
      <c r="G1780" s="4" t="n"/>
      <c r="H1780" s="4" t="n"/>
      <c r="I1780" s="12" t="n"/>
    </row>
    <row r="1781" customFormat="1" s="36">
      <c r="A1781" s="4" t="n"/>
      <c r="B1781" s="4" t="n"/>
      <c r="C1781" s="4" t="n"/>
      <c r="D1781" s="18" t="n"/>
      <c r="E1781" s="4" t="n"/>
      <c r="F1781" s="4" t="n"/>
      <c r="G1781" s="4" t="n"/>
      <c r="H1781" s="4" t="n"/>
      <c r="I1781" s="12" t="n"/>
    </row>
    <row r="1782" customFormat="1" s="36">
      <c r="A1782" s="4" t="n"/>
      <c r="B1782" s="4" t="n"/>
      <c r="C1782" s="4" t="n"/>
      <c r="D1782" s="18" t="n"/>
      <c r="E1782" s="4" t="n"/>
      <c r="F1782" s="4" t="n"/>
      <c r="G1782" s="4" t="n"/>
      <c r="H1782" s="4" t="n"/>
      <c r="I1782" s="12" t="n"/>
    </row>
    <row r="1783" customFormat="1" s="36">
      <c r="A1783" s="4" t="n"/>
      <c r="B1783" s="4" t="n"/>
      <c r="C1783" s="4" t="n"/>
      <c r="D1783" s="18" t="n"/>
      <c r="E1783" s="4" t="n"/>
      <c r="F1783" s="4" t="n"/>
      <c r="G1783" s="4" t="n"/>
      <c r="H1783" s="4" t="n"/>
      <c r="I1783" s="12" t="n"/>
    </row>
    <row r="1784" customFormat="1" s="36">
      <c r="A1784" s="4" t="n"/>
      <c r="B1784" s="4" t="n"/>
      <c r="C1784" s="4" t="n"/>
      <c r="D1784" s="18" t="n"/>
      <c r="E1784" s="4" t="n"/>
      <c r="F1784" s="4" t="n"/>
      <c r="G1784" s="4" t="n"/>
      <c r="H1784" s="4" t="n"/>
      <c r="I1784" s="12" t="n"/>
    </row>
    <row r="1785" customFormat="1" s="36">
      <c r="A1785" s="4" t="n"/>
      <c r="B1785" s="4" t="n"/>
      <c r="C1785" s="4" t="n"/>
      <c r="D1785" s="18" t="n"/>
      <c r="E1785" s="4" t="n"/>
      <c r="F1785" s="4" t="n"/>
      <c r="G1785" s="4" t="n"/>
      <c r="H1785" s="4" t="n"/>
      <c r="I1785" s="12" t="n"/>
    </row>
    <row r="1786" customFormat="1" s="36">
      <c r="A1786" s="4" t="n"/>
      <c r="B1786" s="4" t="n"/>
      <c r="C1786" s="4" t="n"/>
      <c r="D1786" s="18" t="n"/>
      <c r="E1786" s="4" t="n"/>
      <c r="F1786" s="4" t="n"/>
      <c r="G1786" s="4" t="n"/>
      <c r="H1786" s="4" t="n"/>
      <c r="I1786" s="12" t="n"/>
    </row>
    <row r="1787" customFormat="1" s="36">
      <c r="A1787" s="4" t="n"/>
      <c r="B1787" s="4" t="n"/>
      <c r="C1787" s="4" t="n"/>
      <c r="D1787" s="18" t="n"/>
      <c r="E1787" s="4" t="n"/>
      <c r="F1787" s="4" t="n"/>
      <c r="G1787" s="4" t="n"/>
      <c r="H1787" s="4" t="n"/>
      <c r="I1787" s="12" t="n"/>
    </row>
    <row r="1788" customFormat="1" s="36">
      <c r="A1788" s="4" t="n"/>
      <c r="B1788" s="4" t="n"/>
      <c r="C1788" s="4" t="n"/>
      <c r="D1788" s="18" t="n"/>
      <c r="E1788" s="4" t="n"/>
      <c r="F1788" s="4" t="n"/>
      <c r="G1788" s="4" t="n"/>
      <c r="H1788" s="4" t="n"/>
      <c r="I1788" s="12" t="n"/>
    </row>
    <row r="1789" customFormat="1" s="36">
      <c r="A1789" s="4" t="n"/>
      <c r="B1789" s="4" t="n"/>
      <c r="C1789" s="4" t="n"/>
      <c r="D1789" s="18" t="n"/>
      <c r="E1789" s="4" t="n"/>
      <c r="F1789" s="4" t="n"/>
      <c r="G1789" s="4" t="n"/>
      <c r="H1789" s="4" t="n"/>
      <c r="I1789" s="12" t="n"/>
    </row>
    <row r="1790" customFormat="1" s="36">
      <c r="A1790" s="4" t="n"/>
      <c r="B1790" s="4" t="n"/>
      <c r="C1790" s="4" t="n"/>
      <c r="D1790" s="18" t="n"/>
      <c r="E1790" s="4" t="n"/>
      <c r="F1790" s="4" t="n"/>
      <c r="G1790" s="4" t="n"/>
      <c r="H1790" s="4" t="n"/>
      <c r="I1790" s="12" t="n"/>
    </row>
    <row r="1791" customFormat="1" s="36">
      <c r="A1791" s="4" t="n"/>
      <c r="B1791" s="4" t="n"/>
      <c r="C1791" s="4" t="n"/>
      <c r="D1791" s="18" t="n"/>
      <c r="E1791" s="4" t="n"/>
      <c r="F1791" s="4" t="n"/>
      <c r="G1791" s="4" t="n"/>
      <c r="H1791" s="4" t="n"/>
      <c r="I1791" s="12" t="n"/>
    </row>
    <row r="1792" customFormat="1" s="36">
      <c r="A1792" s="4" t="n"/>
      <c r="B1792" s="4" t="n"/>
      <c r="C1792" s="4" t="n"/>
      <c r="D1792" s="18" t="n"/>
      <c r="E1792" s="4" t="n"/>
      <c r="F1792" s="4" t="n"/>
      <c r="G1792" s="4" t="n"/>
      <c r="H1792" s="4" t="n"/>
      <c r="I1792" s="12" t="n"/>
    </row>
    <row r="1793" customFormat="1" s="36">
      <c r="A1793" s="4" t="n"/>
      <c r="B1793" s="4" t="n"/>
      <c r="C1793" s="4" t="n"/>
      <c r="D1793" s="18" t="n"/>
      <c r="E1793" s="4" t="n"/>
      <c r="F1793" s="4" t="n"/>
      <c r="G1793" s="4" t="n"/>
      <c r="H1793" s="4" t="n"/>
      <c r="I1793" s="12" t="n"/>
    </row>
    <row r="1794" customFormat="1" s="36">
      <c r="A1794" s="4" t="n"/>
      <c r="B1794" s="4" t="n"/>
      <c r="C1794" s="4" t="n"/>
      <c r="D1794" s="18" t="n"/>
      <c r="E1794" s="4" t="n"/>
      <c r="F1794" s="4" t="n"/>
      <c r="G1794" s="4" t="n"/>
      <c r="H1794" s="4" t="n"/>
      <c r="I1794" s="12" t="n"/>
    </row>
    <row r="1795" customFormat="1" s="36">
      <c r="A1795" s="4" t="n"/>
      <c r="B1795" s="4" t="n"/>
      <c r="C1795" s="4" t="n"/>
      <c r="D1795" s="18" t="n"/>
      <c r="E1795" s="4" t="n"/>
      <c r="F1795" s="4" t="n"/>
      <c r="G1795" s="4" t="n"/>
      <c r="H1795" s="4" t="n"/>
      <c r="I1795" s="12" t="n"/>
    </row>
    <row r="1796" customFormat="1" s="36">
      <c r="A1796" s="4" t="n"/>
      <c r="B1796" s="4" t="n"/>
      <c r="C1796" s="4" t="n"/>
      <c r="D1796" s="18" t="n"/>
      <c r="E1796" s="4" t="n"/>
      <c r="F1796" s="4" t="n"/>
      <c r="G1796" s="4" t="n"/>
      <c r="H1796" s="4" t="n"/>
      <c r="I1796" s="12" t="n"/>
    </row>
    <row r="1797" customFormat="1" s="36">
      <c r="A1797" s="4" t="n"/>
      <c r="B1797" s="4" t="n"/>
      <c r="C1797" s="4" t="n"/>
      <c r="D1797" s="18" t="n"/>
      <c r="E1797" s="4" t="n"/>
      <c r="F1797" s="4" t="n"/>
      <c r="G1797" s="4" t="n"/>
      <c r="H1797" s="4" t="n"/>
      <c r="I1797" s="12" t="n"/>
    </row>
    <row r="1798" customFormat="1" s="36">
      <c r="A1798" s="4" t="n"/>
      <c r="B1798" s="4" t="n"/>
      <c r="C1798" s="4" t="n"/>
      <c r="D1798" s="18" t="n"/>
      <c r="E1798" s="4" t="n"/>
      <c r="F1798" s="4" t="n"/>
      <c r="G1798" s="4" t="n"/>
      <c r="H1798" s="4" t="n"/>
      <c r="I1798" s="12" t="n"/>
    </row>
    <row r="1799" customFormat="1" s="36">
      <c r="A1799" s="4" t="n"/>
      <c r="B1799" s="4" t="n"/>
      <c r="C1799" s="4" t="n"/>
      <c r="D1799" s="18" t="n"/>
      <c r="E1799" s="4" t="n"/>
      <c r="F1799" s="4" t="n"/>
      <c r="G1799" s="4" t="n"/>
      <c r="H1799" s="4" t="n"/>
      <c r="I1799" s="12" t="n"/>
    </row>
    <row r="1800" customFormat="1" s="36">
      <c r="A1800" s="4" t="n"/>
      <c r="B1800" s="4" t="n"/>
      <c r="C1800" s="4" t="n"/>
      <c r="D1800" s="18" t="n"/>
      <c r="E1800" s="4" t="n"/>
      <c r="F1800" s="4" t="n"/>
      <c r="G1800" s="4" t="n"/>
      <c r="H1800" s="4" t="n"/>
      <c r="I1800" s="12" t="n"/>
    </row>
    <row r="1801" customFormat="1" s="36">
      <c r="A1801" s="4" t="n"/>
      <c r="B1801" s="4" t="n"/>
      <c r="C1801" s="4" t="n"/>
      <c r="D1801" s="18" t="n"/>
      <c r="E1801" s="4" t="n"/>
      <c r="F1801" s="4" t="n"/>
      <c r="G1801" s="4" t="n"/>
      <c r="H1801" s="4" t="n"/>
      <c r="I1801" s="12" t="n"/>
    </row>
    <row r="1802" customFormat="1" s="36">
      <c r="A1802" s="4" t="n"/>
      <c r="B1802" s="4" t="n"/>
      <c r="C1802" s="4" t="n"/>
      <c r="D1802" s="18" t="n"/>
      <c r="E1802" s="4" t="n"/>
      <c r="F1802" s="4" t="n"/>
      <c r="G1802" s="4" t="n"/>
      <c r="H1802" s="4" t="n"/>
      <c r="I1802" s="12" t="n"/>
    </row>
    <row r="1803" customFormat="1" s="36">
      <c r="A1803" s="4" t="n"/>
      <c r="B1803" s="4" t="n"/>
      <c r="C1803" s="4" t="n"/>
      <c r="D1803" s="18" t="n"/>
      <c r="E1803" s="4" t="n"/>
      <c r="F1803" s="4" t="n"/>
      <c r="G1803" s="4" t="n"/>
      <c r="H1803" s="4" t="n"/>
      <c r="I1803" s="12" t="n"/>
    </row>
    <row r="1804" customFormat="1" s="36">
      <c r="A1804" s="4" t="n"/>
      <c r="B1804" s="4" t="n"/>
      <c r="C1804" s="4" t="n"/>
      <c r="D1804" s="18" t="n"/>
      <c r="E1804" s="4" t="n"/>
      <c r="F1804" s="4" t="n"/>
      <c r="G1804" s="4" t="n"/>
      <c r="H1804" s="4" t="n"/>
      <c r="I1804" s="12" t="n"/>
    </row>
    <row r="1805" customFormat="1" s="36">
      <c r="A1805" s="4" t="n"/>
      <c r="B1805" s="4" t="n"/>
      <c r="C1805" s="4" t="n"/>
      <c r="D1805" s="18" t="n"/>
      <c r="E1805" s="4" t="n"/>
      <c r="F1805" s="4" t="n"/>
      <c r="G1805" s="4" t="n"/>
      <c r="H1805" s="4" t="n"/>
      <c r="I1805" s="12" t="n"/>
    </row>
    <row r="1806" customFormat="1" s="36">
      <c r="A1806" s="4" t="n"/>
      <c r="B1806" s="4" t="n"/>
      <c r="C1806" s="4" t="n"/>
      <c r="D1806" s="18" t="n"/>
      <c r="E1806" s="4" t="n"/>
      <c r="F1806" s="4" t="n"/>
      <c r="G1806" s="4" t="n"/>
      <c r="H1806" s="4" t="n"/>
      <c r="I1806" s="12" t="n"/>
    </row>
    <row r="1807" customFormat="1" s="36">
      <c r="A1807" s="4" t="n"/>
      <c r="B1807" s="4" t="n"/>
      <c r="C1807" s="4" t="n"/>
      <c r="D1807" s="18" t="n"/>
      <c r="E1807" s="4" t="n"/>
      <c r="F1807" s="4" t="n"/>
      <c r="G1807" s="4" t="n"/>
      <c r="H1807" s="4" t="n"/>
      <c r="I1807" s="12" t="n"/>
    </row>
    <row r="1808" customFormat="1" s="36">
      <c r="A1808" s="4" t="n"/>
      <c r="B1808" s="4" t="n"/>
      <c r="C1808" s="4" t="n"/>
      <c r="D1808" s="18" t="n"/>
      <c r="E1808" s="4" t="n"/>
      <c r="F1808" s="4" t="n"/>
      <c r="G1808" s="4" t="n"/>
      <c r="H1808" s="4" t="n"/>
      <c r="I1808" s="12" t="n"/>
    </row>
    <row r="1809" customFormat="1" s="36">
      <c r="A1809" s="4" t="n"/>
      <c r="B1809" s="4" t="n"/>
      <c r="C1809" s="4" t="n"/>
      <c r="D1809" s="18" t="n"/>
      <c r="E1809" s="4" t="n"/>
      <c r="F1809" s="4" t="n"/>
      <c r="G1809" s="4" t="n"/>
      <c r="H1809" s="4" t="n"/>
      <c r="I1809" s="12" t="n"/>
    </row>
    <row r="1810" customFormat="1" s="36">
      <c r="A1810" s="4" t="n"/>
      <c r="B1810" s="4" t="n"/>
      <c r="C1810" s="4" t="n"/>
      <c r="D1810" s="18" t="n"/>
      <c r="E1810" s="4" t="n"/>
      <c r="F1810" s="4" t="n"/>
      <c r="G1810" s="4" t="n"/>
      <c r="H1810" s="4" t="n"/>
      <c r="I1810" s="12" t="n"/>
    </row>
    <row r="1811" customFormat="1" s="36">
      <c r="A1811" s="4" t="n"/>
      <c r="B1811" s="4" t="n"/>
      <c r="C1811" s="4" t="n"/>
      <c r="D1811" s="18" t="n"/>
      <c r="E1811" s="4" t="n"/>
      <c r="F1811" s="4" t="n"/>
      <c r="G1811" s="4" t="n"/>
      <c r="H1811" s="4" t="n"/>
      <c r="I1811" s="12" t="n"/>
    </row>
    <row r="1812" customFormat="1" s="36">
      <c r="A1812" s="4" t="n"/>
      <c r="B1812" s="4" t="n"/>
      <c r="C1812" s="4" t="n"/>
      <c r="D1812" s="18" t="n"/>
      <c r="E1812" s="4" t="n"/>
      <c r="F1812" s="4" t="n"/>
      <c r="G1812" s="4" t="n"/>
      <c r="H1812" s="4" t="n"/>
      <c r="I1812" s="12" t="n"/>
    </row>
    <row r="1813" customFormat="1" s="36">
      <c r="A1813" s="4" t="n"/>
      <c r="B1813" s="4" t="n"/>
      <c r="C1813" s="4" t="n"/>
      <c r="D1813" s="18" t="n"/>
      <c r="E1813" s="4" t="n"/>
      <c r="F1813" s="4" t="n"/>
      <c r="G1813" s="4" t="n"/>
      <c r="H1813" s="4" t="n"/>
      <c r="I1813" s="12" t="n"/>
    </row>
    <row r="1814" customFormat="1" s="36">
      <c r="A1814" s="4" t="n"/>
      <c r="B1814" s="4" t="n"/>
      <c r="C1814" s="4" t="n"/>
      <c r="D1814" s="18" t="n"/>
      <c r="E1814" s="4" t="n"/>
      <c r="F1814" s="4" t="n"/>
      <c r="G1814" s="4" t="n"/>
      <c r="H1814" s="4" t="n"/>
      <c r="I1814" s="12" t="n"/>
    </row>
    <row r="1815" customFormat="1" s="36">
      <c r="A1815" s="4" t="n"/>
      <c r="B1815" s="4" t="n"/>
      <c r="C1815" s="4" t="n"/>
      <c r="D1815" s="18" t="n"/>
      <c r="E1815" s="4" t="n"/>
      <c r="F1815" s="4" t="n"/>
      <c r="G1815" s="4" t="n"/>
      <c r="H1815" s="4" t="n"/>
      <c r="I1815" s="12" t="n"/>
    </row>
    <row r="1816" customFormat="1" s="36">
      <c r="A1816" s="4" t="n"/>
      <c r="B1816" s="4" t="n"/>
      <c r="C1816" s="4" t="n"/>
      <c r="D1816" s="18" t="n"/>
      <c r="E1816" s="4" t="n"/>
      <c r="F1816" s="4" t="n"/>
      <c r="G1816" s="4" t="n"/>
      <c r="H1816" s="4" t="n"/>
      <c r="I1816" s="12" t="n"/>
    </row>
    <row r="1817" customFormat="1" s="36">
      <c r="A1817" s="4" t="n"/>
      <c r="B1817" s="4" t="n"/>
      <c r="C1817" s="4" t="n"/>
      <c r="D1817" s="18" t="n"/>
      <c r="E1817" s="4" t="n"/>
      <c r="F1817" s="4" t="n"/>
      <c r="G1817" s="4" t="n"/>
      <c r="H1817" s="4" t="n"/>
      <c r="I1817" s="12" t="n"/>
    </row>
    <row r="1818" customFormat="1" s="36">
      <c r="A1818" s="4" t="n"/>
      <c r="B1818" s="4" t="n"/>
      <c r="C1818" s="4" t="n"/>
      <c r="D1818" s="18" t="n"/>
      <c r="E1818" s="4" t="n"/>
      <c r="F1818" s="4" t="n"/>
      <c r="G1818" s="4" t="n"/>
      <c r="H1818" s="4" t="n"/>
      <c r="I1818" s="12" t="n"/>
    </row>
    <row r="1819" customFormat="1" s="36">
      <c r="A1819" s="4" t="n"/>
      <c r="B1819" s="4" t="n"/>
      <c r="C1819" s="4" t="n"/>
      <c r="D1819" s="18" t="n"/>
      <c r="E1819" s="4" t="n"/>
      <c r="F1819" s="4" t="n"/>
      <c r="G1819" s="4" t="n"/>
      <c r="H1819" s="4" t="n"/>
      <c r="I1819" s="12" t="n"/>
    </row>
    <row r="1820" customFormat="1" s="36">
      <c r="A1820" s="4" t="n"/>
      <c r="B1820" s="4" t="n"/>
      <c r="C1820" s="4" t="n"/>
      <c r="D1820" s="18" t="n"/>
      <c r="E1820" s="4" t="n"/>
      <c r="F1820" s="4" t="n"/>
      <c r="G1820" s="4" t="n"/>
      <c r="H1820" s="4" t="n"/>
      <c r="I1820" s="12" t="n"/>
    </row>
    <row r="1821" customFormat="1" s="36">
      <c r="A1821" s="4" t="n"/>
      <c r="B1821" s="4" t="n"/>
      <c r="C1821" s="4" t="n"/>
      <c r="D1821" s="18" t="n"/>
      <c r="E1821" s="4" t="n"/>
      <c r="F1821" s="4" t="n"/>
      <c r="G1821" s="4" t="n"/>
      <c r="H1821" s="4" t="n"/>
      <c r="I1821" s="12" t="n"/>
    </row>
    <row r="1822" customFormat="1" s="36">
      <c r="A1822" s="4" t="n"/>
      <c r="B1822" s="4" t="n"/>
      <c r="C1822" s="4" t="n"/>
      <c r="D1822" s="18" t="n"/>
      <c r="E1822" s="4" t="n"/>
      <c r="F1822" s="4" t="n"/>
      <c r="G1822" s="4" t="n"/>
      <c r="H1822" s="4" t="n"/>
      <c r="I1822" s="12" t="n"/>
    </row>
    <row r="1823" customFormat="1" s="36">
      <c r="A1823" s="4" t="n"/>
      <c r="B1823" s="4" t="n"/>
      <c r="C1823" s="4" t="n"/>
      <c r="D1823" s="18" t="n"/>
      <c r="E1823" s="4" t="n"/>
      <c r="F1823" s="4" t="n"/>
      <c r="G1823" s="4" t="n"/>
      <c r="H1823" s="4" t="n"/>
      <c r="I1823" s="12" t="n"/>
    </row>
    <row r="1824" customFormat="1" s="36">
      <c r="A1824" s="4" t="n"/>
      <c r="B1824" s="4" t="n"/>
      <c r="C1824" s="4" t="n"/>
      <c r="D1824" s="18" t="n"/>
      <c r="E1824" s="4" t="n"/>
      <c r="F1824" s="4" t="n"/>
      <c r="G1824" s="4" t="n"/>
      <c r="H1824" s="4" t="n"/>
      <c r="I1824" s="12" t="n"/>
    </row>
    <row r="1825" customFormat="1" s="36">
      <c r="A1825" s="4" t="n"/>
      <c r="B1825" s="4" t="n"/>
      <c r="C1825" s="4" t="n"/>
      <c r="D1825" s="18" t="n"/>
      <c r="E1825" s="4" t="n"/>
      <c r="F1825" s="4" t="n"/>
      <c r="G1825" s="4" t="n"/>
      <c r="H1825" s="4" t="n"/>
      <c r="I1825" s="12" t="n"/>
    </row>
    <row r="1826" customFormat="1" s="36">
      <c r="A1826" s="4" t="n"/>
      <c r="B1826" s="4" t="n"/>
      <c r="C1826" s="4" t="n"/>
      <c r="D1826" s="18" t="n"/>
      <c r="E1826" s="4" t="n"/>
      <c r="F1826" s="4" t="n"/>
      <c r="G1826" s="4" t="n"/>
      <c r="H1826" s="4" t="n"/>
      <c r="I1826" s="12" t="n"/>
    </row>
    <row r="1827" customFormat="1" s="36">
      <c r="A1827" s="4" t="n"/>
      <c r="B1827" s="4" t="n"/>
      <c r="C1827" s="4" t="n"/>
      <c r="D1827" s="18" t="n"/>
      <c r="E1827" s="4" t="n"/>
      <c r="F1827" s="4" t="n"/>
      <c r="G1827" s="4" t="n"/>
      <c r="H1827" s="4" t="n"/>
      <c r="I1827" s="12" t="n"/>
    </row>
    <row r="1828" customFormat="1" s="36">
      <c r="A1828" s="4" t="n"/>
      <c r="B1828" s="4" t="n"/>
      <c r="C1828" s="4" t="n"/>
      <c r="D1828" s="18" t="n"/>
      <c r="E1828" s="4" t="n"/>
      <c r="F1828" s="4" t="n"/>
      <c r="G1828" s="4" t="n"/>
      <c r="H1828" s="4" t="n"/>
      <c r="I1828" s="12" t="n"/>
    </row>
    <row r="1829" customFormat="1" s="36">
      <c r="A1829" s="4" t="n"/>
      <c r="B1829" s="4" t="n"/>
      <c r="C1829" s="4" t="n"/>
      <c r="D1829" s="18" t="n"/>
      <c r="E1829" s="4" t="n"/>
      <c r="F1829" s="4" t="n"/>
      <c r="G1829" s="4" t="n"/>
      <c r="H1829" s="4" t="n"/>
      <c r="I1829" s="12" t="n"/>
    </row>
    <row r="1830" customFormat="1" s="36">
      <c r="A1830" s="4" t="n"/>
      <c r="B1830" s="4" t="n"/>
      <c r="C1830" s="4" t="n"/>
      <c r="D1830" s="18" t="n"/>
      <c r="E1830" s="4" t="n"/>
      <c r="F1830" s="4" t="n"/>
      <c r="G1830" s="4" t="n"/>
      <c r="H1830" s="4" t="n"/>
      <c r="I1830" s="12" t="n"/>
    </row>
    <row r="1831" customFormat="1" s="36">
      <c r="A1831" s="4" t="n"/>
      <c r="B1831" s="4" t="n"/>
      <c r="C1831" s="4" t="n"/>
      <c r="D1831" s="18" t="n"/>
      <c r="E1831" s="4" t="n"/>
      <c r="F1831" s="4" t="n"/>
      <c r="G1831" s="4" t="n"/>
      <c r="H1831" s="4" t="n"/>
      <c r="I1831" s="12" t="n"/>
    </row>
    <row r="1832" customFormat="1" s="36">
      <c r="A1832" s="4" t="n"/>
      <c r="B1832" s="4" t="n"/>
      <c r="C1832" s="4" t="n"/>
      <c r="D1832" s="18" t="n"/>
      <c r="E1832" s="4" t="n"/>
      <c r="F1832" s="4" t="n"/>
      <c r="G1832" s="4" t="n"/>
      <c r="H1832" s="4" t="n"/>
      <c r="I1832" s="12" t="n"/>
    </row>
    <row r="1833" customFormat="1" s="36">
      <c r="A1833" s="4" t="n"/>
      <c r="B1833" s="4" t="n"/>
      <c r="C1833" s="4" t="n"/>
      <c r="D1833" s="18" t="n"/>
      <c r="E1833" s="4" t="n"/>
      <c r="F1833" s="4" t="n"/>
      <c r="G1833" s="4" t="n"/>
      <c r="H1833" s="4" t="n"/>
      <c r="I1833" s="12" t="n"/>
    </row>
    <row r="1834" customFormat="1" s="36">
      <c r="A1834" s="4" t="n"/>
      <c r="B1834" s="4" t="n"/>
      <c r="C1834" s="4" t="n"/>
      <c r="D1834" s="18" t="n"/>
      <c r="E1834" s="4" t="n"/>
      <c r="F1834" s="4" t="n"/>
      <c r="G1834" s="4" t="n"/>
      <c r="H1834" s="4" t="n"/>
      <c r="I1834" s="12" t="n"/>
    </row>
    <row r="1835" customFormat="1" s="36">
      <c r="A1835" s="4" t="n"/>
      <c r="B1835" s="4" t="n"/>
      <c r="C1835" s="4" t="n"/>
      <c r="D1835" s="18" t="n"/>
      <c r="E1835" s="4" t="n"/>
      <c r="F1835" s="4" t="n"/>
      <c r="G1835" s="4" t="n"/>
      <c r="H1835" s="4" t="n"/>
      <c r="I1835" s="12" t="n"/>
    </row>
    <row r="1836" customFormat="1" s="36">
      <c r="A1836" s="4" t="n"/>
      <c r="B1836" s="4" t="n"/>
      <c r="C1836" s="4" t="n"/>
      <c r="D1836" s="18" t="n"/>
      <c r="E1836" s="4" t="n"/>
      <c r="F1836" s="4" t="n"/>
      <c r="G1836" s="4" t="n"/>
      <c r="H1836" s="4" t="n"/>
      <c r="I1836" s="12" t="n"/>
    </row>
    <row r="1837" customFormat="1" s="36">
      <c r="A1837" s="4" t="n"/>
      <c r="B1837" s="4" t="n"/>
      <c r="C1837" s="4" t="n"/>
      <c r="D1837" s="18" t="n"/>
      <c r="E1837" s="4" t="n"/>
      <c r="F1837" s="4" t="n"/>
      <c r="G1837" s="4" t="n"/>
      <c r="H1837" s="4" t="n"/>
      <c r="I1837" s="12" t="n"/>
    </row>
    <row r="1838" customFormat="1" s="36">
      <c r="A1838" s="4" t="n"/>
      <c r="B1838" s="4" t="n"/>
      <c r="C1838" s="4" t="n"/>
      <c r="D1838" s="18" t="n"/>
      <c r="E1838" s="4" t="n"/>
      <c r="F1838" s="4" t="n"/>
      <c r="G1838" s="4" t="n"/>
      <c r="H1838" s="4" t="n"/>
      <c r="I1838" s="12" t="n"/>
    </row>
    <row r="1839" customFormat="1" s="36">
      <c r="A1839" s="4" t="n"/>
      <c r="B1839" s="4" t="n"/>
      <c r="C1839" s="4" t="n"/>
      <c r="D1839" s="18" t="n"/>
      <c r="E1839" s="4" t="n"/>
      <c r="F1839" s="4" t="n"/>
      <c r="G1839" s="4" t="n"/>
      <c r="H1839" s="4" t="n"/>
      <c r="I1839" s="12" t="n"/>
    </row>
    <row r="1840" customFormat="1" s="36">
      <c r="A1840" s="4" t="n"/>
      <c r="B1840" s="4" t="n"/>
      <c r="C1840" s="4" t="n"/>
      <c r="D1840" s="18" t="n"/>
      <c r="E1840" s="4" t="n"/>
      <c r="F1840" s="4" t="n"/>
      <c r="G1840" s="4" t="n"/>
      <c r="H1840" s="4" t="n"/>
      <c r="I1840" s="12" t="n"/>
    </row>
    <row r="1841" customFormat="1" s="36">
      <c r="A1841" s="4" t="n"/>
      <c r="B1841" s="4" t="n"/>
      <c r="C1841" s="4" t="n"/>
      <c r="D1841" s="18" t="n"/>
      <c r="E1841" s="4" t="n"/>
      <c r="F1841" s="4" t="n"/>
      <c r="G1841" s="4" t="n"/>
      <c r="H1841" s="4" t="n"/>
      <c r="I1841" s="12" t="n"/>
    </row>
    <row r="1842" customFormat="1" s="36">
      <c r="A1842" s="4" t="n"/>
      <c r="B1842" s="4" t="n"/>
      <c r="C1842" s="4" t="n"/>
      <c r="D1842" s="18" t="n"/>
      <c r="E1842" s="4" t="n"/>
      <c r="F1842" s="4" t="n"/>
      <c r="G1842" s="4" t="n"/>
      <c r="H1842" s="4" t="n"/>
      <c r="I1842" s="12" t="n"/>
    </row>
    <row r="1843" customFormat="1" s="36">
      <c r="A1843" s="4" t="n"/>
      <c r="B1843" s="4" t="n"/>
      <c r="C1843" s="4" t="n"/>
      <c r="D1843" s="18" t="n"/>
      <c r="E1843" s="4" t="n"/>
      <c r="F1843" s="4" t="n"/>
      <c r="G1843" s="4" t="n"/>
      <c r="H1843" s="4" t="n"/>
      <c r="I1843" s="12" t="n"/>
    </row>
    <row r="1844" customFormat="1" s="36">
      <c r="A1844" s="4" t="n"/>
      <c r="B1844" s="4" t="n"/>
      <c r="C1844" s="4" t="n"/>
      <c r="D1844" s="18" t="n"/>
      <c r="E1844" s="4" t="n"/>
      <c r="F1844" s="4" t="n"/>
      <c r="G1844" s="4" t="n"/>
      <c r="H1844" s="4" t="n"/>
      <c r="I1844" s="12" t="n"/>
    </row>
    <row r="1845" customFormat="1" s="36">
      <c r="A1845" s="4" t="n"/>
      <c r="B1845" s="4" t="n"/>
      <c r="C1845" s="4" t="n"/>
      <c r="D1845" s="18" t="n"/>
      <c r="E1845" s="4" t="n"/>
      <c r="F1845" s="4" t="n"/>
      <c r="G1845" s="4" t="n"/>
      <c r="H1845" s="4" t="n"/>
      <c r="I1845" s="12" t="n"/>
    </row>
    <row r="1846" customFormat="1" s="36">
      <c r="A1846" s="4" t="n"/>
      <c r="B1846" s="4" t="n"/>
      <c r="C1846" s="4" t="n"/>
      <c r="D1846" s="18" t="n"/>
      <c r="E1846" s="4" t="n"/>
      <c r="F1846" s="4" t="n"/>
      <c r="G1846" s="4" t="n"/>
      <c r="H1846" s="4" t="n"/>
      <c r="I1846" s="12" t="n"/>
    </row>
    <row r="1847" customFormat="1" s="36">
      <c r="A1847" s="4" t="n"/>
      <c r="B1847" s="4" t="n"/>
      <c r="C1847" s="4" t="n"/>
      <c r="D1847" s="18" t="n"/>
      <c r="E1847" s="4" t="n"/>
      <c r="F1847" s="4" t="n"/>
      <c r="G1847" s="4" t="n"/>
      <c r="H1847" s="4" t="n"/>
      <c r="I1847" s="12" t="n"/>
    </row>
    <row r="1848" customFormat="1" s="36">
      <c r="A1848" s="4" t="n"/>
      <c r="B1848" s="4" t="n"/>
      <c r="C1848" s="4" t="n"/>
      <c r="D1848" s="18" t="n"/>
      <c r="E1848" s="4" t="n"/>
      <c r="F1848" s="4" t="n"/>
      <c r="G1848" s="4" t="n"/>
      <c r="H1848" s="4" t="n"/>
      <c r="I1848" s="12" t="n"/>
    </row>
    <row r="1849" customFormat="1" s="36">
      <c r="A1849" s="4" t="n"/>
      <c r="B1849" s="4" t="n"/>
      <c r="C1849" s="4" t="n"/>
      <c r="D1849" s="18" t="n"/>
      <c r="E1849" s="4" t="n"/>
      <c r="F1849" s="4" t="n"/>
      <c r="G1849" s="4" t="n"/>
      <c r="H1849" s="4" t="n"/>
      <c r="I1849" s="12" t="n"/>
    </row>
    <row r="1850" customFormat="1" s="36">
      <c r="A1850" s="4" t="n"/>
      <c r="B1850" s="4" t="n"/>
      <c r="C1850" s="4" t="n"/>
      <c r="D1850" s="18" t="n"/>
      <c r="E1850" s="4" t="n"/>
      <c r="F1850" s="4" t="n"/>
      <c r="G1850" s="4" t="n"/>
      <c r="H1850" s="4" t="n"/>
      <c r="I1850" s="12" t="n"/>
    </row>
    <row r="1851" customFormat="1" s="36">
      <c r="A1851" s="4" t="n"/>
      <c r="B1851" s="4" t="n"/>
      <c r="C1851" s="4" t="n"/>
      <c r="D1851" s="18" t="n"/>
      <c r="E1851" s="4" t="n"/>
      <c r="F1851" s="4" t="n"/>
      <c r="G1851" s="4" t="n"/>
      <c r="H1851" s="4" t="n"/>
      <c r="I1851" s="12" t="n"/>
    </row>
    <row r="1852" customFormat="1" s="36">
      <c r="A1852" s="4" t="n"/>
      <c r="B1852" s="4" t="n"/>
      <c r="C1852" s="4" t="n"/>
      <c r="D1852" s="18" t="n"/>
      <c r="E1852" s="4" t="n"/>
      <c r="F1852" s="4" t="n"/>
      <c r="G1852" s="4" t="n"/>
      <c r="H1852" s="4" t="n"/>
      <c r="I1852" s="12" t="n"/>
    </row>
    <row r="1853" customFormat="1" s="36">
      <c r="A1853" s="4" t="n"/>
      <c r="B1853" s="4" t="n"/>
      <c r="C1853" s="4" t="n"/>
      <c r="D1853" s="18" t="n"/>
      <c r="E1853" s="4" t="n"/>
      <c r="F1853" s="4" t="n"/>
      <c r="G1853" s="4" t="n"/>
      <c r="H1853" s="4" t="n"/>
      <c r="I1853" s="12" t="n"/>
    </row>
    <row r="1854" customFormat="1" s="36">
      <c r="A1854" s="4" t="n"/>
      <c r="B1854" s="4" t="n"/>
      <c r="C1854" s="4" t="n"/>
      <c r="D1854" s="18" t="n"/>
      <c r="E1854" s="4" t="n"/>
      <c r="F1854" s="4" t="n"/>
      <c r="G1854" s="4" t="n"/>
      <c r="H1854" s="4" t="n"/>
      <c r="I1854" s="12" t="n"/>
    </row>
    <row r="1855" customFormat="1" s="36">
      <c r="A1855" s="4" t="n"/>
      <c r="B1855" s="4" t="n"/>
      <c r="C1855" s="4" t="n"/>
      <c r="D1855" s="18" t="n"/>
      <c r="E1855" s="4" t="n"/>
      <c r="F1855" s="4" t="n"/>
      <c r="G1855" s="4" t="n"/>
      <c r="H1855" s="4" t="n"/>
      <c r="I1855" s="12" t="n"/>
    </row>
    <row r="1856" customFormat="1" s="36">
      <c r="A1856" s="4" t="n"/>
      <c r="B1856" s="4" t="n"/>
      <c r="C1856" s="4" t="n"/>
      <c r="D1856" s="18" t="n"/>
      <c r="E1856" s="4" t="n"/>
      <c r="F1856" s="4" t="n"/>
      <c r="G1856" s="4" t="n"/>
      <c r="H1856" s="4" t="n"/>
      <c r="I1856" s="12" t="n"/>
    </row>
    <row r="1857" customFormat="1" s="36">
      <c r="A1857" s="4" t="n"/>
      <c r="B1857" s="4" t="n"/>
      <c r="C1857" s="4" t="n"/>
      <c r="D1857" s="18" t="n"/>
      <c r="E1857" s="4" t="n"/>
      <c r="F1857" s="4" t="n"/>
      <c r="G1857" s="4" t="n"/>
      <c r="H1857" s="4" t="n"/>
      <c r="I1857" s="12" t="n"/>
    </row>
    <row r="1858" customFormat="1" s="36">
      <c r="A1858" s="4" t="n"/>
      <c r="B1858" s="4" t="n"/>
      <c r="C1858" s="4" t="n"/>
      <c r="D1858" s="18" t="n"/>
      <c r="E1858" s="4" t="n"/>
      <c r="F1858" s="4" t="n"/>
      <c r="G1858" s="4" t="n"/>
      <c r="H1858" s="4" t="n"/>
      <c r="I1858" s="12" t="n"/>
    </row>
    <row r="1859" customFormat="1" s="36">
      <c r="A1859" s="4" t="n"/>
      <c r="B1859" s="4" t="n"/>
      <c r="C1859" s="4" t="n"/>
      <c r="D1859" s="18" t="n"/>
      <c r="E1859" s="4" t="n"/>
      <c r="F1859" s="4" t="n"/>
      <c r="G1859" s="4" t="n"/>
      <c r="H1859" s="4" t="n"/>
      <c r="I1859" s="12" t="n"/>
    </row>
    <row r="1860" customFormat="1" s="36">
      <c r="A1860" s="4" t="n"/>
      <c r="B1860" s="4" t="n"/>
      <c r="C1860" s="4" t="n"/>
      <c r="D1860" s="18" t="n"/>
      <c r="E1860" s="4" t="n"/>
      <c r="F1860" s="4" t="n"/>
      <c r="G1860" s="4" t="n"/>
      <c r="H1860" s="4" t="n"/>
      <c r="I1860" s="12" t="n"/>
    </row>
    <row r="1861" customFormat="1" s="36">
      <c r="A1861" s="4" t="n"/>
      <c r="B1861" s="4" t="n"/>
      <c r="C1861" s="4" t="n"/>
      <c r="D1861" s="18" t="n"/>
      <c r="E1861" s="4" t="n"/>
      <c r="F1861" s="4" t="n"/>
      <c r="G1861" s="4" t="n"/>
      <c r="H1861" s="4" t="n"/>
      <c r="I1861" s="12" t="n"/>
    </row>
    <row r="1862" customFormat="1" s="36">
      <c r="A1862" s="4" t="n"/>
      <c r="B1862" s="4" t="n"/>
      <c r="C1862" s="4" t="n"/>
      <c r="D1862" s="18" t="n"/>
      <c r="E1862" s="4" t="n"/>
      <c r="F1862" s="4" t="n"/>
      <c r="G1862" s="4" t="n"/>
      <c r="H1862" s="4" t="n"/>
      <c r="I1862" s="12" t="n"/>
    </row>
    <row r="1863" customFormat="1" s="36">
      <c r="A1863" s="4" t="n"/>
      <c r="B1863" s="4" t="n"/>
      <c r="C1863" s="4" t="n"/>
      <c r="D1863" s="18" t="n"/>
      <c r="E1863" s="4" t="n"/>
      <c r="F1863" s="4" t="n"/>
      <c r="G1863" s="4" t="n"/>
      <c r="H1863" s="4" t="n"/>
      <c r="I1863" s="12" t="n"/>
    </row>
    <row r="1864" customFormat="1" s="36">
      <c r="A1864" s="4" t="n"/>
      <c r="B1864" s="4" t="n"/>
      <c r="C1864" s="4" t="n"/>
      <c r="D1864" s="18" t="n"/>
      <c r="E1864" s="4" t="n"/>
      <c r="F1864" s="4" t="n"/>
      <c r="G1864" s="4" t="n"/>
      <c r="H1864" s="4" t="n"/>
      <c r="I1864" s="12" t="n"/>
    </row>
    <row r="1865" customFormat="1" s="36">
      <c r="A1865" s="4" t="n"/>
      <c r="B1865" s="4" t="n"/>
      <c r="C1865" s="4" t="n"/>
      <c r="D1865" s="18" t="n"/>
      <c r="E1865" s="4" t="n"/>
      <c r="F1865" s="4" t="n"/>
      <c r="G1865" s="4" t="n"/>
      <c r="H1865" s="4" t="n"/>
      <c r="I1865" s="12" t="n"/>
    </row>
    <row r="1866" customFormat="1" s="36">
      <c r="A1866" s="4" t="n"/>
      <c r="B1866" s="4" t="n"/>
      <c r="C1866" s="4" t="n"/>
      <c r="D1866" s="18" t="n"/>
      <c r="E1866" s="4" t="n"/>
      <c r="F1866" s="4" t="n"/>
      <c r="G1866" s="4" t="n"/>
      <c r="H1866" s="4" t="n"/>
      <c r="I1866" s="12" t="n"/>
    </row>
    <row r="1867" customFormat="1" s="36">
      <c r="A1867" s="4" t="n"/>
      <c r="B1867" s="4" t="n"/>
      <c r="C1867" s="4" t="n"/>
      <c r="D1867" s="18" t="n"/>
      <c r="E1867" s="4" t="n"/>
      <c r="F1867" s="4" t="n"/>
      <c r="G1867" s="4" t="n"/>
      <c r="H1867" s="4" t="n"/>
      <c r="I1867" s="12" t="n"/>
    </row>
    <row r="1868" customFormat="1" s="36">
      <c r="A1868" s="4" t="n"/>
      <c r="B1868" s="4" t="n"/>
      <c r="C1868" s="4" t="n"/>
      <c r="D1868" s="18" t="n"/>
      <c r="E1868" s="4" t="n"/>
      <c r="F1868" s="4" t="n"/>
      <c r="G1868" s="4" t="n"/>
      <c r="H1868" s="4" t="n"/>
      <c r="I1868" s="12" t="n"/>
    </row>
    <row r="1869" customFormat="1" s="36">
      <c r="A1869" s="4" t="n"/>
      <c r="B1869" s="4" t="n"/>
      <c r="C1869" s="4" t="n"/>
      <c r="D1869" s="18" t="n"/>
      <c r="E1869" s="4" t="n"/>
      <c r="F1869" s="4" t="n"/>
      <c r="G1869" s="4" t="n"/>
      <c r="H1869" s="4" t="n"/>
      <c r="I1869" s="12" t="n"/>
    </row>
    <row r="1870" customFormat="1" s="36">
      <c r="A1870" s="4" t="n"/>
      <c r="B1870" s="4" t="n"/>
      <c r="C1870" s="4" t="n"/>
      <c r="D1870" s="18" t="n"/>
      <c r="E1870" s="4" t="n"/>
      <c r="F1870" s="4" t="n"/>
      <c r="G1870" s="4" t="n"/>
      <c r="H1870" s="4" t="n"/>
      <c r="I1870" s="12" t="n"/>
    </row>
    <row r="1871" customFormat="1" s="36">
      <c r="A1871" s="4" t="n"/>
      <c r="B1871" s="4" t="n"/>
      <c r="C1871" s="4" t="n"/>
      <c r="D1871" s="18" t="n"/>
      <c r="E1871" s="4" t="n"/>
      <c r="F1871" s="4" t="n"/>
      <c r="G1871" s="4" t="n"/>
      <c r="H1871" s="4" t="n"/>
      <c r="I1871" s="12" t="n"/>
    </row>
    <row r="1872" customFormat="1" s="36">
      <c r="A1872" s="4" t="n"/>
      <c r="B1872" s="4" t="n"/>
      <c r="C1872" s="4" t="n"/>
      <c r="D1872" s="18" t="n"/>
      <c r="E1872" s="4" t="n"/>
      <c r="F1872" s="4" t="n"/>
      <c r="G1872" s="4" t="n"/>
      <c r="H1872" s="4" t="n"/>
      <c r="I1872" s="12" t="n"/>
    </row>
    <row r="1873" customFormat="1" s="36">
      <c r="A1873" s="4" t="n"/>
      <c r="B1873" s="4" t="n"/>
      <c r="C1873" s="4" t="n"/>
      <c r="D1873" s="18" t="n"/>
      <c r="E1873" s="4" t="n"/>
      <c r="F1873" s="4" t="n"/>
      <c r="G1873" s="4" t="n"/>
      <c r="H1873" s="4" t="n"/>
      <c r="I1873" s="12" t="n"/>
    </row>
    <row r="1874" customFormat="1" s="36">
      <c r="A1874" s="4" t="n"/>
      <c r="B1874" s="4" t="n"/>
      <c r="C1874" s="4" t="n"/>
      <c r="D1874" s="18" t="n"/>
      <c r="E1874" s="4" t="n"/>
      <c r="F1874" s="4" t="n"/>
      <c r="G1874" s="4" t="n"/>
      <c r="H1874" s="4" t="n"/>
      <c r="I1874" s="12" t="n"/>
    </row>
    <row r="1875" customFormat="1" s="36">
      <c r="A1875" s="4" t="n"/>
      <c r="B1875" s="4" t="n"/>
      <c r="C1875" s="4" t="n"/>
      <c r="D1875" s="18" t="n"/>
      <c r="E1875" s="4" t="n"/>
      <c r="F1875" s="4" t="n"/>
      <c r="G1875" s="4" t="n"/>
      <c r="H1875" s="4" t="n"/>
      <c r="I1875" s="12" t="n"/>
    </row>
    <row r="1876" customFormat="1" s="36">
      <c r="A1876" s="4" t="n"/>
      <c r="B1876" s="4" t="n"/>
      <c r="C1876" s="4" t="n"/>
      <c r="D1876" s="18" t="n"/>
      <c r="E1876" s="4" t="n"/>
      <c r="F1876" s="4" t="n"/>
      <c r="G1876" s="4" t="n"/>
      <c r="H1876" s="4" t="n"/>
      <c r="I1876" s="12" t="n"/>
    </row>
    <row r="1877" customFormat="1" s="36">
      <c r="A1877" s="4" t="n"/>
      <c r="B1877" s="4" t="n"/>
      <c r="C1877" s="4" t="n"/>
      <c r="D1877" s="18" t="n"/>
      <c r="E1877" s="4" t="n"/>
      <c r="F1877" s="4" t="n"/>
      <c r="G1877" s="4" t="n"/>
      <c r="H1877" s="4" t="n"/>
      <c r="I1877" s="12" t="n"/>
    </row>
    <row r="1878" customFormat="1" s="36">
      <c r="A1878" s="4" t="n"/>
      <c r="B1878" s="4" t="n"/>
      <c r="C1878" s="4" t="n"/>
      <c r="D1878" s="18" t="n"/>
      <c r="E1878" s="4" t="n"/>
      <c r="F1878" s="4" t="n"/>
      <c r="G1878" s="4" t="n"/>
      <c r="H1878" s="4" t="n"/>
      <c r="I1878" s="12" t="n"/>
    </row>
    <row r="1879" customFormat="1" s="36">
      <c r="A1879" s="4" t="n"/>
      <c r="B1879" s="4" t="n"/>
      <c r="C1879" s="4" t="n"/>
      <c r="D1879" s="18" t="n"/>
      <c r="E1879" s="4" t="n"/>
      <c r="F1879" s="4" t="n"/>
      <c r="G1879" s="4" t="n"/>
      <c r="H1879" s="4" t="n"/>
      <c r="I1879" s="12" t="n"/>
    </row>
    <row r="1880" customFormat="1" s="36">
      <c r="A1880" s="4" t="n"/>
      <c r="B1880" s="4" t="n"/>
      <c r="C1880" s="4" t="n"/>
      <c r="D1880" s="18" t="n"/>
      <c r="E1880" s="4" t="n"/>
      <c r="F1880" s="4" t="n"/>
      <c r="G1880" s="4" t="n"/>
      <c r="H1880" s="4" t="n"/>
      <c r="I1880" s="12" t="n"/>
    </row>
    <row r="1881" customFormat="1" s="36">
      <c r="A1881" s="4" t="n"/>
      <c r="B1881" s="4" t="n"/>
      <c r="C1881" s="4" t="n"/>
      <c r="D1881" s="18" t="n"/>
      <c r="E1881" s="4" t="n"/>
      <c r="F1881" s="4" t="n"/>
      <c r="G1881" s="4" t="n"/>
      <c r="H1881" s="4" t="n"/>
      <c r="I1881" s="12" t="n"/>
    </row>
    <row r="1882" customFormat="1" s="36">
      <c r="A1882" s="4" t="n"/>
      <c r="B1882" s="4" t="n"/>
      <c r="C1882" s="4" t="n"/>
      <c r="D1882" s="18" t="n"/>
      <c r="E1882" s="4" t="n"/>
      <c r="F1882" s="4" t="n"/>
      <c r="G1882" s="4" t="n"/>
      <c r="H1882" s="4" t="n"/>
      <c r="I1882" s="12" t="n"/>
    </row>
    <row r="1883" customFormat="1" s="36">
      <c r="A1883" s="4" t="n"/>
      <c r="B1883" s="4" t="n"/>
      <c r="C1883" s="4" t="n"/>
      <c r="D1883" s="18" t="n"/>
      <c r="E1883" s="4" t="n"/>
      <c r="F1883" s="4" t="n"/>
      <c r="G1883" s="4" t="n"/>
      <c r="H1883" s="4" t="n"/>
      <c r="I1883" s="12" t="n"/>
    </row>
    <row r="1884" customFormat="1" s="36">
      <c r="A1884" s="4" t="n"/>
      <c r="B1884" s="4" t="n"/>
      <c r="C1884" s="4" t="n"/>
      <c r="D1884" s="18" t="n"/>
      <c r="E1884" s="4" t="n"/>
      <c r="F1884" s="4" t="n"/>
      <c r="G1884" s="4" t="n"/>
      <c r="H1884" s="4" t="n"/>
      <c r="I1884" s="12" t="n"/>
    </row>
    <row r="1885" customFormat="1" s="36">
      <c r="A1885" s="4" t="n"/>
      <c r="B1885" s="4" t="n"/>
      <c r="C1885" s="4" t="n"/>
      <c r="D1885" s="18" t="n"/>
      <c r="E1885" s="4" t="n"/>
      <c r="F1885" s="4" t="n"/>
      <c r="G1885" s="4" t="n"/>
      <c r="H1885" s="4" t="n"/>
      <c r="I1885" s="12" t="n"/>
    </row>
    <row r="1886" customFormat="1" s="36">
      <c r="A1886" s="4" t="n"/>
      <c r="B1886" s="4" t="n"/>
      <c r="C1886" s="4" t="n"/>
      <c r="D1886" s="18" t="n"/>
      <c r="E1886" s="4" t="n"/>
      <c r="F1886" s="4" t="n"/>
      <c r="G1886" s="4" t="n"/>
      <c r="H1886" s="4" t="n"/>
      <c r="I1886" s="12" t="n"/>
    </row>
    <row r="1887" customFormat="1" s="36">
      <c r="A1887" s="4" t="n"/>
      <c r="B1887" s="4" t="n"/>
      <c r="C1887" s="4" t="n"/>
      <c r="D1887" s="18" t="n"/>
      <c r="E1887" s="4" t="n"/>
      <c r="F1887" s="4" t="n"/>
      <c r="G1887" s="4" t="n"/>
      <c r="H1887" s="4" t="n"/>
      <c r="I1887" s="12" t="n"/>
    </row>
    <row r="1888" customFormat="1" s="36">
      <c r="A1888" s="4" t="n"/>
      <c r="B1888" s="4" t="n"/>
      <c r="C1888" s="4" t="n"/>
      <c r="D1888" s="18" t="n"/>
      <c r="E1888" s="4" t="n"/>
      <c r="F1888" s="4" t="n"/>
      <c r="G1888" s="4" t="n"/>
      <c r="H1888" s="4" t="n"/>
      <c r="I1888" s="12" t="n"/>
    </row>
    <row r="1889" customFormat="1" s="36">
      <c r="A1889" s="4" t="n"/>
      <c r="B1889" s="4" t="n"/>
      <c r="C1889" s="4" t="n"/>
      <c r="D1889" s="18" t="n"/>
      <c r="E1889" s="4" t="n"/>
      <c r="F1889" s="4" t="n"/>
      <c r="G1889" s="4" t="n"/>
      <c r="H1889" s="4" t="n"/>
      <c r="I1889" s="12" t="n"/>
    </row>
    <row r="1890" customFormat="1" s="36">
      <c r="A1890" s="4" t="n"/>
      <c r="B1890" s="4" t="n"/>
      <c r="C1890" s="4" t="n"/>
      <c r="D1890" s="18" t="n"/>
      <c r="E1890" s="4" t="n"/>
      <c r="F1890" s="4" t="n"/>
      <c r="G1890" s="4" t="n"/>
      <c r="H1890" s="4" t="n"/>
      <c r="I1890" s="12" t="n"/>
    </row>
    <row r="1891" customFormat="1" s="36">
      <c r="A1891" s="4" t="n"/>
      <c r="B1891" s="4" t="n"/>
      <c r="C1891" s="4" t="n"/>
      <c r="D1891" s="18" t="n"/>
      <c r="E1891" s="4" t="n"/>
      <c r="F1891" s="4" t="n"/>
      <c r="G1891" s="4" t="n"/>
      <c r="H1891" s="4" t="n"/>
      <c r="I1891" s="12" t="n"/>
    </row>
    <row r="1892" customFormat="1" s="36">
      <c r="A1892" s="4" t="n"/>
      <c r="B1892" s="4" t="n"/>
      <c r="C1892" s="4" t="n"/>
      <c r="D1892" s="18" t="n"/>
      <c r="E1892" s="4" t="n"/>
      <c r="F1892" s="4" t="n"/>
      <c r="G1892" s="4" t="n"/>
      <c r="H1892" s="4" t="n"/>
      <c r="I1892" s="12" t="n"/>
    </row>
    <row r="1893" customFormat="1" s="36">
      <c r="A1893" s="4" t="n"/>
      <c r="B1893" s="4" t="n"/>
      <c r="C1893" s="4" t="n"/>
      <c r="D1893" s="18" t="n"/>
      <c r="E1893" s="4" t="n"/>
      <c r="F1893" s="4" t="n"/>
      <c r="G1893" s="4" t="n"/>
      <c r="H1893" s="4" t="n"/>
      <c r="I1893" s="12" t="n"/>
    </row>
    <row r="1894" customFormat="1" s="36">
      <c r="A1894" s="4" t="n"/>
      <c r="B1894" s="4" t="n"/>
      <c r="C1894" s="4" t="n"/>
      <c r="D1894" s="18" t="n"/>
      <c r="E1894" s="4" t="n"/>
      <c r="F1894" s="4" t="n"/>
      <c r="G1894" s="4" t="n"/>
      <c r="H1894" s="4" t="n"/>
      <c r="I1894" s="12" t="n"/>
    </row>
    <row r="1895" customFormat="1" s="36">
      <c r="A1895" s="4" t="n"/>
      <c r="B1895" s="4" t="n"/>
      <c r="C1895" s="4" t="n"/>
      <c r="D1895" s="18" t="n"/>
      <c r="E1895" s="4" t="n"/>
      <c r="F1895" s="4" t="n"/>
      <c r="G1895" s="4" t="n"/>
      <c r="H1895" s="4" t="n"/>
      <c r="I1895" s="12" t="n"/>
    </row>
    <row r="1896" customFormat="1" s="36">
      <c r="A1896" s="4" t="n"/>
      <c r="B1896" s="4" t="n"/>
      <c r="C1896" s="4" t="n"/>
      <c r="D1896" s="18" t="n"/>
      <c r="E1896" s="4" t="n"/>
      <c r="F1896" s="4" t="n"/>
      <c r="G1896" s="4" t="n"/>
      <c r="H1896" s="4" t="n"/>
      <c r="I1896" s="12" t="n"/>
    </row>
    <row r="1897" customFormat="1" s="36">
      <c r="A1897" s="4" t="n"/>
      <c r="B1897" s="4" t="n"/>
      <c r="C1897" s="4" t="n"/>
      <c r="D1897" s="18" t="n"/>
      <c r="E1897" s="4" t="n"/>
      <c r="F1897" s="4" t="n"/>
      <c r="G1897" s="4" t="n"/>
      <c r="H1897" s="4" t="n"/>
      <c r="I1897" s="12" t="n"/>
    </row>
    <row r="1898" customFormat="1" s="36">
      <c r="A1898" s="4" t="n"/>
      <c r="B1898" s="4" t="n"/>
      <c r="C1898" s="4" t="n"/>
      <c r="D1898" s="18" t="n"/>
      <c r="E1898" s="4" t="n"/>
      <c r="F1898" s="4" t="n"/>
      <c r="G1898" s="4" t="n"/>
      <c r="H1898" s="4" t="n"/>
      <c r="I1898" s="12" t="n"/>
    </row>
    <row r="1899" customFormat="1" s="36">
      <c r="A1899" s="4" t="n"/>
      <c r="B1899" s="4" t="n"/>
      <c r="C1899" s="4" t="n"/>
      <c r="D1899" s="18" t="n"/>
      <c r="E1899" s="4" t="n"/>
      <c r="F1899" s="4" t="n"/>
      <c r="G1899" s="4" t="n"/>
      <c r="H1899" s="4" t="n"/>
      <c r="I1899" s="12" t="n"/>
    </row>
    <row r="1900" customFormat="1" s="36">
      <c r="A1900" s="4" t="n"/>
      <c r="B1900" s="4" t="n"/>
      <c r="C1900" s="4" t="n"/>
      <c r="D1900" s="18" t="n"/>
      <c r="E1900" s="4" t="n"/>
      <c r="F1900" s="4" t="n"/>
      <c r="G1900" s="4" t="n"/>
      <c r="H1900" s="4" t="n"/>
      <c r="I1900" s="12" t="n"/>
    </row>
    <row r="1901" customFormat="1" s="36">
      <c r="A1901" s="4" t="n"/>
      <c r="B1901" s="4" t="n"/>
      <c r="C1901" s="4" t="n"/>
      <c r="D1901" s="18" t="n"/>
      <c r="E1901" s="4" t="n"/>
      <c r="F1901" s="4" t="n"/>
      <c r="G1901" s="4" t="n"/>
      <c r="H1901" s="4" t="n"/>
      <c r="I1901" s="12" t="n"/>
    </row>
    <row r="1902" customFormat="1" s="36">
      <c r="A1902" s="4" t="n"/>
      <c r="B1902" s="4" t="n"/>
      <c r="C1902" s="4" t="n"/>
      <c r="D1902" s="18" t="n"/>
      <c r="E1902" s="4" t="n"/>
      <c r="F1902" s="4" t="n"/>
      <c r="G1902" s="4" t="n"/>
      <c r="H1902" s="4" t="n"/>
      <c r="I1902" s="12" t="n"/>
    </row>
    <row r="1903" customFormat="1" s="36">
      <c r="A1903" s="4" t="n"/>
      <c r="B1903" s="4" t="n"/>
      <c r="C1903" s="4" t="n"/>
      <c r="D1903" s="18" t="n"/>
      <c r="E1903" s="4" t="n"/>
      <c r="F1903" s="4" t="n"/>
      <c r="G1903" s="4" t="n"/>
      <c r="H1903" s="4" t="n"/>
      <c r="I1903" s="12" t="n"/>
    </row>
    <row r="1904" customFormat="1" s="36">
      <c r="A1904" s="4" t="n"/>
      <c r="B1904" s="4" t="n"/>
      <c r="C1904" s="4" t="n"/>
      <c r="D1904" s="18" t="n"/>
      <c r="E1904" s="4" t="n"/>
      <c r="F1904" s="4" t="n"/>
      <c r="G1904" s="4" t="n"/>
      <c r="H1904" s="4" t="n"/>
      <c r="I1904" s="12" t="n"/>
    </row>
    <row r="1905" customFormat="1" s="36">
      <c r="A1905" s="4" t="n"/>
      <c r="B1905" s="4" t="n"/>
      <c r="C1905" s="4" t="n"/>
      <c r="D1905" s="18" t="n"/>
      <c r="E1905" s="4" t="n"/>
      <c r="F1905" s="4" t="n"/>
      <c r="G1905" s="4" t="n"/>
      <c r="H1905" s="4" t="n"/>
      <c r="I1905" s="12" t="n"/>
    </row>
    <row r="1906" customFormat="1" s="36">
      <c r="A1906" s="4" t="n"/>
      <c r="B1906" s="4" t="n"/>
      <c r="C1906" s="4" t="n"/>
      <c r="D1906" s="18" t="n"/>
      <c r="E1906" s="4" t="n"/>
      <c r="F1906" s="4" t="n"/>
      <c r="G1906" s="4" t="n"/>
      <c r="H1906" s="4" t="n"/>
      <c r="I1906" s="12" t="n"/>
    </row>
    <row r="1907" customFormat="1" s="36">
      <c r="A1907" s="4" t="n"/>
      <c r="B1907" s="4" t="n"/>
      <c r="C1907" s="4" t="n"/>
      <c r="D1907" s="18" t="n"/>
      <c r="E1907" s="4" t="n"/>
      <c r="F1907" s="4" t="n"/>
      <c r="G1907" s="4" t="n"/>
      <c r="H1907" s="4" t="n"/>
      <c r="I1907" s="12" t="n"/>
    </row>
    <row r="1908" customFormat="1" s="36">
      <c r="A1908" s="4" t="n"/>
      <c r="B1908" s="4" t="n"/>
      <c r="C1908" s="4" t="n"/>
      <c r="D1908" s="18" t="n"/>
      <c r="E1908" s="4" t="n"/>
      <c r="F1908" s="4" t="n"/>
      <c r="G1908" s="4" t="n"/>
      <c r="H1908" s="4" t="n"/>
      <c r="I1908" s="12" t="n"/>
    </row>
    <row r="1909" customFormat="1" s="36">
      <c r="A1909" s="4" t="n"/>
      <c r="B1909" s="4" t="n"/>
      <c r="C1909" s="4" t="n"/>
      <c r="D1909" s="18" t="n"/>
      <c r="E1909" s="4" t="n"/>
      <c r="F1909" s="4" t="n"/>
      <c r="G1909" s="4" t="n"/>
      <c r="H1909" s="4" t="n"/>
      <c r="I1909" s="12" t="n"/>
    </row>
    <row r="1910" customFormat="1" s="36">
      <c r="A1910" s="4" t="n"/>
      <c r="B1910" s="4" t="n"/>
      <c r="C1910" s="4" t="n"/>
      <c r="D1910" s="18" t="n"/>
      <c r="E1910" s="4" t="n"/>
      <c r="F1910" s="4" t="n"/>
      <c r="G1910" s="4" t="n"/>
      <c r="H1910" s="4" t="n"/>
      <c r="I1910" s="12" t="n"/>
    </row>
    <row r="1911" customFormat="1" s="36">
      <c r="A1911" s="4" t="n"/>
      <c r="B1911" s="4" t="n"/>
      <c r="C1911" s="4" t="n"/>
      <c r="D1911" s="18" t="n"/>
      <c r="E1911" s="4" t="n"/>
      <c r="F1911" s="4" t="n"/>
      <c r="G1911" s="4" t="n"/>
      <c r="H1911" s="4" t="n"/>
      <c r="I1911" s="12" t="n"/>
    </row>
    <row r="1912" customFormat="1" s="36">
      <c r="A1912" s="4" t="n"/>
      <c r="B1912" s="4" t="n"/>
      <c r="C1912" s="4" t="n"/>
      <c r="D1912" s="18" t="n"/>
      <c r="E1912" s="4" t="n"/>
      <c r="F1912" s="4" t="n"/>
      <c r="G1912" s="4" t="n"/>
      <c r="H1912" s="4" t="n"/>
      <c r="I1912" s="12" t="n"/>
    </row>
    <row r="1913" customFormat="1" s="36">
      <c r="A1913" s="4" t="n"/>
      <c r="B1913" s="4" t="n"/>
      <c r="C1913" s="4" t="n"/>
      <c r="D1913" s="18" t="n"/>
      <c r="E1913" s="4" t="n"/>
      <c r="F1913" s="4" t="n"/>
      <c r="G1913" s="4" t="n"/>
      <c r="H1913" s="4" t="n"/>
      <c r="I1913" s="12" t="n"/>
    </row>
    <row r="1914" customFormat="1" s="36">
      <c r="A1914" s="4" t="n"/>
      <c r="B1914" s="4" t="n"/>
      <c r="C1914" s="4" t="n"/>
      <c r="D1914" s="18" t="n"/>
      <c r="E1914" s="4" t="n"/>
      <c r="F1914" s="4" t="n"/>
      <c r="G1914" s="4" t="n"/>
      <c r="H1914" s="4" t="n"/>
      <c r="I1914" s="12" t="n"/>
    </row>
    <row r="1915" customFormat="1" s="36">
      <c r="A1915" s="4" t="n"/>
      <c r="B1915" s="4" t="n"/>
      <c r="C1915" s="4" t="n"/>
      <c r="D1915" s="18" t="n"/>
      <c r="E1915" s="4" t="n"/>
      <c r="F1915" s="4" t="n"/>
      <c r="G1915" s="4" t="n"/>
      <c r="H1915" s="4" t="n"/>
      <c r="I1915" s="12" t="n"/>
    </row>
    <row r="1916" customFormat="1" s="36">
      <c r="A1916" s="4" t="n"/>
      <c r="B1916" s="4" t="n"/>
      <c r="C1916" s="4" t="n"/>
      <c r="D1916" s="18" t="n"/>
      <c r="E1916" s="4" t="n"/>
      <c r="F1916" s="4" t="n"/>
      <c r="G1916" s="4" t="n"/>
      <c r="H1916" s="4" t="n"/>
      <c r="I1916" s="12" t="n"/>
    </row>
    <row r="1917" customFormat="1" s="36">
      <c r="A1917" s="4" t="n"/>
      <c r="B1917" s="4" t="n"/>
      <c r="C1917" s="4" t="n"/>
      <c r="D1917" s="18" t="n"/>
      <c r="E1917" s="4" t="n"/>
      <c r="F1917" s="4" t="n"/>
      <c r="G1917" s="4" t="n"/>
      <c r="H1917" s="4" t="n"/>
      <c r="I1917" s="12" t="n"/>
    </row>
    <row r="1918" customFormat="1" s="36">
      <c r="A1918" s="4" t="n"/>
      <c r="B1918" s="4" t="n"/>
      <c r="C1918" s="4" t="n"/>
      <c r="D1918" s="18" t="n"/>
      <c r="E1918" s="4" t="n"/>
      <c r="F1918" s="4" t="n"/>
      <c r="G1918" s="4" t="n"/>
      <c r="H1918" s="4" t="n"/>
      <c r="I1918" s="12" t="n"/>
    </row>
    <row r="1919" customFormat="1" s="36">
      <c r="A1919" s="4" t="n"/>
      <c r="B1919" s="4" t="n"/>
      <c r="C1919" s="4" t="n"/>
      <c r="D1919" s="18" t="n"/>
      <c r="E1919" s="4" t="n"/>
      <c r="F1919" s="4" t="n"/>
      <c r="G1919" s="4" t="n"/>
      <c r="H1919" s="4" t="n"/>
      <c r="I1919" s="12" t="n"/>
    </row>
    <row r="1920" customFormat="1" s="36">
      <c r="A1920" s="4" t="n"/>
      <c r="B1920" s="4" t="n"/>
      <c r="C1920" s="4" t="n"/>
      <c r="D1920" s="18" t="n"/>
      <c r="E1920" s="4" t="n"/>
      <c r="F1920" s="4" t="n"/>
      <c r="G1920" s="4" t="n"/>
      <c r="H1920" s="4" t="n"/>
      <c r="I1920" s="12" t="n"/>
    </row>
    <row r="1921" customFormat="1" s="36">
      <c r="A1921" s="4" t="n"/>
      <c r="B1921" s="4" t="n"/>
      <c r="C1921" s="4" t="n"/>
      <c r="D1921" s="18" t="n"/>
      <c r="E1921" s="4" t="n"/>
      <c r="F1921" s="4" t="n"/>
      <c r="G1921" s="4" t="n"/>
      <c r="H1921" s="4" t="n"/>
      <c r="I1921" s="12" t="n"/>
    </row>
    <row r="1922" customFormat="1" s="36">
      <c r="A1922" s="4" t="n"/>
      <c r="B1922" s="4" t="n"/>
      <c r="C1922" s="4" t="n"/>
      <c r="D1922" s="18" t="n"/>
      <c r="E1922" s="4" t="n"/>
      <c r="F1922" s="4" t="n"/>
      <c r="G1922" s="4" t="n"/>
      <c r="H1922" s="4" t="n"/>
      <c r="I1922" s="12" t="n"/>
    </row>
    <row r="1923" customFormat="1" s="36">
      <c r="A1923" s="4" t="n"/>
      <c r="B1923" s="4" t="n"/>
      <c r="C1923" s="4" t="n"/>
      <c r="D1923" s="18" t="n"/>
      <c r="E1923" s="4" t="n"/>
      <c r="F1923" s="4" t="n"/>
      <c r="G1923" s="4" t="n"/>
      <c r="H1923" s="4" t="n"/>
      <c r="I1923" s="12" t="n"/>
    </row>
    <row r="1924" customFormat="1" s="36">
      <c r="A1924" s="4" t="n"/>
      <c r="B1924" s="4" t="n"/>
      <c r="C1924" s="4" t="n"/>
      <c r="D1924" s="18" t="n"/>
      <c r="E1924" s="4" t="n"/>
      <c r="F1924" s="4" t="n"/>
      <c r="G1924" s="4" t="n"/>
      <c r="H1924" s="4" t="n"/>
      <c r="I1924" s="12" t="n"/>
    </row>
    <row r="1925" customFormat="1" s="36">
      <c r="A1925" s="4" t="n"/>
      <c r="B1925" s="4" t="n"/>
      <c r="C1925" s="4" t="n"/>
      <c r="D1925" s="18" t="n"/>
      <c r="E1925" s="4" t="n"/>
      <c r="F1925" s="4" t="n"/>
      <c r="G1925" s="4" t="n"/>
      <c r="H1925" s="4" t="n"/>
      <c r="I1925" s="12" t="n"/>
    </row>
    <row r="1926" customFormat="1" s="36">
      <c r="A1926" s="4" t="n"/>
      <c r="B1926" s="4" t="n"/>
      <c r="C1926" s="4" t="n"/>
      <c r="D1926" s="18" t="n"/>
      <c r="E1926" s="4" t="n"/>
      <c r="F1926" s="4" t="n"/>
      <c r="G1926" s="4" t="n"/>
      <c r="H1926" s="4" t="n"/>
      <c r="I1926" s="12" t="n"/>
    </row>
    <row r="1927" customFormat="1" s="36">
      <c r="A1927" s="4" t="n"/>
      <c r="B1927" s="4" t="n"/>
      <c r="C1927" s="4" t="n"/>
      <c r="D1927" s="18" t="n"/>
      <c r="E1927" s="4" t="n"/>
      <c r="F1927" s="4" t="n"/>
      <c r="G1927" s="4" t="n"/>
      <c r="H1927" s="4" t="n"/>
      <c r="I1927" s="12" t="n"/>
    </row>
    <row r="1928" customFormat="1" s="36">
      <c r="A1928" s="4" t="n"/>
      <c r="B1928" s="4" t="n"/>
      <c r="C1928" s="4" t="n"/>
      <c r="D1928" s="18" t="n"/>
      <c r="E1928" s="4" t="n"/>
      <c r="F1928" s="4" t="n"/>
      <c r="G1928" s="4" t="n"/>
      <c r="H1928" s="4" t="n"/>
      <c r="I1928" s="12" t="n"/>
    </row>
    <row r="1929" customFormat="1" s="36">
      <c r="A1929" s="4" t="n"/>
      <c r="B1929" s="4" t="n"/>
      <c r="C1929" s="4" t="n"/>
      <c r="D1929" s="18" t="n"/>
      <c r="E1929" s="4" t="n"/>
      <c r="F1929" s="4" t="n"/>
      <c r="G1929" s="4" t="n"/>
      <c r="H1929" s="4" t="n"/>
      <c r="I1929" s="12" t="n"/>
    </row>
    <row r="1930" customFormat="1" s="36">
      <c r="A1930" s="4" t="n"/>
      <c r="B1930" s="4" t="n"/>
      <c r="C1930" s="4" t="n"/>
      <c r="D1930" s="18" t="n"/>
      <c r="E1930" s="4" t="n"/>
      <c r="F1930" s="4" t="n"/>
      <c r="G1930" s="4" t="n"/>
      <c r="H1930" s="4" t="n"/>
      <c r="I1930" s="12" t="n"/>
    </row>
    <row r="1931" customFormat="1" s="36">
      <c r="A1931" s="4" t="n"/>
      <c r="B1931" s="4" t="n"/>
      <c r="C1931" s="4" t="n"/>
      <c r="D1931" s="18" t="n"/>
      <c r="E1931" s="4" t="n"/>
      <c r="F1931" s="4" t="n"/>
      <c r="G1931" s="4" t="n"/>
      <c r="H1931" s="4" t="n"/>
      <c r="I1931" s="12" t="n"/>
    </row>
    <row r="1932" customFormat="1" s="36">
      <c r="A1932" s="4" t="n"/>
      <c r="B1932" s="4" t="n"/>
      <c r="C1932" s="4" t="n"/>
      <c r="D1932" s="18" t="n"/>
      <c r="E1932" s="4" t="n"/>
      <c r="F1932" s="4" t="n"/>
      <c r="G1932" s="4" t="n"/>
      <c r="H1932" s="4" t="n"/>
      <c r="I1932" s="12" t="n"/>
    </row>
    <row r="1933" customFormat="1" s="36">
      <c r="A1933" s="4" t="n"/>
      <c r="B1933" s="4" t="n"/>
      <c r="C1933" s="4" t="n"/>
      <c r="D1933" s="18" t="n"/>
      <c r="E1933" s="4" t="n"/>
      <c r="F1933" s="4" t="n"/>
      <c r="G1933" s="4" t="n"/>
      <c r="H1933" s="4" t="n"/>
      <c r="I1933" s="12" t="n"/>
    </row>
    <row r="1934" customFormat="1" s="36">
      <c r="A1934" s="4" t="n"/>
      <c r="B1934" s="4" t="n"/>
      <c r="C1934" s="4" t="n"/>
      <c r="D1934" s="18" t="n"/>
      <c r="E1934" s="4" t="n"/>
      <c r="F1934" s="4" t="n"/>
      <c r="G1934" s="4" t="n"/>
      <c r="H1934" s="4" t="n"/>
      <c r="I1934" s="12" t="n"/>
    </row>
    <row r="1935" customFormat="1" s="36">
      <c r="A1935" s="4" t="n"/>
      <c r="B1935" s="4" t="n"/>
      <c r="C1935" s="4" t="n"/>
      <c r="D1935" s="18" t="n"/>
      <c r="E1935" s="4" t="n"/>
      <c r="F1935" s="4" t="n"/>
      <c r="G1935" s="4" t="n"/>
      <c r="H1935" s="4" t="n"/>
      <c r="I1935" s="12" t="n"/>
    </row>
    <row r="1936" customFormat="1" s="36">
      <c r="A1936" s="4" t="n"/>
      <c r="B1936" s="4" t="n"/>
      <c r="C1936" s="4" t="n"/>
      <c r="D1936" s="18" t="n"/>
      <c r="E1936" s="4" t="n"/>
      <c r="F1936" s="4" t="n"/>
      <c r="G1936" s="4" t="n"/>
      <c r="H1936" s="4" t="n"/>
      <c r="I1936" s="12" t="n"/>
    </row>
    <row r="1937" customFormat="1" s="36">
      <c r="A1937" s="4" t="n"/>
      <c r="B1937" s="4" t="n"/>
      <c r="C1937" s="4" t="n"/>
      <c r="D1937" s="18" t="n"/>
      <c r="E1937" s="4" t="n"/>
      <c r="F1937" s="4" t="n"/>
      <c r="G1937" s="4" t="n"/>
      <c r="H1937" s="4" t="n"/>
      <c r="I1937" s="12" t="n"/>
    </row>
    <row r="1938" customFormat="1" s="36">
      <c r="A1938" s="4" t="n"/>
      <c r="B1938" s="4" t="n"/>
      <c r="C1938" s="4" t="n"/>
      <c r="D1938" s="18" t="n"/>
      <c r="E1938" s="4" t="n"/>
      <c r="F1938" s="4" t="n"/>
      <c r="G1938" s="4" t="n"/>
      <c r="H1938" s="4" t="n"/>
      <c r="I1938" s="12" t="n"/>
    </row>
    <row r="1939" customFormat="1" s="36">
      <c r="A1939" s="4" t="n"/>
      <c r="B1939" s="4" t="n"/>
      <c r="C1939" s="4" t="n"/>
      <c r="D1939" s="18" t="n"/>
      <c r="E1939" s="4" t="n"/>
      <c r="F1939" s="4" t="n"/>
      <c r="G1939" s="4" t="n"/>
      <c r="H1939" s="4" t="n"/>
      <c r="I1939" s="12" t="n"/>
    </row>
    <row r="1940" customFormat="1" s="36">
      <c r="A1940" s="4" t="n"/>
      <c r="B1940" s="4" t="n"/>
      <c r="C1940" s="4" t="n"/>
      <c r="D1940" s="18" t="n"/>
      <c r="E1940" s="4" t="n"/>
      <c r="F1940" s="4" t="n"/>
      <c r="G1940" s="4" t="n"/>
      <c r="H1940" s="4" t="n"/>
      <c r="I1940" s="12" t="n"/>
    </row>
    <row r="1941" customFormat="1" s="36">
      <c r="A1941" s="4" t="n"/>
      <c r="B1941" s="4" t="n"/>
      <c r="C1941" s="4" t="n"/>
      <c r="D1941" s="18" t="n"/>
      <c r="E1941" s="4" t="n"/>
      <c r="F1941" s="4" t="n"/>
      <c r="G1941" s="4" t="n"/>
      <c r="H1941" s="4" t="n"/>
      <c r="I1941" s="12" t="n"/>
    </row>
    <row r="1942" customFormat="1" s="36">
      <c r="A1942" s="4" t="n"/>
      <c r="B1942" s="4" t="n"/>
      <c r="C1942" s="4" t="n"/>
      <c r="D1942" s="18" t="n"/>
      <c r="E1942" s="4" t="n"/>
      <c r="F1942" s="4" t="n"/>
      <c r="G1942" s="4" t="n"/>
      <c r="H1942" s="4" t="n"/>
      <c r="I1942" s="12" t="n"/>
    </row>
    <row r="1943" customFormat="1" s="36">
      <c r="A1943" s="4" t="n"/>
      <c r="B1943" s="4" t="n"/>
      <c r="C1943" s="4" t="n"/>
      <c r="D1943" s="18" t="n"/>
      <c r="E1943" s="4" t="n"/>
      <c r="F1943" s="4" t="n"/>
      <c r="G1943" s="4" t="n"/>
      <c r="H1943" s="4" t="n"/>
      <c r="I1943" s="12" t="n"/>
    </row>
    <row r="1944" customFormat="1" s="36">
      <c r="A1944" s="4" t="n"/>
      <c r="B1944" s="4" t="n"/>
      <c r="C1944" s="4" t="n"/>
      <c r="D1944" s="18" t="n"/>
      <c r="E1944" s="4" t="n"/>
      <c r="F1944" s="4" t="n"/>
      <c r="G1944" s="4" t="n"/>
      <c r="H1944" s="4" t="n"/>
      <c r="I1944" s="12" t="n"/>
    </row>
    <row r="1945" customFormat="1" s="36">
      <c r="A1945" s="4" t="n"/>
      <c r="B1945" s="4" t="n"/>
      <c r="C1945" s="4" t="n"/>
      <c r="D1945" s="18" t="n"/>
      <c r="E1945" s="4" t="n"/>
      <c r="F1945" s="4" t="n"/>
      <c r="G1945" s="4" t="n"/>
      <c r="H1945" s="4" t="n"/>
      <c r="I1945" s="12" t="n"/>
    </row>
    <row r="1946" customFormat="1" s="36">
      <c r="A1946" s="4" t="n"/>
      <c r="B1946" s="4" t="n"/>
      <c r="C1946" s="4" t="n"/>
      <c r="D1946" s="18" t="n"/>
      <c r="E1946" s="4" t="n"/>
      <c r="F1946" s="4" t="n"/>
      <c r="G1946" s="4" t="n"/>
      <c r="H1946" s="4" t="n"/>
      <c r="I1946" s="12" t="n"/>
    </row>
    <row r="1947" customFormat="1" s="36">
      <c r="A1947" s="4" t="n"/>
      <c r="B1947" s="4" t="n"/>
      <c r="C1947" s="4" t="n"/>
      <c r="D1947" s="18" t="n"/>
      <c r="E1947" s="4" t="n"/>
      <c r="F1947" s="4" t="n"/>
      <c r="G1947" s="4" t="n"/>
      <c r="H1947" s="4" t="n"/>
      <c r="I1947" s="12" t="n"/>
    </row>
    <row r="1948" customFormat="1" s="36">
      <c r="A1948" s="4" t="n"/>
      <c r="B1948" s="4" t="n"/>
      <c r="C1948" s="4" t="n"/>
      <c r="D1948" s="18" t="n"/>
      <c r="E1948" s="4" t="n"/>
      <c r="F1948" s="4" t="n"/>
      <c r="G1948" s="4" t="n"/>
      <c r="H1948" s="4" t="n"/>
      <c r="I1948" s="12" t="n"/>
    </row>
    <row r="1949" customFormat="1" s="36">
      <c r="A1949" s="4" t="n"/>
      <c r="B1949" s="4" t="n"/>
      <c r="C1949" s="4" t="n"/>
      <c r="D1949" s="18" t="n"/>
      <c r="E1949" s="4" t="n"/>
      <c r="F1949" s="4" t="n"/>
      <c r="G1949" s="4" t="n"/>
      <c r="H1949" s="4" t="n"/>
      <c r="I1949" s="12" t="n"/>
    </row>
    <row r="1950" customFormat="1" s="36">
      <c r="A1950" s="4" t="n"/>
      <c r="B1950" s="4" t="n"/>
      <c r="C1950" s="4" t="n"/>
      <c r="D1950" s="18" t="n"/>
      <c r="E1950" s="4" t="n"/>
      <c r="F1950" s="4" t="n"/>
      <c r="G1950" s="4" t="n"/>
      <c r="H1950" s="4" t="n"/>
      <c r="I1950" s="12" t="n"/>
    </row>
    <row r="1951" customFormat="1" s="36">
      <c r="A1951" s="4" t="n"/>
      <c r="B1951" s="4" t="n"/>
      <c r="C1951" s="4" t="n"/>
      <c r="D1951" s="18" t="n"/>
      <c r="E1951" s="4" t="n"/>
      <c r="F1951" s="4" t="n"/>
      <c r="G1951" s="4" t="n"/>
      <c r="H1951" s="4" t="n"/>
      <c r="I1951" s="12" t="n"/>
    </row>
    <row r="1952" customFormat="1" s="36">
      <c r="A1952" s="4" t="n"/>
      <c r="B1952" s="4" t="n"/>
      <c r="C1952" s="4" t="n"/>
      <c r="D1952" s="18" t="n"/>
      <c r="E1952" s="4" t="n"/>
      <c r="F1952" s="4" t="n"/>
      <c r="G1952" s="4" t="n"/>
      <c r="H1952" s="4" t="n"/>
      <c r="I1952" s="12" t="n"/>
    </row>
    <row r="1953" customFormat="1" s="36">
      <c r="A1953" s="4" t="n"/>
      <c r="B1953" s="4" t="n"/>
      <c r="C1953" s="4" t="n"/>
      <c r="D1953" s="18" t="n"/>
      <c r="E1953" s="4" t="n"/>
      <c r="F1953" s="4" t="n"/>
      <c r="G1953" s="4" t="n"/>
      <c r="H1953" s="4" t="n"/>
      <c r="I1953" s="12" t="n"/>
    </row>
    <row r="1954" customFormat="1" s="36">
      <c r="A1954" s="4" t="n"/>
      <c r="B1954" s="4" t="n"/>
      <c r="C1954" s="4" t="n"/>
      <c r="D1954" s="18" t="n"/>
      <c r="E1954" s="4" t="n"/>
      <c r="F1954" s="4" t="n"/>
      <c r="G1954" s="4" t="n"/>
      <c r="H1954" s="4" t="n"/>
      <c r="I1954" s="12" t="n"/>
    </row>
    <row r="1955" customFormat="1" s="36">
      <c r="A1955" s="4" t="n"/>
      <c r="B1955" s="4" t="n"/>
      <c r="C1955" s="4" t="n"/>
      <c r="D1955" s="18" t="n"/>
      <c r="E1955" s="4" t="n"/>
      <c r="F1955" s="4" t="n"/>
      <c r="G1955" s="4" t="n"/>
      <c r="H1955" s="4" t="n"/>
      <c r="I1955" s="12" t="n"/>
    </row>
    <row r="1956" customFormat="1" s="36">
      <c r="A1956" s="4" t="n"/>
      <c r="B1956" s="4" t="n"/>
      <c r="C1956" s="4" t="n"/>
      <c r="D1956" s="18" t="n"/>
      <c r="E1956" s="4" t="n"/>
      <c r="F1956" s="4" t="n"/>
      <c r="G1956" s="4" t="n"/>
      <c r="H1956" s="4" t="n"/>
      <c r="I1956" s="12" t="n"/>
    </row>
    <row r="1957" customFormat="1" s="36">
      <c r="A1957" s="4" t="n"/>
      <c r="B1957" s="4" t="n"/>
      <c r="C1957" s="4" t="n"/>
      <c r="D1957" s="18" t="n"/>
      <c r="E1957" s="4" t="n"/>
      <c r="F1957" s="4" t="n"/>
      <c r="G1957" s="4" t="n"/>
      <c r="H1957" s="4" t="n"/>
      <c r="I1957" s="12" t="n"/>
    </row>
    <row r="1958" customFormat="1" s="36">
      <c r="A1958" s="4" t="n"/>
      <c r="B1958" s="4" t="n"/>
      <c r="C1958" s="4" t="n"/>
      <c r="D1958" s="18" t="n"/>
      <c r="E1958" s="4" t="n"/>
      <c r="F1958" s="4" t="n"/>
      <c r="G1958" s="4" t="n"/>
      <c r="H1958" s="4" t="n"/>
      <c r="I1958" s="12" t="n"/>
    </row>
    <row r="1959" customFormat="1" s="36">
      <c r="A1959" s="4" t="n"/>
      <c r="B1959" s="4" t="n"/>
      <c r="C1959" s="4" t="n"/>
      <c r="D1959" s="18" t="n"/>
      <c r="E1959" s="4" t="n"/>
      <c r="F1959" s="4" t="n"/>
      <c r="G1959" s="4" t="n"/>
      <c r="H1959" s="4" t="n"/>
      <c r="I1959" s="12" t="n"/>
    </row>
    <row r="1960" customFormat="1" s="36">
      <c r="A1960" s="4" t="n"/>
      <c r="B1960" s="4" t="n"/>
      <c r="C1960" s="4" t="n"/>
      <c r="D1960" s="18" t="n"/>
      <c r="E1960" s="4" t="n"/>
      <c r="F1960" s="4" t="n"/>
      <c r="G1960" s="4" t="n"/>
      <c r="H1960" s="4" t="n"/>
      <c r="I1960" s="12" t="n"/>
    </row>
    <row r="1961" customFormat="1" s="36">
      <c r="A1961" s="4" t="n"/>
      <c r="B1961" s="4" t="n"/>
      <c r="C1961" s="4" t="n"/>
      <c r="D1961" s="18" t="n"/>
      <c r="E1961" s="4" t="n"/>
      <c r="F1961" s="4" t="n"/>
      <c r="G1961" s="4" t="n"/>
      <c r="H1961" s="4" t="n"/>
      <c r="I1961" s="12" t="n"/>
    </row>
    <row r="1962" customFormat="1" s="36">
      <c r="A1962" s="4" t="n"/>
      <c r="B1962" s="4" t="n"/>
      <c r="C1962" s="4" t="n"/>
      <c r="D1962" s="18" t="n"/>
      <c r="E1962" s="4" t="n"/>
      <c r="F1962" s="4" t="n"/>
      <c r="G1962" s="4" t="n"/>
      <c r="H1962" s="4" t="n"/>
      <c r="I1962" s="12" t="n"/>
    </row>
    <row r="1963" customFormat="1" s="36">
      <c r="A1963" s="4" t="n"/>
      <c r="B1963" s="4" t="n"/>
      <c r="C1963" s="4" t="n"/>
      <c r="D1963" s="18" t="n"/>
      <c r="E1963" s="4" t="n"/>
      <c r="F1963" s="4" t="n"/>
      <c r="G1963" s="4" t="n"/>
      <c r="H1963" s="4" t="n"/>
      <c r="I1963" s="12" t="n"/>
    </row>
    <row r="1964" customFormat="1" s="36">
      <c r="A1964" s="4" t="n"/>
      <c r="B1964" s="4" t="n"/>
      <c r="C1964" s="4" t="n"/>
      <c r="D1964" s="18" t="n"/>
      <c r="E1964" s="4" t="n"/>
      <c r="F1964" s="4" t="n"/>
      <c r="G1964" s="4" t="n"/>
      <c r="H1964" s="4" t="n"/>
      <c r="I1964" s="12" t="n"/>
    </row>
    <row r="1965" customFormat="1" s="36">
      <c r="A1965" s="4" t="n"/>
      <c r="B1965" s="4" t="n"/>
      <c r="C1965" s="4" t="n"/>
      <c r="D1965" s="18" t="n"/>
      <c r="E1965" s="4" t="n"/>
      <c r="F1965" s="4" t="n"/>
      <c r="G1965" s="4" t="n"/>
      <c r="H1965" s="4" t="n"/>
      <c r="I1965" s="12" t="n"/>
    </row>
    <row r="1966" customFormat="1" s="36">
      <c r="A1966" s="4" t="n"/>
      <c r="B1966" s="4" t="n"/>
      <c r="C1966" s="4" t="n"/>
      <c r="D1966" s="18" t="n"/>
      <c r="E1966" s="4" t="n"/>
      <c r="F1966" s="4" t="n"/>
      <c r="G1966" s="4" t="n"/>
      <c r="H1966" s="4" t="n"/>
      <c r="I1966" s="12" t="n"/>
    </row>
    <row r="1967" customFormat="1" s="36">
      <c r="A1967" s="4" t="n"/>
      <c r="B1967" s="4" t="n"/>
      <c r="C1967" s="4" t="n"/>
      <c r="D1967" s="18" t="n"/>
      <c r="E1967" s="4" t="n"/>
      <c r="F1967" s="4" t="n"/>
      <c r="G1967" s="4" t="n"/>
      <c r="H1967" s="4" t="n"/>
      <c r="I1967" s="12" t="n"/>
    </row>
    <row r="1968" customFormat="1" s="36">
      <c r="A1968" s="4" t="n"/>
      <c r="B1968" s="4" t="n"/>
      <c r="C1968" s="4" t="n"/>
      <c r="D1968" s="18" t="n"/>
      <c r="E1968" s="4" t="n"/>
      <c r="F1968" s="4" t="n"/>
      <c r="G1968" s="4" t="n"/>
      <c r="H1968" s="4" t="n"/>
      <c r="I1968" s="12" t="n"/>
    </row>
    <row r="1969" customFormat="1" s="36">
      <c r="A1969" s="4" t="n"/>
      <c r="B1969" s="4" t="n"/>
      <c r="C1969" s="4" t="n"/>
      <c r="D1969" s="18" t="n"/>
      <c r="E1969" s="4" t="n"/>
      <c r="F1969" s="4" t="n"/>
      <c r="G1969" s="4" t="n"/>
      <c r="H1969" s="4" t="n"/>
      <c r="I1969" s="12" t="n"/>
    </row>
    <row r="1970" customFormat="1" s="36">
      <c r="A1970" s="4" t="n"/>
      <c r="B1970" s="4" t="n"/>
      <c r="C1970" s="4" t="n"/>
      <c r="D1970" s="18" t="n"/>
      <c r="E1970" s="4" t="n"/>
      <c r="F1970" s="4" t="n"/>
      <c r="G1970" s="4" t="n"/>
      <c r="H1970" s="4" t="n"/>
      <c r="I1970" s="12" t="n"/>
    </row>
    <row r="1971" customFormat="1" s="36">
      <c r="A1971" s="4" t="n"/>
      <c r="B1971" s="4" t="n"/>
      <c r="C1971" s="4" t="n"/>
      <c r="D1971" s="18" t="n"/>
      <c r="E1971" s="4" t="n"/>
      <c r="F1971" s="4" t="n"/>
      <c r="G1971" s="4" t="n"/>
      <c r="H1971" s="4" t="n"/>
      <c r="I1971" s="12" t="n"/>
    </row>
    <row r="1972" customFormat="1" s="36">
      <c r="A1972" s="4" t="n"/>
      <c r="B1972" s="4" t="n"/>
      <c r="C1972" s="4" t="n"/>
      <c r="D1972" s="18" t="n"/>
      <c r="E1972" s="4" t="n"/>
      <c r="F1972" s="4" t="n"/>
      <c r="G1972" s="4" t="n"/>
      <c r="H1972" s="4" t="n"/>
      <c r="I1972" s="12" t="n"/>
    </row>
    <row r="1973" customFormat="1" s="36">
      <c r="A1973" s="4" t="n"/>
      <c r="B1973" s="4" t="n"/>
      <c r="C1973" s="4" t="n"/>
      <c r="D1973" s="18" t="n"/>
      <c r="E1973" s="4" t="n"/>
      <c r="F1973" s="4" t="n"/>
      <c r="G1973" s="4" t="n"/>
      <c r="H1973" s="4" t="n"/>
      <c r="I1973" s="12" t="n"/>
    </row>
    <row r="1974" customFormat="1" s="36">
      <c r="A1974" s="4" t="n"/>
      <c r="B1974" s="4" t="n"/>
      <c r="C1974" s="4" t="n"/>
      <c r="D1974" s="18" t="n"/>
      <c r="E1974" s="4" t="n"/>
      <c r="F1974" s="4" t="n"/>
      <c r="G1974" s="4" t="n"/>
      <c r="H1974" s="4" t="n"/>
      <c r="I1974" s="12" t="n"/>
    </row>
    <row r="1975" customFormat="1" s="36">
      <c r="A1975" s="4" t="n"/>
      <c r="B1975" s="4" t="n"/>
      <c r="C1975" s="4" t="n"/>
      <c r="D1975" s="18" t="n"/>
      <c r="E1975" s="4" t="n"/>
      <c r="F1975" s="4" t="n"/>
      <c r="G1975" s="4" t="n"/>
      <c r="H1975" s="4" t="n"/>
      <c r="I1975" s="12" t="n"/>
    </row>
    <row r="1976" customFormat="1" s="36">
      <c r="A1976" s="4" t="n"/>
      <c r="B1976" s="4" t="n"/>
      <c r="C1976" s="4" t="n"/>
      <c r="D1976" s="18" t="n"/>
      <c r="E1976" s="4" t="n"/>
      <c r="F1976" s="4" t="n"/>
      <c r="G1976" s="4" t="n"/>
      <c r="H1976" s="4" t="n"/>
      <c r="I1976" s="12" t="n"/>
    </row>
    <row r="1977" customFormat="1" s="36">
      <c r="A1977" s="4" t="n"/>
      <c r="B1977" s="4" t="n"/>
      <c r="C1977" s="4" t="n"/>
      <c r="D1977" s="18" t="n"/>
      <c r="E1977" s="4" t="n"/>
      <c r="F1977" s="4" t="n"/>
      <c r="G1977" s="4" t="n"/>
      <c r="H1977" s="4" t="n"/>
      <c r="I1977" s="12" t="n"/>
    </row>
    <row r="1978" customFormat="1" s="36">
      <c r="A1978" s="4" t="n"/>
      <c r="B1978" s="4" t="n"/>
      <c r="C1978" s="4" t="n"/>
      <c r="D1978" s="18" t="n"/>
      <c r="E1978" s="4" t="n"/>
      <c r="F1978" s="4" t="n"/>
      <c r="G1978" s="4" t="n"/>
      <c r="H1978" s="4" t="n"/>
      <c r="I1978" s="12" t="n"/>
    </row>
    <row r="1979" customFormat="1" s="36">
      <c r="A1979" s="4" t="n"/>
      <c r="B1979" s="4" t="n"/>
      <c r="C1979" s="4" t="n"/>
      <c r="D1979" s="18" t="n"/>
      <c r="E1979" s="4" t="n"/>
      <c r="F1979" s="4" t="n"/>
      <c r="G1979" s="4" t="n"/>
      <c r="H1979" s="4" t="n"/>
      <c r="I1979" s="12" t="n"/>
    </row>
    <row r="1980" customFormat="1" s="36">
      <c r="A1980" s="4" t="n"/>
      <c r="B1980" s="4" t="n"/>
      <c r="C1980" s="4" t="n"/>
      <c r="D1980" s="18" t="n"/>
      <c r="E1980" s="4" t="n"/>
      <c r="F1980" s="4" t="n"/>
      <c r="G1980" s="4" t="n"/>
      <c r="H1980" s="4" t="n"/>
      <c r="I1980" s="12" t="n"/>
    </row>
    <row r="1981" customFormat="1" s="36">
      <c r="A1981" s="4" t="n"/>
      <c r="B1981" s="4" t="n"/>
      <c r="C1981" s="4" t="n"/>
      <c r="D1981" s="18" t="n"/>
      <c r="E1981" s="4" t="n"/>
      <c r="F1981" s="4" t="n"/>
      <c r="G1981" s="4" t="n"/>
      <c r="H1981" s="4" t="n"/>
      <c r="I1981" s="12" t="n"/>
    </row>
    <row r="1982" customFormat="1" s="36">
      <c r="A1982" s="4" t="n"/>
      <c r="B1982" s="4" t="n"/>
      <c r="C1982" s="4" t="n"/>
      <c r="D1982" s="18" t="n"/>
      <c r="E1982" s="4" t="n"/>
      <c r="F1982" s="4" t="n"/>
      <c r="G1982" s="4" t="n"/>
      <c r="H1982" s="4" t="n"/>
      <c r="I1982" s="12" t="n"/>
    </row>
    <row r="1983" customFormat="1" s="36">
      <c r="A1983" s="4" t="n"/>
      <c r="B1983" s="4" t="n"/>
      <c r="C1983" s="4" t="n"/>
      <c r="D1983" s="18" t="n"/>
      <c r="E1983" s="4" t="n"/>
      <c r="F1983" s="4" t="n"/>
      <c r="G1983" s="4" t="n"/>
      <c r="H1983" s="4" t="n"/>
      <c r="I1983" s="12" t="n"/>
    </row>
    <row r="1984" customFormat="1" s="36">
      <c r="A1984" s="4" t="n"/>
      <c r="B1984" s="4" t="n"/>
      <c r="C1984" s="4" t="n"/>
      <c r="D1984" s="18" t="n"/>
      <c r="E1984" s="4" t="n"/>
      <c r="F1984" s="4" t="n"/>
      <c r="G1984" s="4" t="n"/>
      <c r="H1984" s="4" t="n"/>
      <c r="I1984" s="12" t="n"/>
    </row>
    <row r="1985" customFormat="1" s="36">
      <c r="A1985" s="4" t="n"/>
      <c r="B1985" s="4" t="n"/>
      <c r="C1985" s="4" t="n"/>
      <c r="D1985" s="18" t="n"/>
      <c r="E1985" s="4" t="n"/>
      <c r="F1985" s="4" t="n"/>
      <c r="G1985" s="4" t="n"/>
      <c r="H1985" s="4" t="n"/>
      <c r="I1985" s="12" t="n"/>
    </row>
    <row r="1986" customFormat="1" s="36">
      <c r="A1986" s="4" t="n"/>
      <c r="B1986" s="4" t="n"/>
      <c r="C1986" s="4" t="n"/>
      <c r="D1986" s="18" t="n"/>
      <c r="E1986" s="4" t="n"/>
      <c r="F1986" s="4" t="n"/>
      <c r="G1986" s="4" t="n"/>
      <c r="H1986" s="4" t="n"/>
      <c r="I1986" s="12" t="n"/>
    </row>
    <row r="1987" customFormat="1" s="36">
      <c r="A1987" s="4" t="n"/>
      <c r="B1987" s="4" t="n"/>
      <c r="C1987" s="4" t="n"/>
      <c r="D1987" s="18" t="n"/>
      <c r="E1987" s="4" t="n"/>
      <c r="F1987" s="4" t="n"/>
      <c r="G1987" s="4" t="n"/>
      <c r="H1987" s="4" t="n"/>
      <c r="I1987" s="12" t="n"/>
    </row>
    <row r="1988" customFormat="1" s="36">
      <c r="A1988" s="4" t="n"/>
      <c r="B1988" s="4" t="n"/>
      <c r="C1988" s="4" t="n"/>
      <c r="D1988" s="18" t="n"/>
      <c r="E1988" s="4" t="n"/>
      <c r="F1988" s="4" t="n"/>
      <c r="G1988" s="4" t="n"/>
      <c r="H1988" s="4" t="n"/>
      <c r="I1988" s="12" t="n"/>
    </row>
    <row r="1989" customFormat="1" s="36">
      <c r="A1989" s="4" t="n"/>
      <c r="B1989" s="4" t="n"/>
      <c r="C1989" s="4" t="n"/>
      <c r="D1989" s="18" t="n"/>
      <c r="E1989" s="4" t="n"/>
      <c r="F1989" s="4" t="n"/>
      <c r="G1989" s="4" t="n"/>
      <c r="H1989" s="4" t="n"/>
      <c r="I1989" s="12" t="n"/>
    </row>
    <row r="1990" customFormat="1" s="36">
      <c r="A1990" s="4" t="n"/>
      <c r="B1990" s="4" t="n"/>
      <c r="C1990" s="4" t="n"/>
      <c r="D1990" s="18" t="n"/>
      <c r="E1990" s="4" t="n"/>
      <c r="F1990" s="4" t="n"/>
      <c r="G1990" s="4" t="n"/>
      <c r="H1990" s="4" t="n"/>
      <c r="I1990" s="12" t="n"/>
    </row>
    <row r="1991" customFormat="1" s="36">
      <c r="A1991" s="4" t="n"/>
      <c r="B1991" s="4" t="n"/>
      <c r="C1991" s="4" t="n"/>
      <c r="D1991" s="18" t="n"/>
      <c r="E1991" s="4" t="n"/>
      <c r="F1991" s="4" t="n"/>
      <c r="G1991" s="4" t="n"/>
      <c r="H1991" s="4" t="n"/>
      <c r="I1991" s="12" t="n"/>
    </row>
    <row r="1992" customFormat="1" s="36">
      <c r="A1992" s="4" t="n"/>
      <c r="B1992" s="4" t="n"/>
      <c r="C1992" s="4" t="n"/>
      <c r="D1992" s="18" t="n"/>
      <c r="E1992" s="4" t="n"/>
      <c r="F1992" s="4" t="n"/>
      <c r="G1992" s="4" t="n"/>
      <c r="H1992" s="4" t="n"/>
      <c r="I1992" s="12" t="n"/>
    </row>
    <row r="1993" customFormat="1" s="36">
      <c r="A1993" s="4" t="n"/>
      <c r="B1993" s="4" t="n"/>
      <c r="C1993" s="4" t="n"/>
      <c r="D1993" s="18" t="n"/>
      <c r="E1993" s="4" t="n"/>
      <c r="F1993" s="4" t="n"/>
      <c r="G1993" s="4" t="n"/>
      <c r="H1993" s="4" t="n"/>
      <c r="I1993" s="12" t="n"/>
    </row>
    <row r="1994" customFormat="1" s="36">
      <c r="A1994" s="4" t="n"/>
      <c r="B1994" s="4" t="n"/>
      <c r="C1994" s="4" t="n"/>
      <c r="D1994" s="18" t="n"/>
      <c r="E1994" s="4" t="n"/>
      <c r="F1994" s="4" t="n"/>
      <c r="G1994" s="4" t="n"/>
      <c r="H1994" s="4" t="n"/>
      <c r="I1994" s="12" t="n"/>
    </row>
    <row r="1995" customFormat="1" s="36">
      <c r="A1995" s="4" t="n"/>
      <c r="B1995" s="4" t="n"/>
      <c r="C1995" s="4" t="n"/>
      <c r="D1995" s="18" t="n"/>
      <c r="E1995" s="4" t="n"/>
      <c r="F1995" s="4" t="n"/>
      <c r="G1995" s="4" t="n"/>
      <c r="H1995" s="4" t="n"/>
      <c r="I1995" s="12" t="n"/>
    </row>
    <row r="1996" customFormat="1" s="36">
      <c r="A1996" s="4" t="n"/>
      <c r="B1996" s="4" t="n"/>
      <c r="C1996" s="4" t="n"/>
      <c r="D1996" s="18" t="n"/>
      <c r="E1996" s="4" t="n"/>
      <c r="F1996" s="4" t="n"/>
      <c r="G1996" s="4" t="n"/>
      <c r="H1996" s="4" t="n"/>
      <c r="I1996" s="12" t="n"/>
    </row>
    <row r="1997" customFormat="1" s="36">
      <c r="A1997" s="4" t="n"/>
      <c r="B1997" s="4" t="n"/>
      <c r="C1997" s="4" t="n"/>
      <c r="D1997" s="18" t="n"/>
      <c r="E1997" s="4" t="n"/>
      <c r="F1997" s="4" t="n"/>
      <c r="G1997" s="4" t="n"/>
      <c r="H1997" s="4" t="n"/>
      <c r="I1997" s="12" t="n"/>
    </row>
    <row r="1998" customFormat="1" s="36">
      <c r="A1998" s="4" t="n"/>
      <c r="B1998" s="4" t="n"/>
      <c r="C1998" s="4" t="n"/>
      <c r="D1998" s="18" t="n"/>
      <c r="E1998" s="4" t="n"/>
      <c r="F1998" s="4" t="n"/>
      <c r="G1998" s="4" t="n"/>
      <c r="H1998" s="4" t="n"/>
      <c r="I1998" s="12" t="n"/>
    </row>
    <row r="1999" customFormat="1" s="36">
      <c r="A1999" s="4" t="n"/>
      <c r="B1999" s="4" t="n"/>
      <c r="C1999" s="4" t="n"/>
      <c r="D1999" s="18" t="n"/>
      <c r="E1999" s="4" t="n"/>
      <c r="F1999" s="4" t="n"/>
      <c r="G1999" s="4" t="n"/>
      <c r="H1999" s="4" t="n"/>
      <c r="I1999" s="12" t="n"/>
    </row>
    <row r="2000" customFormat="1" s="36">
      <c r="A2000" s="4" t="n"/>
      <c r="B2000" s="4" t="n"/>
      <c r="C2000" s="4" t="n"/>
      <c r="D2000" s="18" t="n"/>
      <c r="E2000" s="4" t="n"/>
      <c r="F2000" s="4" t="n"/>
      <c r="G2000" s="4" t="n"/>
      <c r="H2000" s="4" t="n"/>
      <c r="I2000" s="12" t="n"/>
    </row>
    <row r="2001" customFormat="1" s="36">
      <c r="A2001" s="4" t="n"/>
      <c r="B2001" s="4" t="n"/>
      <c r="C2001" s="4" t="n"/>
      <c r="D2001" s="18" t="n"/>
      <c r="E2001" s="4" t="n"/>
      <c r="F2001" s="4" t="n"/>
      <c r="G2001" s="4" t="n"/>
      <c r="H2001" s="4" t="n"/>
      <c r="I2001" s="12" t="n"/>
    </row>
    <row r="2002" customFormat="1" s="36">
      <c r="A2002" s="4" t="n"/>
      <c r="B2002" s="4" t="n"/>
      <c r="C2002" s="4" t="n"/>
      <c r="D2002" s="18" t="n"/>
      <c r="E2002" s="4" t="n"/>
      <c r="F2002" s="4" t="n"/>
      <c r="G2002" s="4" t="n"/>
      <c r="H2002" s="4" t="n"/>
      <c r="I2002" s="12" t="n"/>
    </row>
    <row r="2003" customFormat="1" s="36">
      <c r="A2003" s="4" t="n"/>
      <c r="B2003" s="4" t="n"/>
      <c r="C2003" s="4" t="n"/>
      <c r="D2003" s="18" t="n"/>
      <c r="E2003" s="4" t="n"/>
      <c r="F2003" s="4" t="n"/>
      <c r="G2003" s="4" t="n"/>
      <c r="H2003" s="4" t="n"/>
      <c r="I2003" s="12" t="n"/>
    </row>
    <row r="2004" customFormat="1" s="36">
      <c r="A2004" s="4" t="n"/>
      <c r="B2004" s="4" t="n"/>
      <c r="C2004" s="4" t="n"/>
      <c r="D2004" s="18" t="n"/>
      <c r="E2004" s="4" t="n"/>
      <c r="F2004" s="4" t="n"/>
      <c r="G2004" s="4" t="n"/>
      <c r="H2004" s="4" t="n"/>
      <c r="I2004" s="12" t="n"/>
    </row>
    <row r="2005" customFormat="1" s="36">
      <c r="A2005" s="4" t="n"/>
      <c r="B2005" s="4" t="n"/>
      <c r="C2005" s="4" t="n"/>
      <c r="D2005" s="18" t="n"/>
      <c r="E2005" s="4" t="n"/>
      <c r="F2005" s="4" t="n"/>
      <c r="G2005" s="4" t="n"/>
      <c r="H2005" s="4" t="n"/>
      <c r="I2005" s="12" t="n"/>
    </row>
    <row r="2006" customFormat="1" s="36">
      <c r="A2006" s="4" t="n"/>
      <c r="B2006" s="4" t="n"/>
      <c r="C2006" s="4" t="n"/>
      <c r="D2006" s="18" t="n"/>
      <c r="E2006" s="4" t="n"/>
      <c r="F2006" s="4" t="n"/>
      <c r="G2006" s="4" t="n"/>
      <c r="H2006" s="4" t="n"/>
      <c r="I2006" s="12" t="n"/>
    </row>
    <row r="2007" customFormat="1" s="36">
      <c r="A2007" s="4" t="n"/>
      <c r="B2007" s="4" t="n"/>
      <c r="C2007" s="4" t="n"/>
      <c r="D2007" s="18" t="n"/>
      <c r="E2007" s="4" t="n"/>
      <c r="F2007" s="4" t="n"/>
      <c r="G2007" s="4" t="n"/>
      <c r="H2007" s="4" t="n"/>
      <c r="I2007" s="12" t="n"/>
    </row>
    <row r="2008" customFormat="1" s="36">
      <c r="A2008" s="4" t="n"/>
      <c r="B2008" s="4" t="n"/>
      <c r="C2008" s="4" t="n"/>
      <c r="D2008" s="18" t="n"/>
      <c r="E2008" s="4" t="n"/>
      <c r="F2008" s="4" t="n"/>
      <c r="G2008" s="4" t="n"/>
      <c r="H2008" s="4" t="n"/>
      <c r="I2008" s="12" t="n"/>
    </row>
    <row r="2009" customFormat="1" s="36">
      <c r="A2009" s="4" t="n"/>
      <c r="B2009" s="4" t="n"/>
      <c r="C2009" s="4" t="n"/>
      <c r="D2009" s="18" t="n"/>
      <c r="E2009" s="4" t="n"/>
      <c r="F2009" s="4" t="n"/>
      <c r="G2009" s="4" t="n"/>
      <c r="H2009" s="4" t="n"/>
      <c r="I2009" s="12" t="n"/>
    </row>
    <row r="2010" customFormat="1" s="36">
      <c r="A2010" s="4" t="n"/>
      <c r="B2010" s="4" t="n"/>
      <c r="C2010" s="4" t="n"/>
      <c r="D2010" s="18" t="n"/>
      <c r="E2010" s="4" t="n"/>
      <c r="F2010" s="4" t="n"/>
      <c r="G2010" s="4" t="n"/>
      <c r="H2010" s="4" t="n"/>
      <c r="I2010" s="12" t="n"/>
    </row>
    <row r="2011" customFormat="1" s="36">
      <c r="A2011" s="4" t="n"/>
      <c r="B2011" s="4" t="n"/>
      <c r="C2011" s="4" t="n"/>
      <c r="D2011" s="18" t="n"/>
      <c r="E2011" s="4" t="n"/>
      <c r="F2011" s="4" t="n"/>
      <c r="G2011" s="4" t="n"/>
      <c r="H2011" s="4" t="n"/>
      <c r="I2011" s="12" t="n"/>
    </row>
    <row r="2012" customFormat="1" s="36">
      <c r="A2012" s="4" t="n"/>
      <c r="B2012" s="4" t="n"/>
      <c r="C2012" s="4" t="n"/>
      <c r="D2012" s="18" t="n"/>
      <c r="E2012" s="4" t="n"/>
      <c r="F2012" s="4" t="n"/>
      <c r="G2012" s="4" t="n"/>
      <c r="H2012" s="4" t="n"/>
      <c r="I2012" s="12" t="n"/>
    </row>
    <row r="2013" customFormat="1" s="36">
      <c r="A2013" s="4" t="n"/>
      <c r="B2013" s="4" t="n"/>
      <c r="C2013" s="4" t="n"/>
      <c r="D2013" s="18" t="n"/>
      <c r="E2013" s="4" t="n"/>
      <c r="F2013" s="4" t="n"/>
      <c r="G2013" s="4" t="n"/>
      <c r="H2013" s="4" t="n"/>
      <c r="I2013" s="12" t="n"/>
    </row>
    <row r="2014" customFormat="1" s="36">
      <c r="A2014" s="4" t="n"/>
      <c r="B2014" s="4" t="n"/>
      <c r="C2014" s="4" t="n"/>
      <c r="D2014" s="18" t="n"/>
      <c r="E2014" s="4" t="n"/>
      <c r="F2014" s="4" t="n"/>
      <c r="G2014" s="4" t="n"/>
      <c r="H2014" s="4" t="n"/>
      <c r="I2014" s="12" t="n"/>
    </row>
    <row r="2015" customFormat="1" s="36">
      <c r="A2015" s="4" t="n"/>
      <c r="B2015" s="4" t="n"/>
      <c r="C2015" s="4" t="n"/>
      <c r="D2015" s="18" t="n"/>
      <c r="E2015" s="4" t="n"/>
      <c r="F2015" s="4" t="n"/>
      <c r="G2015" s="4" t="n"/>
      <c r="H2015" s="4" t="n"/>
      <c r="I2015" s="12" t="n"/>
    </row>
    <row r="2016" customFormat="1" s="36">
      <c r="A2016" s="4" t="n"/>
      <c r="B2016" s="4" t="n"/>
      <c r="C2016" s="4" t="n"/>
      <c r="D2016" s="18" t="n"/>
      <c r="E2016" s="4" t="n"/>
      <c r="F2016" s="4" t="n"/>
      <c r="G2016" s="4" t="n"/>
      <c r="H2016" s="4" t="n"/>
      <c r="I2016" s="12" t="n"/>
    </row>
    <row r="2017" customFormat="1" s="36">
      <c r="A2017" s="4" t="n"/>
      <c r="B2017" s="4" t="n"/>
      <c r="C2017" s="4" t="n"/>
      <c r="D2017" s="18" t="n"/>
      <c r="E2017" s="4" t="n"/>
      <c r="F2017" s="4" t="n"/>
      <c r="G2017" s="4" t="n"/>
      <c r="H2017" s="4" t="n"/>
      <c r="I2017" s="12" t="n"/>
    </row>
    <row r="2018" customFormat="1" s="36">
      <c r="A2018" s="4" t="n"/>
      <c r="B2018" s="4" t="n"/>
      <c r="C2018" s="4" t="n"/>
      <c r="D2018" s="18" t="n"/>
      <c r="E2018" s="4" t="n"/>
      <c r="F2018" s="4" t="n"/>
      <c r="G2018" s="4" t="n"/>
      <c r="H2018" s="4" t="n"/>
      <c r="I2018" s="12" t="n"/>
    </row>
    <row r="2019" customFormat="1" s="36">
      <c r="A2019" s="4" t="n"/>
      <c r="B2019" s="4" t="n"/>
      <c r="C2019" s="4" t="n"/>
      <c r="D2019" s="18" t="n"/>
      <c r="E2019" s="4" t="n"/>
      <c r="F2019" s="4" t="n"/>
      <c r="G2019" s="4" t="n"/>
      <c r="H2019" s="4" t="n"/>
      <c r="I2019" s="12" t="n"/>
    </row>
    <row r="2020" customFormat="1" s="36">
      <c r="A2020" s="4" t="n"/>
      <c r="B2020" s="4" t="n"/>
      <c r="C2020" s="4" t="n"/>
      <c r="D2020" s="18" t="n"/>
      <c r="E2020" s="4" t="n"/>
      <c r="F2020" s="4" t="n"/>
      <c r="G2020" s="4" t="n"/>
      <c r="H2020" s="4" t="n"/>
      <c r="I2020" s="12" t="n"/>
    </row>
    <row r="2021" customFormat="1" s="36">
      <c r="A2021" s="4" t="n"/>
      <c r="B2021" s="4" t="n"/>
      <c r="C2021" s="4" t="n"/>
      <c r="D2021" s="18" t="n"/>
      <c r="E2021" s="4" t="n"/>
      <c r="F2021" s="4" t="n"/>
      <c r="G2021" s="4" t="n"/>
      <c r="H2021" s="4" t="n"/>
      <c r="I2021" s="12" t="n"/>
    </row>
    <row r="2022" customFormat="1" s="36">
      <c r="A2022" s="4" t="n"/>
      <c r="B2022" s="4" t="n"/>
      <c r="C2022" s="4" t="n"/>
      <c r="D2022" s="18" t="n"/>
      <c r="E2022" s="4" t="n"/>
      <c r="F2022" s="4" t="n"/>
      <c r="G2022" s="4" t="n"/>
      <c r="H2022" s="4" t="n"/>
      <c r="I2022" s="12" t="n"/>
    </row>
    <row r="2023" customFormat="1" s="36">
      <c r="A2023" s="4" t="n"/>
      <c r="B2023" s="4" t="n"/>
      <c r="C2023" s="4" t="n"/>
      <c r="D2023" s="18" t="n"/>
      <c r="E2023" s="4" t="n"/>
      <c r="F2023" s="4" t="n"/>
      <c r="G2023" s="4" t="n"/>
      <c r="H2023" s="4" t="n"/>
      <c r="I2023" s="12" t="n"/>
    </row>
    <row r="2024" customFormat="1" s="36">
      <c r="A2024" s="4" t="n"/>
      <c r="B2024" s="4" t="n"/>
      <c r="C2024" s="4" t="n"/>
      <c r="D2024" s="18" t="n"/>
      <c r="E2024" s="4" t="n"/>
      <c r="F2024" s="4" t="n"/>
      <c r="G2024" s="4" t="n"/>
      <c r="H2024" s="4" t="n"/>
      <c r="I2024" s="12" t="n"/>
    </row>
    <row r="2025" customFormat="1" s="36">
      <c r="A2025" s="4" t="n"/>
      <c r="B2025" s="4" t="n"/>
      <c r="C2025" s="4" t="n"/>
      <c r="D2025" s="18" t="n"/>
      <c r="E2025" s="4" t="n"/>
      <c r="F2025" s="4" t="n"/>
      <c r="G2025" s="4" t="n"/>
      <c r="H2025" s="4" t="n"/>
      <c r="I2025" s="12" t="n"/>
    </row>
    <row r="2026" customFormat="1" s="36">
      <c r="A2026" s="4" t="n"/>
      <c r="B2026" s="4" t="n"/>
      <c r="C2026" s="4" t="n"/>
      <c r="D2026" s="18" t="n"/>
      <c r="E2026" s="4" t="n"/>
      <c r="F2026" s="4" t="n"/>
      <c r="G2026" s="4" t="n"/>
      <c r="H2026" s="4" t="n"/>
      <c r="I2026" s="12" t="n"/>
    </row>
    <row r="2027" customFormat="1" s="36">
      <c r="A2027" s="4" t="n"/>
      <c r="B2027" s="4" t="n"/>
      <c r="C2027" s="4" t="n"/>
      <c r="D2027" s="18" t="n"/>
      <c r="E2027" s="4" t="n"/>
      <c r="F2027" s="4" t="n"/>
      <c r="G2027" s="4" t="n"/>
      <c r="H2027" s="4" t="n"/>
      <c r="I2027" s="12" t="n"/>
    </row>
    <row r="2028" customFormat="1" s="36">
      <c r="A2028" s="4" t="n"/>
      <c r="B2028" s="4" t="n"/>
      <c r="C2028" s="4" t="n"/>
      <c r="D2028" s="18" t="n"/>
      <c r="E2028" s="4" t="n"/>
      <c r="F2028" s="4" t="n"/>
      <c r="G2028" s="4" t="n"/>
      <c r="H2028" s="4" t="n"/>
      <c r="I2028" s="12" t="n"/>
    </row>
    <row r="2029" customFormat="1" s="36">
      <c r="A2029" s="4" t="n"/>
      <c r="B2029" s="4" t="n"/>
      <c r="C2029" s="4" t="n"/>
      <c r="D2029" s="18" t="n"/>
      <c r="E2029" s="4" t="n"/>
      <c r="F2029" s="4" t="n"/>
      <c r="G2029" s="4" t="n"/>
      <c r="H2029" s="4" t="n"/>
      <c r="I2029" s="12" t="n"/>
    </row>
    <row r="2030" customFormat="1" s="36">
      <c r="A2030" s="4" t="n"/>
      <c r="B2030" s="4" t="n"/>
      <c r="C2030" s="4" t="n"/>
      <c r="D2030" s="18" t="n"/>
      <c r="E2030" s="4" t="n"/>
      <c r="F2030" s="4" t="n"/>
      <c r="G2030" s="4" t="n"/>
      <c r="H2030" s="4" t="n"/>
      <c r="I2030" s="12" t="n"/>
    </row>
    <row r="2031" customFormat="1" s="36">
      <c r="A2031" s="4" t="n"/>
      <c r="B2031" s="4" t="n"/>
      <c r="C2031" s="4" t="n"/>
      <c r="D2031" s="18" t="n"/>
      <c r="E2031" s="4" t="n"/>
      <c r="F2031" s="4" t="n"/>
      <c r="G2031" s="4" t="n"/>
      <c r="H2031" s="4" t="n"/>
      <c r="I2031" s="12" t="n"/>
    </row>
    <row r="2032" customFormat="1" s="36">
      <c r="A2032" s="4" t="n"/>
      <c r="B2032" s="4" t="n"/>
      <c r="C2032" s="4" t="n"/>
      <c r="D2032" s="18" t="n"/>
      <c r="E2032" s="4" t="n"/>
      <c r="F2032" s="4" t="n"/>
      <c r="G2032" s="4" t="n"/>
      <c r="H2032" s="4" t="n"/>
      <c r="I2032" s="12" t="n"/>
    </row>
    <row r="2033" customFormat="1" s="36">
      <c r="A2033" s="4" t="n"/>
      <c r="B2033" s="4" t="n"/>
      <c r="C2033" s="4" t="n"/>
      <c r="D2033" s="18" t="n"/>
      <c r="E2033" s="4" t="n"/>
      <c r="F2033" s="4" t="n"/>
      <c r="G2033" s="4" t="n"/>
      <c r="H2033" s="4" t="n"/>
      <c r="I2033" s="12" t="n"/>
    </row>
    <row r="2034" customFormat="1" s="36">
      <c r="A2034" s="4" t="n"/>
      <c r="B2034" s="4" t="n"/>
      <c r="C2034" s="4" t="n"/>
      <c r="D2034" s="18" t="n"/>
      <c r="E2034" s="4" t="n"/>
      <c r="F2034" s="4" t="n"/>
      <c r="G2034" s="4" t="n"/>
      <c r="H2034" s="4" t="n"/>
      <c r="I2034" s="12" t="n"/>
    </row>
    <row r="2035" customFormat="1" s="36">
      <c r="A2035" s="4" t="n"/>
      <c r="B2035" s="4" t="n"/>
      <c r="C2035" s="4" t="n"/>
      <c r="D2035" s="18" t="n"/>
      <c r="E2035" s="4" t="n"/>
      <c r="F2035" s="4" t="n"/>
      <c r="G2035" s="4" t="n"/>
      <c r="H2035" s="4" t="n"/>
      <c r="I2035" s="12" t="n"/>
    </row>
    <row r="2036" customFormat="1" s="36">
      <c r="A2036" s="4" t="n"/>
      <c r="B2036" s="4" t="n"/>
      <c r="C2036" s="4" t="n"/>
      <c r="D2036" s="18" t="n"/>
      <c r="E2036" s="4" t="n"/>
      <c r="F2036" s="4" t="n"/>
      <c r="G2036" s="4" t="n"/>
      <c r="H2036" s="4" t="n"/>
      <c r="I2036" s="12" t="n"/>
    </row>
    <row r="2037" customFormat="1" s="36">
      <c r="A2037" s="4" t="n"/>
      <c r="B2037" s="4" t="n"/>
      <c r="C2037" s="4" t="n"/>
      <c r="D2037" s="18" t="n"/>
      <c r="E2037" s="4" t="n"/>
      <c r="F2037" s="4" t="n"/>
      <c r="G2037" s="4" t="n"/>
      <c r="H2037" s="4" t="n"/>
      <c r="I2037" s="12" t="n"/>
    </row>
    <row r="2038" customFormat="1" s="36">
      <c r="A2038" s="4" t="n"/>
      <c r="B2038" s="4" t="n"/>
      <c r="C2038" s="4" t="n"/>
      <c r="D2038" s="18" t="n"/>
      <c r="E2038" s="4" t="n"/>
      <c r="F2038" s="4" t="n"/>
      <c r="G2038" s="4" t="n"/>
      <c r="H2038" s="4" t="n"/>
      <c r="I2038" s="12" t="n"/>
    </row>
    <row r="2039" customFormat="1" s="36">
      <c r="A2039" s="4" t="n"/>
      <c r="B2039" s="4" t="n"/>
      <c r="C2039" s="4" t="n"/>
      <c r="D2039" s="18" t="n"/>
      <c r="E2039" s="4" t="n"/>
      <c r="F2039" s="4" t="n"/>
      <c r="G2039" s="4" t="n"/>
      <c r="H2039" s="4" t="n"/>
      <c r="I2039" s="12" t="n"/>
    </row>
    <row r="2040" customFormat="1" s="36">
      <c r="A2040" s="4" t="n"/>
      <c r="B2040" s="4" t="n"/>
      <c r="C2040" s="4" t="n"/>
      <c r="D2040" s="18" t="n"/>
      <c r="E2040" s="4" t="n"/>
      <c r="F2040" s="4" t="n"/>
      <c r="G2040" s="4" t="n"/>
      <c r="H2040" s="4" t="n"/>
      <c r="I2040" s="12" t="n"/>
    </row>
    <row r="2041" customFormat="1" s="36">
      <c r="A2041" s="4" t="n"/>
      <c r="B2041" s="4" t="n"/>
      <c r="C2041" s="4" t="n"/>
      <c r="D2041" s="18" t="n"/>
      <c r="E2041" s="4" t="n"/>
      <c r="F2041" s="4" t="n"/>
      <c r="G2041" s="4" t="n"/>
      <c r="H2041" s="4" t="n"/>
      <c r="I2041" s="12" t="n"/>
    </row>
    <row r="2042" customFormat="1" s="36">
      <c r="A2042" s="4" t="n"/>
      <c r="B2042" s="4" t="n"/>
      <c r="C2042" s="4" t="n"/>
      <c r="D2042" s="18" t="n"/>
      <c r="E2042" s="4" t="n"/>
      <c r="F2042" s="4" t="n"/>
      <c r="G2042" s="4" t="n"/>
      <c r="H2042" s="4" t="n"/>
      <c r="I2042" s="12" t="n"/>
    </row>
    <row r="2043" customFormat="1" s="36">
      <c r="A2043" s="4" t="n"/>
      <c r="B2043" s="4" t="n"/>
      <c r="C2043" s="4" t="n"/>
      <c r="D2043" s="18" t="n"/>
      <c r="E2043" s="4" t="n"/>
      <c r="F2043" s="4" t="n"/>
      <c r="G2043" s="4" t="n"/>
      <c r="H2043" s="4" t="n"/>
      <c r="I2043" s="12" t="n"/>
    </row>
    <row r="2044" customFormat="1" s="36">
      <c r="A2044" s="4" t="n"/>
      <c r="B2044" s="4" t="n"/>
      <c r="C2044" s="4" t="n"/>
      <c r="D2044" s="18" t="n"/>
      <c r="E2044" s="4" t="n"/>
      <c r="F2044" s="4" t="n"/>
      <c r="G2044" s="4" t="n"/>
      <c r="H2044" s="4" t="n"/>
      <c r="I2044" s="12" t="n"/>
    </row>
    <row r="2045" customFormat="1" s="36">
      <c r="A2045" s="4" t="n"/>
      <c r="B2045" s="4" t="n"/>
      <c r="C2045" s="4" t="n"/>
      <c r="D2045" s="18" t="n"/>
      <c r="E2045" s="4" t="n"/>
      <c r="F2045" s="4" t="n"/>
      <c r="G2045" s="4" t="n"/>
      <c r="H2045" s="4" t="n"/>
      <c r="I2045" s="12" t="n"/>
    </row>
    <row r="2046" customFormat="1" s="36">
      <c r="A2046" s="4" t="n"/>
      <c r="B2046" s="4" t="n"/>
      <c r="C2046" s="4" t="n"/>
      <c r="D2046" s="18" t="n"/>
      <c r="E2046" s="4" t="n"/>
      <c r="F2046" s="4" t="n"/>
      <c r="G2046" s="4" t="n"/>
      <c r="H2046" s="4" t="n"/>
      <c r="I2046" s="12" t="n"/>
    </row>
    <row r="2047" customFormat="1" s="36">
      <c r="A2047" s="4" t="n"/>
      <c r="B2047" s="4" t="n"/>
      <c r="C2047" s="4" t="n"/>
      <c r="D2047" s="18" t="n"/>
      <c r="E2047" s="4" t="n"/>
      <c r="F2047" s="4" t="n"/>
      <c r="G2047" s="4" t="n"/>
      <c r="H2047" s="4" t="n"/>
      <c r="I2047" s="12" t="n"/>
    </row>
    <row r="2048" customFormat="1" s="36">
      <c r="A2048" s="4" t="n"/>
      <c r="B2048" s="4" t="n"/>
      <c r="C2048" s="4" t="n"/>
      <c r="D2048" s="18" t="n"/>
      <c r="E2048" s="4" t="n"/>
      <c r="F2048" s="4" t="n"/>
      <c r="G2048" s="4" t="n"/>
      <c r="H2048" s="4" t="n"/>
      <c r="I2048" s="12" t="n"/>
    </row>
    <row r="2049" customFormat="1" s="36">
      <c r="A2049" s="4" t="n"/>
      <c r="B2049" s="4" t="n"/>
      <c r="C2049" s="4" t="n"/>
      <c r="D2049" s="18" t="n"/>
      <c r="E2049" s="4" t="n"/>
      <c r="F2049" s="4" t="n"/>
      <c r="G2049" s="4" t="n"/>
      <c r="H2049" s="4" t="n"/>
      <c r="I2049" s="12" t="n"/>
    </row>
    <row r="2050" customFormat="1" s="36">
      <c r="A2050" s="4" t="n"/>
      <c r="B2050" s="4" t="n"/>
      <c r="C2050" s="4" t="n"/>
      <c r="D2050" s="18" t="n"/>
      <c r="E2050" s="4" t="n"/>
      <c r="F2050" s="4" t="n"/>
      <c r="G2050" s="4" t="n"/>
      <c r="H2050" s="4" t="n"/>
      <c r="I2050" s="12" t="n"/>
    </row>
    <row r="2051" customFormat="1" s="36">
      <c r="A2051" s="4" t="n"/>
      <c r="B2051" s="4" t="n"/>
      <c r="C2051" s="4" t="n"/>
      <c r="D2051" s="18" t="n"/>
      <c r="E2051" s="4" t="n"/>
      <c r="F2051" s="4" t="n"/>
      <c r="G2051" s="4" t="n"/>
      <c r="H2051" s="4" t="n"/>
      <c r="I2051" s="12" t="n"/>
    </row>
    <row r="2052" customFormat="1" s="36">
      <c r="A2052" s="4" t="n"/>
      <c r="B2052" s="4" t="n"/>
      <c r="C2052" s="4" t="n"/>
      <c r="D2052" s="18" t="n"/>
      <c r="E2052" s="4" t="n"/>
      <c r="F2052" s="4" t="n"/>
      <c r="G2052" s="4" t="n"/>
      <c r="H2052" s="4" t="n"/>
      <c r="I2052" s="12" t="n"/>
    </row>
    <row r="2053" customFormat="1" s="36">
      <c r="A2053" s="4" t="n"/>
      <c r="B2053" s="4" t="n"/>
      <c r="C2053" s="4" t="n"/>
      <c r="D2053" s="18" t="n"/>
      <c r="E2053" s="4" t="n"/>
      <c r="F2053" s="4" t="n"/>
      <c r="G2053" s="4" t="n"/>
      <c r="H2053" s="4" t="n"/>
      <c r="I2053" s="12" t="n"/>
    </row>
    <row r="2054" customFormat="1" s="36">
      <c r="A2054" s="4" t="n"/>
      <c r="B2054" s="4" t="n"/>
      <c r="C2054" s="4" t="n"/>
      <c r="D2054" s="18" t="n"/>
      <c r="E2054" s="4" t="n"/>
      <c r="F2054" s="4" t="n"/>
      <c r="G2054" s="4" t="n"/>
      <c r="H2054" s="4" t="n"/>
      <c r="I2054" s="12" t="n"/>
    </row>
    <row r="2055" customFormat="1" s="36">
      <c r="A2055" s="4" t="n"/>
      <c r="B2055" s="4" t="n"/>
      <c r="C2055" s="4" t="n"/>
      <c r="D2055" s="18" t="n"/>
      <c r="E2055" s="4" t="n"/>
      <c r="F2055" s="4" t="n"/>
      <c r="G2055" s="4" t="n"/>
      <c r="H2055" s="4" t="n"/>
      <c r="I2055" s="12" t="n"/>
    </row>
    <row r="2056" customFormat="1" s="36">
      <c r="A2056" s="4" t="n"/>
      <c r="B2056" s="4" t="n"/>
      <c r="C2056" s="4" t="n"/>
      <c r="D2056" s="18" t="n"/>
      <c r="E2056" s="4" t="n"/>
      <c r="F2056" s="4" t="n"/>
      <c r="G2056" s="4" t="n"/>
      <c r="H2056" s="4" t="n"/>
      <c r="I2056" s="12" t="n"/>
    </row>
    <row r="2057" customFormat="1" s="36">
      <c r="A2057" s="4" t="n"/>
      <c r="B2057" s="4" t="n"/>
      <c r="C2057" s="4" t="n"/>
      <c r="D2057" s="18" t="n"/>
      <c r="E2057" s="4" t="n"/>
      <c r="F2057" s="4" t="n"/>
      <c r="G2057" s="4" t="n"/>
      <c r="H2057" s="4" t="n"/>
      <c r="I2057" s="12" t="n"/>
    </row>
    <row r="2058" customFormat="1" s="36">
      <c r="A2058" s="4" t="n"/>
      <c r="B2058" s="4" t="n"/>
      <c r="C2058" s="4" t="n"/>
      <c r="D2058" s="18" t="n"/>
      <c r="E2058" s="4" t="n"/>
      <c r="F2058" s="4" t="n"/>
      <c r="G2058" s="4" t="n"/>
      <c r="H2058" s="4" t="n"/>
      <c r="I2058" s="12" t="n"/>
    </row>
    <row r="2059" customFormat="1" s="36">
      <c r="A2059" s="4" t="n"/>
      <c r="B2059" s="4" t="n"/>
      <c r="C2059" s="4" t="n"/>
      <c r="D2059" s="18" t="n"/>
      <c r="E2059" s="4" t="n"/>
      <c r="F2059" s="4" t="n"/>
      <c r="G2059" s="4" t="n"/>
      <c r="H2059" s="4" t="n"/>
      <c r="I2059" s="12" t="n"/>
    </row>
    <row r="2060" customFormat="1" s="36">
      <c r="A2060" s="4" t="n"/>
      <c r="B2060" s="4" t="n"/>
      <c r="C2060" s="4" t="n"/>
      <c r="D2060" s="18" t="n"/>
      <c r="E2060" s="4" t="n"/>
      <c r="F2060" s="4" t="n"/>
      <c r="G2060" s="4" t="n"/>
      <c r="H2060" s="4" t="n"/>
      <c r="I2060" s="12" t="n"/>
    </row>
    <row r="2061" customFormat="1" s="36">
      <c r="A2061" s="4" t="n"/>
      <c r="B2061" s="4" t="n"/>
      <c r="C2061" s="4" t="n"/>
      <c r="D2061" s="18" t="n"/>
      <c r="E2061" s="4" t="n"/>
      <c r="F2061" s="4" t="n"/>
      <c r="G2061" s="4" t="n"/>
      <c r="H2061" s="4" t="n"/>
      <c r="I2061" s="12" t="n"/>
    </row>
    <row r="2062" customFormat="1" s="36">
      <c r="A2062" s="4" t="n"/>
      <c r="B2062" s="4" t="n"/>
      <c r="C2062" s="4" t="n"/>
      <c r="D2062" s="18" t="n"/>
      <c r="E2062" s="4" t="n"/>
      <c r="F2062" s="4" t="n"/>
      <c r="G2062" s="4" t="n"/>
      <c r="H2062" s="4" t="n"/>
      <c r="I2062" s="12" t="n"/>
    </row>
    <row r="2063" customFormat="1" s="36">
      <c r="A2063" s="4" t="n"/>
      <c r="B2063" s="4" t="n"/>
      <c r="C2063" s="4" t="n"/>
      <c r="D2063" s="18" t="n"/>
      <c r="E2063" s="4" t="n"/>
      <c r="F2063" s="4" t="n"/>
      <c r="G2063" s="4" t="n"/>
      <c r="H2063" s="4" t="n"/>
      <c r="I2063" s="12" t="n"/>
    </row>
    <row r="2064" customFormat="1" s="36">
      <c r="A2064" s="4" t="n"/>
      <c r="B2064" s="4" t="n"/>
      <c r="C2064" s="4" t="n"/>
      <c r="D2064" s="18" t="n"/>
      <c r="E2064" s="4" t="n"/>
      <c r="F2064" s="4" t="n"/>
      <c r="G2064" s="4" t="n"/>
      <c r="H2064" s="4" t="n"/>
      <c r="I2064" s="12" t="n"/>
    </row>
    <row r="2065" customFormat="1" s="36">
      <c r="A2065" s="4" t="n"/>
      <c r="B2065" s="4" t="n"/>
      <c r="C2065" s="4" t="n"/>
      <c r="D2065" s="18" t="n"/>
      <c r="E2065" s="4" t="n"/>
      <c r="F2065" s="4" t="n"/>
      <c r="G2065" s="4" t="n"/>
      <c r="H2065" s="4" t="n"/>
      <c r="I2065" s="12" t="n"/>
    </row>
    <row r="2066" customFormat="1" s="36">
      <c r="A2066" s="4" t="n"/>
      <c r="B2066" s="4" t="n"/>
      <c r="C2066" s="4" t="n"/>
      <c r="D2066" s="18" t="n"/>
      <c r="E2066" s="4" t="n"/>
      <c r="F2066" s="4" t="n"/>
      <c r="G2066" s="4" t="n"/>
      <c r="H2066" s="4" t="n"/>
      <c r="I2066" s="12" t="n"/>
    </row>
    <row r="2067" customFormat="1" s="36">
      <c r="A2067" s="4" t="n"/>
      <c r="B2067" s="4" t="n"/>
      <c r="C2067" s="4" t="n"/>
      <c r="D2067" s="18" t="n"/>
      <c r="E2067" s="4" t="n"/>
      <c r="F2067" s="4" t="n"/>
      <c r="G2067" s="4" t="n"/>
      <c r="H2067" s="4" t="n"/>
      <c r="I2067" s="12" t="n"/>
    </row>
    <row r="2068" customFormat="1" s="36">
      <c r="A2068" s="4" t="n"/>
      <c r="B2068" s="4" t="n"/>
      <c r="C2068" s="4" t="n"/>
      <c r="D2068" s="18" t="n"/>
      <c r="E2068" s="4" t="n"/>
      <c r="F2068" s="4" t="n"/>
      <c r="G2068" s="4" t="n"/>
      <c r="H2068" s="4" t="n"/>
      <c r="I2068" s="12" t="n"/>
    </row>
    <row r="2069" customFormat="1" s="36">
      <c r="A2069" s="4" t="n"/>
      <c r="B2069" s="4" t="n"/>
      <c r="C2069" s="4" t="n"/>
      <c r="D2069" s="18" t="n"/>
      <c r="E2069" s="4" t="n"/>
      <c r="F2069" s="4" t="n"/>
      <c r="G2069" s="4" t="n"/>
      <c r="H2069" s="4" t="n"/>
      <c r="I2069" s="12" t="n"/>
    </row>
    <row r="2070" customFormat="1" s="36">
      <c r="A2070" s="4" t="n"/>
      <c r="B2070" s="4" t="n"/>
      <c r="C2070" s="4" t="n"/>
      <c r="D2070" s="18" t="n"/>
      <c r="E2070" s="4" t="n"/>
      <c r="F2070" s="4" t="n"/>
      <c r="G2070" s="4" t="n"/>
      <c r="H2070" s="4" t="n"/>
      <c r="I2070" s="12" t="n"/>
    </row>
    <row r="2071" customFormat="1" s="36">
      <c r="A2071" s="4" t="n"/>
      <c r="B2071" s="4" t="n"/>
      <c r="C2071" s="4" t="n"/>
      <c r="D2071" s="18" t="n"/>
      <c r="E2071" s="4" t="n"/>
      <c r="F2071" s="4" t="n"/>
      <c r="G2071" s="4" t="n"/>
      <c r="H2071" s="4" t="n"/>
      <c r="I2071" s="12" t="n"/>
    </row>
    <row r="2072" customFormat="1" s="36">
      <c r="A2072" s="4" t="n"/>
      <c r="B2072" s="4" t="n"/>
      <c r="C2072" s="4" t="n"/>
      <c r="D2072" s="18" t="n"/>
      <c r="E2072" s="4" t="n"/>
      <c r="F2072" s="4" t="n"/>
      <c r="G2072" s="4" t="n"/>
      <c r="H2072" s="4" t="n"/>
      <c r="I2072" s="12" t="n"/>
    </row>
    <row r="2073" customFormat="1" s="36">
      <c r="A2073" s="4" t="n"/>
      <c r="B2073" s="4" t="n"/>
      <c r="C2073" s="4" t="n"/>
      <c r="D2073" s="18" t="n"/>
      <c r="E2073" s="4" t="n"/>
      <c r="F2073" s="4" t="n"/>
      <c r="G2073" s="4" t="n"/>
      <c r="H2073" s="4" t="n"/>
      <c r="I2073" s="12" t="n"/>
    </row>
    <row r="2074" customFormat="1" s="36">
      <c r="A2074" s="4" t="n"/>
      <c r="B2074" s="4" t="n"/>
      <c r="C2074" s="4" t="n"/>
      <c r="D2074" s="18" t="n"/>
      <c r="E2074" s="4" t="n"/>
      <c r="F2074" s="4" t="n"/>
      <c r="G2074" s="4" t="n"/>
      <c r="H2074" s="4" t="n"/>
      <c r="I2074" s="12" t="n"/>
    </row>
    <row r="2075" customFormat="1" s="36">
      <c r="A2075" s="4" t="n"/>
      <c r="B2075" s="4" t="n"/>
      <c r="C2075" s="4" t="n"/>
      <c r="D2075" s="18" t="n"/>
      <c r="E2075" s="4" t="n"/>
      <c r="F2075" s="4" t="n"/>
      <c r="G2075" s="4" t="n"/>
      <c r="H2075" s="4" t="n"/>
      <c r="I2075" s="12" t="n"/>
    </row>
    <row r="2076" customFormat="1" s="36">
      <c r="A2076" s="4" t="n"/>
      <c r="B2076" s="4" t="n"/>
      <c r="C2076" s="4" t="n"/>
      <c r="D2076" s="18" t="n"/>
      <c r="E2076" s="4" t="n"/>
      <c r="F2076" s="4" t="n"/>
      <c r="G2076" s="4" t="n"/>
      <c r="H2076" s="4" t="n"/>
      <c r="I2076" s="12" t="n"/>
    </row>
    <row r="2077" customFormat="1" s="36">
      <c r="A2077" s="4" t="n"/>
      <c r="B2077" s="4" t="n"/>
      <c r="C2077" s="4" t="n"/>
      <c r="D2077" s="18" t="n"/>
      <c r="E2077" s="4" t="n"/>
      <c r="F2077" s="4" t="n"/>
      <c r="G2077" s="4" t="n"/>
      <c r="H2077" s="4" t="n"/>
      <c r="I2077" s="12" t="n"/>
    </row>
    <row r="2078" customFormat="1" s="36">
      <c r="A2078" s="4" t="n"/>
      <c r="B2078" s="4" t="n"/>
      <c r="C2078" s="4" t="n"/>
      <c r="D2078" s="18" t="n"/>
      <c r="E2078" s="4" t="n"/>
      <c r="F2078" s="4" t="n"/>
      <c r="G2078" s="4" t="n"/>
      <c r="H2078" s="4" t="n"/>
      <c r="I2078" s="12" t="n"/>
    </row>
    <row r="2079" customFormat="1" s="36">
      <c r="A2079" s="4" t="n"/>
      <c r="B2079" s="4" t="n"/>
      <c r="C2079" s="4" t="n"/>
      <c r="D2079" s="18" t="n"/>
      <c r="E2079" s="4" t="n"/>
      <c r="F2079" s="4" t="n"/>
      <c r="G2079" s="4" t="n"/>
      <c r="H2079" s="4" t="n"/>
      <c r="I2079" s="12" t="n"/>
    </row>
    <row r="2080" customFormat="1" s="36">
      <c r="A2080" s="4" t="n"/>
      <c r="B2080" s="4" t="n"/>
      <c r="C2080" s="4" t="n"/>
      <c r="D2080" s="18" t="n"/>
      <c r="E2080" s="4" t="n"/>
      <c r="F2080" s="4" t="n"/>
      <c r="G2080" s="4" t="n"/>
      <c r="H2080" s="4" t="n"/>
      <c r="I2080" s="12" t="n"/>
    </row>
    <row r="2081" customFormat="1" s="36">
      <c r="A2081" s="4" t="n"/>
      <c r="B2081" s="4" t="n"/>
      <c r="C2081" s="4" t="n"/>
      <c r="D2081" s="18" t="n"/>
      <c r="E2081" s="4" t="n"/>
      <c r="F2081" s="4" t="n"/>
      <c r="G2081" s="4" t="n"/>
      <c r="H2081" s="4" t="n"/>
      <c r="I2081" s="12" t="n"/>
    </row>
    <row r="2082" customFormat="1" s="36">
      <c r="A2082" s="4" t="n"/>
      <c r="B2082" s="4" t="n"/>
      <c r="C2082" s="4" t="n"/>
      <c r="D2082" s="18" t="n"/>
      <c r="E2082" s="4" t="n"/>
      <c r="F2082" s="4" t="n"/>
      <c r="G2082" s="4" t="n"/>
      <c r="H2082" s="4" t="n"/>
      <c r="I2082" s="12" t="n"/>
    </row>
    <row r="2083" customFormat="1" s="36">
      <c r="A2083" s="4" t="n"/>
      <c r="B2083" s="4" t="n"/>
      <c r="C2083" s="4" t="n"/>
      <c r="D2083" s="18" t="n"/>
      <c r="E2083" s="4" t="n"/>
      <c r="F2083" s="4" t="n"/>
      <c r="G2083" s="4" t="n"/>
      <c r="H2083" s="4" t="n"/>
      <c r="I2083" s="12" t="n"/>
    </row>
    <row r="2084" customFormat="1" s="36">
      <c r="A2084" s="4" t="n"/>
      <c r="B2084" s="4" t="n"/>
      <c r="C2084" s="4" t="n"/>
      <c r="D2084" s="18" t="n"/>
      <c r="E2084" s="4" t="n"/>
      <c r="F2084" s="4" t="n"/>
      <c r="G2084" s="4" t="n"/>
      <c r="H2084" s="4" t="n"/>
      <c r="I2084" s="12" t="n"/>
    </row>
    <row r="2085" customFormat="1" s="36">
      <c r="A2085" s="4" t="n"/>
      <c r="B2085" s="4" t="n"/>
      <c r="C2085" s="4" t="n"/>
      <c r="D2085" s="18" t="n"/>
      <c r="E2085" s="4" t="n"/>
      <c r="F2085" s="4" t="n"/>
      <c r="G2085" s="4" t="n"/>
      <c r="H2085" s="4" t="n"/>
      <c r="I2085" s="12" t="n"/>
    </row>
    <row r="2086" customFormat="1" s="36">
      <c r="A2086" s="4" t="n"/>
      <c r="B2086" s="4" t="n"/>
      <c r="C2086" s="4" t="n"/>
      <c r="D2086" s="18" t="n"/>
      <c r="E2086" s="4" t="n"/>
      <c r="F2086" s="4" t="n"/>
      <c r="G2086" s="4" t="n"/>
      <c r="H2086" s="4" t="n"/>
      <c r="I2086" s="12" t="n"/>
    </row>
    <row r="2087" customFormat="1" s="36">
      <c r="A2087" s="4" t="n"/>
      <c r="B2087" s="4" t="n"/>
      <c r="C2087" s="4" t="n"/>
      <c r="D2087" s="18" t="n"/>
      <c r="E2087" s="4" t="n"/>
      <c r="F2087" s="4" t="n"/>
      <c r="G2087" s="4" t="n"/>
      <c r="H2087" s="4" t="n"/>
      <c r="I2087" s="12" t="n"/>
    </row>
    <row r="2088" customFormat="1" s="36">
      <c r="A2088" s="4" t="n"/>
      <c r="B2088" s="4" t="n"/>
      <c r="C2088" s="4" t="n"/>
      <c r="D2088" s="18" t="n"/>
      <c r="E2088" s="4" t="n"/>
      <c r="F2088" s="4" t="n"/>
      <c r="G2088" s="4" t="n"/>
      <c r="H2088" s="4" t="n"/>
      <c r="I2088" s="12" t="n"/>
    </row>
    <row r="2089" customFormat="1" s="36">
      <c r="A2089" s="4" t="n"/>
      <c r="B2089" s="4" t="n"/>
      <c r="C2089" s="4" t="n"/>
      <c r="D2089" s="18" t="n"/>
      <c r="E2089" s="4" t="n"/>
      <c r="F2089" s="4" t="n"/>
      <c r="G2089" s="4" t="n"/>
      <c r="H2089" s="4" t="n"/>
      <c r="I2089" s="12" t="n"/>
    </row>
    <row r="2090" customFormat="1" s="36">
      <c r="A2090" s="4" t="n"/>
      <c r="B2090" s="4" t="n"/>
      <c r="C2090" s="4" t="n"/>
      <c r="D2090" s="18" t="n"/>
      <c r="E2090" s="4" t="n"/>
      <c r="F2090" s="4" t="n"/>
      <c r="G2090" s="4" t="n"/>
      <c r="H2090" s="4" t="n"/>
      <c r="I2090" s="12" t="n"/>
    </row>
    <row r="2091" customFormat="1" s="36">
      <c r="A2091" s="4" t="n"/>
      <c r="B2091" s="4" t="n"/>
      <c r="C2091" s="4" t="n"/>
      <c r="D2091" s="18" t="n"/>
      <c r="E2091" s="4" t="n"/>
      <c r="F2091" s="4" t="n"/>
      <c r="G2091" s="4" t="n"/>
      <c r="H2091" s="4" t="n"/>
      <c r="I2091" s="12" t="n"/>
    </row>
    <row r="2092" customFormat="1" s="36">
      <c r="A2092" s="4" t="n"/>
      <c r="B2092" s="4" t="n"/>
      <c r="C2092" s="4" t="n"/>
      <c r="D2092" s="18" t="n"/>
      <c r="E2092" s="4" t="n"/>
      <c r="F2092" s="4" t="n"/>
      <c r="G2092" s="4" t="n"/>
      <c r="H2092" s="4" t="n"/>
      <c r="I2092" s="12" t="n"/>
    </row>
    <row r="2093" customFormat="1" s="36">
      <c r="A2093" s="4" t="n"/>
      <c r="B2093" s="4" t="n"/>
      <c r="C2093" s="4" t="n"/>
      <c r="D2093" s="18" t="n"/>
      <c r="E2093" s="4" t="n"/>
      <c r="F2093" s="4" t="n"/>
      <c r="G2093" s="4" t="n"/>
      <c r="H2093" s="4" t="n"/>
      <c r="I2093" s="12" t="n"/>
    </row>
    <row r="2094" customFormat="1" s="36">
      <c r="A2094" s="4" t="n"/>
      <c r="B2094" s="4" t="n"/>
      <c r="C2094" s="4" t="n"/>
      <c r="D2094" s="18" t="n"/>
      <c r="E2094" s="4" t="n"/>
      <c r="F2094" s="4" t="n"/>
      <c r="G2094" s="4" t="n"/>
      <c r="H2094" s="4" t="n"/>
      <c r="I2094" s="12" t="n"/>
    </row>
    <row r="2095" customFormat="1" s="36">
      <c r="A2095" s="4" t="n"/>
      <c r="B2095" s="4" t="n"/>
      <c r="C2095" s="4" t="n"/>
      <c r="D2095" s="18" t="n"/>
      <c r="E2095" s="4" t="n"/>
      <c r="F2095" s="4" t="n"/>
      <c r="G2095" s="4" t="n"/>
      <c r="H2095" s="4" t="n"/>
      <c r="I2095" s="12" t="n"/>
    </row>
    <row r="2096" customFormat="1" s="36">
      <c r="A2096" s="4" t="n"/>
      <c r="B2096" s="4" t="n"/>
      <c r="C2096" s="4" t="n"/>
      <c r="D2096" s="18" t="n"/>
      <c r="E2096" s="4" t="n"/>
      <c r="F2096" s="4" t="n"/>
      <c r="G2096" s="4" t="n"/>
      <c r="H2096" s="4" t="n"/>
      <c r="I2096" s="12" t="n"/>
    </row>
    <row r="2097" customFormat="1" s="36">
      <c r="A2097" s="4" t="n"/>
      <c r="B2097" s="4" t="n"/>
      <c r="C2097" s="4" t="n"/>
      <c r="D2097" s="18" t="n"/>
      <c r="E2097" s="4" t="n"/>
      <c r="F2097" s="4" t="n"/>
      <c r="G2097" s="4" t="n"/>
      <c r="H2097" s="4" t="n"/>
      <c r="I2097" s="12" t="n"/>
    </row>
    <row r="2098" customFormat="1" s="36">
      <c r="A2098" s="4" t="n"/>
      <c r="B2098" s="4" t="n"/>
      <c r="C2098" s="4" t="n"/>
      <c r="D2098" s="18" t="n"/>
      <c r="E2098" s="4" t="n"/>
      <c r="F2098" s="4" t="n"/>
      <c r="G2098" s="4" t="n"/>
      <c r="H2098" s="4" t="n"/>
      <c r="I2098" s="12" t="n"/>
    </row>
    <row r="2099" customFormat="1" s="36">
      <c r="A2099" s="4" t="n"/>
      <c r="B2099" s="4" t="n"/>
      <c r="C2099" s="4" t="n"/>
      <c r="D2099" s="18" t="n"/>
      <c r="E2099" s="4" t="n"/>
      <c r="F2099" s="4" t="n"/>
      <c r="G2099" s="4" t="n"/>
      <c r="H2099" s="4" t="n"/>
      <c r="I2099" s="12" t="n"/>
    </row>
    <row r="2100" customFormat="1" s="36">
      <c r="A2100" s="4" t="n"/>
      <c r="B2100" s="4" t="n"/>
      <c r="C2100" s="4" t="n"/>
      <c r="D2100" s="18" t="n"/>
      <c r="E2100" s="4" t="n"/>
      <c r="F2100" s="4" t="n"/>
      <c r="G2100" s="4" t="n"/>
      <c r="H2100" s="4" t="n"/>
      <c r="I2100" s="12" t="n"/>
    </row>
    <row r="2101" customFormat="1" s="36">
      <c r="A2101" s="4" t="n"/>
      <c r="B2101" s="4" t="n"/>
      <c r="C2101" s="4" t="n"/>
      <c r="D2101" s="18" t="n"/>
      <c r="E2101" s="4" t="n"/>
      <c r="F2101" s="4" t="n"/>
      <c r="G2101" s="4" t="n"/>
      <c r="H2101" s="4" t="n"/>
      <c r="I2101" s="12" t="n"/>
    </row>
    <row r="2102" customFormat="1" s="36">
      <c r="A2102" s="4" t="n"/>
      <c r="B2102" s="4" t="n"/>
      <c r="C2102" s="4" t="n"/>
      <c r="D2102" s="18" t="n"/>
      <c r="E2102" s="4" t="n"/>
      <c r="F2102" s="4" t="n"/>
      <c r="G2102" s="4" t="n"/>
      <c r="H2102" s="4" t="n"/>
      <c r="I2102" s="12" t="n"/>
    </row>
    <row r="2103" customFormat="1" s="36">
      <c r="A2103" s="4" t="n"/>
      <c r="B2103" s="4" t="n"/>
      <c r="C2103" s="4" t="n"/>
      <c r="D2103" s="18" t="n"/>
      <c r="E2103" s="4" t="n"/>
      <c r="F2103" s="4" t="n"/>
      <c r="G2103" s="4" t="n"/>
      <c r="H2103" s="4" t="n"/>
      <c r="I2103" s="12" t="n"/>
    </row>
    <row r="2104" customFormat="1" s="36">
      <c r="A2104" s="4" t="n"/>
      <c r="B2104" s="4" t="n"/>
      <c r="C2104" s="4" t="n"/>
      <c r="D2104" s="18" t="n"/>
      <c r="E2104" s="4" t="n"/>
      <c r="F2104" s="4" t="n"/>
      <c r="G2104" s="4" t="n"/>
      <c r="H2104" s="4" t="n"/>
      <c r="I2104" s="12" t="n"/>
    </row>
    <row r="2105" customFormat="1" s="36">
      <c r="A2105" s="4" t="n"/>
      <c r="B2105" s="4" t="n"/>
      <c r="C2105" s="4" t="n"/>
      <c r="D2105" s="18" t="n"/>
      <c r="E2105" s="4" t="n"/>
      <c r="F2105" s="4" t="n"/>
      <c r="G2105" s="4" t="n"/>
      <c r="H2105" s="4" t="n"/>
      <c r="I2105" s="12" t="n"/>
    </row>
    <row r="2106" customFormat="1" s="36">
      <c r="A2106" s="4" t="n"/>
      <c r="B2106" s="4" t="n"/>
      <c r="C2106" s="4" t="n"/>
      <c r="D2106" s="18" t="n"/>
      <c r="E2106" s="4" t="n"/>
      <c r="F2106" s="4" t="n"/>
      <c r="G2106" s="4" t="n"/>
      <c r="H2106" s="4" t="n"/>
      <c r="I2106" s="12" t="n"/>
    </row>
    <row r="2107" customFormat="1" s="36">
      <c r="A2107" s="4" t="n"/>
      <c r="B2107" s="4" t="n"/>
      <c r="C2107" s="4" t="n"/>
      <c r="D2107" s="18" t="n"/>
      <c r="E2107" s="4" t="n"/>
      <c r="F2107" s="4" t="n"/>
      <c r="G2107" s="4" t="n"/>
      <c r="H2107" s="4" t="n"/>
      <c r="I2107" s="12" t="n"/>
    </row>
    <row r="2108" customFormat="1" s="36">
      <c r="A2108" s="4" t="n"/>
      <c r="B2108" s="4" t="n"/>
      <c r="C2108" s="4" t="n"/>
      <c r="D2108" s="18" t="n"/>
      <c r="E2108" s="4" t="n"/>
      <c r="F2108" s="4" t="n"/>
      <c r="G2108" s="4" t="n"/>
      <c r="H2108" s="4" t="n"/>
      <c r="I2108" s="12" t="n"/>
    </row>
    <row r="2109" customFormat="1" s="36">
      <c r="A2109" s="4" t="n"/>
      <c r="B2109" s="4" t="n"/>
      <c r="C2109" s="4" t="n"/>
      <c r="D2109" s="18" t="n"/>
      <c r="E2109" s="4" t="n"/>
      <c r="F2109" s="4" t="n"/>
      <c r="G2109" s="4" t="n"/>
      <c r="H2109" s="4" t="n"/>
      <c r="I2109" s="12" t="n"/>
    </row>
    <row r="2110" customFormat="1" s="36">
      <c r="A2110" s="4" t="n"/>
      <c r="B2110" s="4" t="n"/>
      <c r="C2110" s="4" t="n"/>
      <c r="D2110" s="18" t="n"/>
      <c r="E2110" s="4" t="n"/>
      <c r="F2110" s="4" t="n"/>
      <c r="G2110" s="4" t="n"/>
      <c r="H2110" s="4" t="n"/>
      <c r="I2110" s="12" t="n"/>
    </row>
    <row r="2111" customFormat="1" s="36">
      <c r="A2111" s="4" t="n"/>
      <c r="B2111" s="4" t="n"/>
      <c r="C2111" s="4" t="n"/>
      <c r="D2111" s="18" t="n"/>
      <c r="E2111" s="4" t="n"/>
      <c r="F2111" s="4" t="n"/>
      <c r="G2111" s="4" t="n"/>
      <c r="H2111" s="4" t="n"/>
      <c r="I2111" s="12" t="n"/>
    </row>
    <row r="2112" customFormat="1" s="36">
      <c r="A2112" s="4" t="n"/>
      <c r="B2112" s="4" t="n"/>
      <c r="C2112" s="4" t="n"/>
      <c r="D2112" s="18" t="n"/>
      <c r="E2112" s="4" t="n"/>
      <c r="F2112" s="4" t="n"/>
      <c r="G2112" s="4" t="n"/>
      <c r="H2112" s="4" t="n"/>
      <c r="I2112" s="12" t="n"/>
    </row>
    <row r="2113" customFormat="1" s="36">
      <c r="A2113" s="4" t="n"/>
      <c r="B2113" s="4" t="n"/>
      <c r="C2113" s="4" t="n"/>
      <c r="D2113" s="18" t="n"/>
      <c r="E2113" s="4" t="n"/>
      <c r="F2113" s="4" t="n"/>
      <c r="G2113" s="4" t="n"/>
      <c r="H2113" s="4" t="n"/>
      <c r="I2113" s="12" t="n"/>
    </row>
    <row r="2114" customFormat="1" s="36">
      <c r="A2114" s="4" t="n"/>
      <c r="B2114" s="4" t="n"/>
      <c r="C2114" s="4" t="n"/>
      <c r="D2114" s="18" t="n"/>
      <c r="E2114" s="4" t="n"/>
      <c r="F2114" s="4" t="n"/>
      <c r="G2114" s="4" t="n"/>
      <c r="H2114" s="4" t="n"/>
      <c r="I2114" s="12" t="n"/>
    </row>
    <row r="2115" customFormat="1" s="36">
      <c r="A2115" s="4" t="n"/>
      <c r="B2115" s="4" t="n"/>
      <c r="C2115" s="4" t="n"/>
      <c r="D2115" s="18" t="n"/>
      <c r="E2115" s="4" t="n"/>
      <c r="F2115" s="4" t="n"/>
      <c r="G2115" s="4" t="n"/>
      <c r="H2115" s="4" t="n"/>
      <c r="I2115" s="12" t="n"/>
    </row>
    <row r="2116" customFormat="1" s="36">
      <c r="A2116" s="4" t="n"/>
      <c r="B2116" s="4" t="n"/>
      <c r="C2116" s="4" t="n"/>
      <c r="D2116" s="18" t="n"/>
      <c r="E2116" s="4" t="n"/>
      <c r="F2116" s="4" t="n"/>
      <c r="G2116" s="4" t="n"/>
      <c r="H2116" s="4" t="n"/>
      <c r="I2116" s="12" t="n"/>
    </row>
    <row r="2117" customFormat="1" s="36">
      <c r="A2117" s="4" t="n"/>
      <c r="B2117" s="4" t="n"/>
      <c r="C2117" s="4" t="n"/>
      <c r="D2117" s="18" t="n"/>
      <c r="E2117" s="4" t="n"/>
      <c r="F2117" s="4" t="n"/>
      <c r="G2117" s="4" t="n"/>
      <c r="H2117" s="4" t="n"/>
      <c r="I2117" s="12" t="n"/>
    </row>
    <row r="2118" customFormat="1" s="36">
      <c r="A2118" s="4" t="n"/>
      <c r="B2118" s="4" t="n"/>
      <c r="C2118" s="4" t="n"/>
      <c r="D2118" s="18" t="n"/>
      <c r="E2118" s="4" t="n"/>
      <c r="F2118" s="4" t="n"/>
      <c r="G2118" s="4" t="n"/>
      <c r="H2118" s="4" t="n"/>
      <c r="I2118" s="12" t="n"/>
    </row>
    <row r="2119" customFormat="1" s="36">
      <c r="A2119" s="4" t="n"/>
      <c r="B2119" s="4" t="n"/>
      <c r="C2119" s="4" t="n"/>
      <c r="D2119" s="18" t="n"/>
      <c r="E2119" s="4" t="n"/>
      <c r="F2119" s="4" t="n"/>
      <c r="G2119" s="4" t="n"/>
      <c r="H2119" s="4" t="n"/>
      <c r="I2119" s="12" t="n"/>
    </row>
    <row r="2120" customFormat="1" s="36">
      <c r="A2120" s="4" t="n"/>
      <c r="B2120" s="4" t="n"/>
      <c r="C2120" s="4" t="n"/>
      <c r="D2120" s="18" t="n"/>
      <c r="E2120" s="4" t="n"/>
      <c r="F2120" s="4" t="n"/>
      <c r="G2120" s="4" t="n"/>
      <c r="H2120" s="4" t="n"/>
      <c r="I2120" s="12" t="n"/>
    </row>
    <row r="2121" customFormat="1" s="36">
      <c r="A2121" s="4" t="n"/>
      <c r="B2121" s="4" t="n"/>
      <c r="C2121" s="4" t="n"/>
      <c r="D2121" s="18" t="n"/>
      <c r="E2121" s="4" t="n"/>
      <c r="F2121" s="4" t="n"/>
      <c r="G2121" s="4" t="n"/>
      <c r="H2121" s="4" t="n"/>
      <c r="I2121" s="12" t="n"/>
    </row>
    <row r="2122" customFormat="1" s="36">
      <c r="A2122" s="4" t="n"/>
      <c r="B2122" s="4" t="n"/>
      <c r="C2122" s="4" t="n"/>
      <c r="D2122" s="18" t="n"/>
      <c r="E2122" s="4" t="n"/>
      <c r="F2122" s="4" t="n"/>
      <c r="G2122" s="4" t="n"/>
      <c r="H2122" s="4" t="n"/>
      <c r="I2122" s="12" t="n"/>
    </row>
    <row r="2123" customFormat="1" s="36">
      <c r="A2123" s="4" t="n"/>
      <c r="B2123" s="4" t="n"/>
      <c r="C2123" s="4" t="n"/>
      <c r="D2123" s="18" t="n"/>
      <c r="E2123" s="4" t="n"/>
      <c r="F2123" s="4" t="n"/>
      <c r="G2123" s="4" t="n"/>
      <c r="H2123" s="4" t="n"/>
      <c r="I2123" s="12" t="n"/>
    </row>
    <row r="2124" customFormat="1" s="36">
      <c r="A2124" s="4" t="n"/>
      <c r="B2124" s="4" t="n"/>
      <c r="C2124" s="4" t="n"/>
      <c r="D2124" s="18" t="n"/>
      <c r="E2124" s="4" t="n"/>
      <c r="F2124" s="4" t="n"/>
      <c r="G2124" s="4" t="n"/>
      <c r="H2124" s="4" t="n"/>
      <c r="I2124" s="12" t="n"/>
    </row>
    <row r="2125" customFormat="1" s="36">
      <c r="A2125" s="4" t="n"/>
      <c r="B2125" s="4" t="n"/>
      <c r="C2125" s="4" t="n"/>
      <c r="D2125" s="18" t="n"/>
      <c r="E2125" s="4" t="n"/>
      <c r="F2125" s="4" t="n"/>
      <c r="G2125" s="4" t="n"/>
      <c r="H2125" s="4" t="n"/>
      <c r="I2125" s="12" t="n"/>
    </row>
    <row r="2126" customFormat="1" s="36">
      <c r="A2126" s="4" t="n"/>
      <c r="B2126" s="4" t="n"/>
      <c r="C2126" s="4" t="n"/>
      <c r="D2126" s="18" t="n"/>
      <c r="E2126" s="4" t="n"/>
      <c r="F2126" s="4" t="n"/>
      <c r="G2126" s="4" t="n"/>
      <c r="H2126" s="4" t="n"/>
      <c r="I2126" s="12" t="n"/>
    </row>
    <row r="2127" customFormat="1" s="36">
      <c r="A2127" s="4" t="n"/>
      <c r="B2127" s="4" t="n"/>
      <c r="C2127" s="4" t="n"/>
      <c r="D2127" s="18" t="n"/>
      <c r="E2127" s="4" t="n"/>
      <c r="F2127" s="4" t="n"/>
      <c r="G2127" s="4" t="n"/>
      <c r="H2127" s="4" t="n"/>
      <c r="I2127" s="12" t="n"/>
    </row>
    <row r="2128" customFormat="1" s="36">
      <c r="A2128" s="4" t="n"/>
      <c r="B2128" s="4" t="n"/>
      <c r="C2128" s="4" t="n"/>
      <c r="D2128" s="18" t="n"/>
      <c r="E2128" s="4" t="n"/>
      <c r="F2128" s="4" t="n"/>
      <c r="G2128" s="4" t="n"/>
      <c r="H2128" s="4" t="n"/>
      <c r="I2128" s="12" t="n"/>
    </row>
    <row r="2129" customFormat="1" s="36">
      <c r="A2129" s="4" t="n"/>
      <c r="B2129" s="4" t="n"/>
      <c r="C2129" s="4" t="n"/>
      <c r="D2129" s="18" t="n"/>
      <c r="E2129" s="4" t="n"/>
      <c r="F2129" s="4" t="n"/>
      <c r="G2129" s="4" t="n"/>
      <c r="H2129" s="4" t="n"/>
      <c r="I2129" s="12" t="n"/>
    </row>
    <row r="2130" customFormat="1" s="36">
      <c r="A2130" s="4" t="n"/>
      <c r="B2130" s="4" t="n"/>
      <c r="C2130" s="4" t="n"/>
      <c r="D2130" s="18" t="n"/>
      <c r="E2130" s="4" t="n"/>
      <c r="F2130" s="4" t="n"/>
      <c r="G2130" s="4" t="n"/>
      <c r="H2130" s="4" t="n"/>
      <c r="I2130" s="12" t="n"/>
    </row>
    <row r="2131" customFormat="1" s="36">
      <c r="A2131" s="4" t="n"/>
      <c r="B2131" s="4" t="n"/>
      <c r="C2131" s="4" t="n"/>
      <c r="D2131" s="18" t="n"/>
      <c r="E2131" s="4" t="n"/>
      <c r="F2131" s="4" t="n"/>
      <c r="G2131" s="4" t="n"/>
      <c r="H2131" s="4" t="n"/>
      <c r="I2131" s="12" t="n"/>
    </row>
    <row r="2132" customFormat="1" s="36">
      <c r="A2132" s="4" t="n"/>
      <c r="B2132" s="4" t="n"/>
      <c r="C2132" s="4" t="n"/>
      <c r="D2132" s="18" t="n"/>
      <c r="E2132" s="4" t="n"/>
      <c r="F2132" s="4" t="n"/>
      <c r="G2132" s="4" t="n"/>
      <c r="H2132" s="4" t="n"/>
      <c r="I2132" s="12" t="n"/>
    </row>
    <row r="2133" customFormat="1" s="36">
      <c r="A2133" s="4" t="n"/>
      <c r="B2133" s="4" t="n"/>
      <c r="C2133" s="4" t="n"/>
      <c r="D2133" s="18" t="n"/>
      <c r="E2133" s="4" t="n"/>
      <c r="F2133" s="4" t="n"/>
      <c r="G2133" s="4" t="n"/>
      <c r="H2133" s="4" t="n"/>
      <c r="I2133" s="12" t="n"/>
    </row>
    <row r="2134" customFormat="1" s="36">
      <c r="A2134" s="4" t="n"/>
      <c r="B2134" s="4" t="n"/>
      <c r="C2134" s="4" t="n"/>
      <c r="D2134" s="18" t="n"/>
      <c r="E2134" s="4" t="n"/>
      <c r="F2134" s="4" t="n"/>
      <c r="G2134" s="4" t="n"/>
      <c r="H2134" s="4" t="n"/>
      <c r="I2134" s="12" t="n"/>
    </row>
    <row r="2135" customFormat="1" s="36">
      <c r="A2135" s="4" t="n"/>
      <c r="B2135" s="4" t="n"/>
      <c r="C2135" s="4" t="n"/>
      <c r="D2135" s="18" t="n"/>
      <c r="E2135" s="4" t="n"/>
      <c r="F2135" s="4" t="n"/>
      <c r="G2135" s="4" t="n"/>
      <c r="H2135" s="4" t="n"/>
      <c r="I2135" s="12" t="n"/>
    </row>
    <row r="2136" customFormat="1" s="36">
      <c r="A2136" s="4" t="n"/>
      <c r="B2136" s="4" t="n"/>
      <c r="C2136" s="4" t="n"/>
      <c r="D2136" s="18" t="n"/>
      <c r="E2136" s="4" t="n"/>
      <c r="F2136" s="4" t="n"/>
      <c r="G2136" s="4" t="n"/>
      <c r="H2136" s="4" t="n"/>
      <c r="I2136" s="12" t="n"/>
    </row>
    <row r="2137" customFormat="1" s="36">
      <c r="A2137" s="4" t="n"/>
      <c r="B2137" s="4" t="n"/>
      <c r="C2137" s="4" t="n"/>
      <c r="D2137" s="18" t="n"/>
      <c r="E2137" s="4" t="n"/>
      <c r="F2137" s="4" t="n"/>
      <c r="G2137" s="4" t="n"/>
      <c r="H2137" s="4" t="n"/>
      <c r="I2137" s="12" t="n"/>
    </row>
    <row r="2138" customFormat="1" s="36">
      <c r="A2138" s="4" t="n"/>
      <c r="B2138" s="4" t="n"/>
      <c r="C2138" s="4" t="n"/>
      <c r="D2138" s="18" t="n"/>
      <c r="E2138" s="4" t="n"/>
      <c r="F2138" s="4" t="n"/>
      <c r="G2138" s="4" t="n"/>
      <c r="H2138" s="4" t="n"/>
      <c r="I2138" s="12" t="n"/>
    </row>
    <row r="2139" customFormat="1" s="36">
      <c r="A2139" s="4" t="n"/>
      <c r="B2139" s="4" t="n"/>
      <c r="C2139" s="4" t="n"/>
      <c r="D2139" s="18" t="n"/>
      <c r="E2139" s="4" t="n"/>
      <c r="F2139" s="4" t="n"/>
      <c r="G2139" s="4" t="n"/>
      <c r="H2139" s="4" t="n"/>
      <c r="I2139" s="12" t="n"/>
    </row>
    <row r="2140" customFormat="1" s="36">
      <c r="A2140" s="4" t="n"/>
      <c r="B2140" s="4" t="n"/>
      <c r="C2140" s="4" t="n"/>
      <c r="D2140" s="18" t="n"/>
      <c r="E2140" s="4" t="n"/>
      <c r="F2140" s="4" t="n"/>
      <c r="G2140" s="4" t="n"/>
      <c r="H2140" s="4" t="n"/>
      <c r="I2140" s="12" t="n"/>
    </row>
    <row r="2141" customFormat="1" s="36">
      <c r="A2141" s="4" t="n"/>
      <c r="B2141" s="4" t="n"/>
      <c r="C2141" s="4" t="n"/>
      <c r="D2141" s="18" t="n"/>
      <c r="E2141" s="4" t="n"/>
      <c r="F2141" s="4" t="n"/>
      <c r="G2141" s="4" t="n"/>
      <c r="H2141" s="4" t="n"/>
      <c r="I2141" s="12" t="n"/>
    </row>
    <row r="2142" customFormat="1" s="36">
      <c r="A2142" s="4" t="n"/>
      <c r="B2142" s="4" t="n"/>
      <c r="C2142" s="4" t="n"/>
      <c r="D2142" s="18" t="n"/>
      <c r="E2142" s="4" t="n"/>
      <c r="F2142" s="4" t="n"/>
      <c r="G2142" s="4" t="n"/>
      <c r="H2142" s="4" t="n"/>
      <c r="I2142" s="12" t="n"/>
    </row>
    <row r="2143" customFormat="1" s="36">
      <c r="A2143" s="4" t="n"/>
      <c r="B2143" s="4" t="n"/>
      <c r="C2143" s="4" t="n"/>
      <c r="D2143" s="18" t="n"/>
      <c r="E2143" s="4" t="n"/>
      <c r="F2143" s="4" t="n"/>
      <c r="G2143" s="4" t="n"/>
      <c r="H2143" s="4" t="n"/>
      <c r="I2143" s="12" t="n"/>
    </row>
    <row r="2144" customFormat="1" s="36">
      <c r="A2144" s="4" t="n"/>
      <c r="B2144" s="4" t="n"/>
      <c r="C2144" s="4" t="n"/>
      <c r="D2144" s="18" t="n"/>
      <c r="E2144" s="4" t="n"/>
      <c r="F2144" s="4" t="n"/>
      <c r="G2144" s="4" t="n"/>
      <c r="H2144" s="4" t="n"/>
      <c r="I2144" s="12" t="n"/>
    </row>
    <row r="2145" customFormat="1" s="36">
      <c r="A2145" s="4" t="n"/>
      <c r="B2145" s="4" t="n"/>
      <c r="C2145" s="4" t="n"/>
      <c r="D2145" s="18" t="n"/>
      <c r="E2145" s="4" t="n"/>
      <c r="F2145" s="4" t="n"/>
      <c r="G2145" s="4" t="n"/>
      <c r="H2145" s="4" t="n"/>
      <c r="I2145" s="12" t="n"/>
    </row>
    <row r="2146" customFormat="1" s="36">
      <c r="A2146" s="4" t="n"/>
      <c r="B2146" s="4" t="n"/>
      <c r="C2146" s="4" t="n"/>
      <c r="D2146" s="18" t="n"/>
      <c r="E2146" s="4" t="n"/>
      <c r="F2146" s="4" t="n"/>
      <c r="G2146" s="4" t="n"/>
      <c r="H2146" s="4" t="n"/>
      <c r="I2146" s="12" t="n"/>
    </row>
    <row r="2147" customFormat="1" s="36">
      <c r="A2147" s="4" t="n"/>
      <c r="B2147" s="4" t="n"/>
      <c r="C2147" s="4" t="n"/>
      <c r="D2147" s="18" t="n"/>
      <c r="E2147" s="4" t="n"/>
      <c r="F2147" s="4" t="n"/>
      <c r="G2147" s="4" t="n"/>
      <c r="H2147" s="4" t="n"/>
      <c r="I2147" s="12" t="n"/>
    </row>
    <row r="2148" customFormat="1" s="36">
      <c r="A2148" s="4" t="n"/>
      <c r="B2148" s="4" t="n"/>
      <c r="C2148" s="4" t="n"/>
      <c r="D2148" s="18" t="n"/>
      <c r="E2148" s="4" t="n"/>
      <c r="F2148" s="4" t="n"/>
      <c r="G2148" s="4" t="n"/>
      <c r="H2148" s="4" t="n"/>
      <c r="I2148" s="12" t="n"/>
    </row>
    <row r="2149" customFormat="1" s="36">
      <c r="A2149" s="4" t="n"/>
      <c r="B2149" s="4" t="n"/>
      <c r="C2149" s="4" t="n"/>
      <c r="D2149" s="18" t="n"/>
      <c r="E2149" s="4" t="n"/>
      <c r="F2149" s="4" t="n"/>
      <c r="G2149" s="4" t="n"/>
      <c r="H2149" s="4" t="n"/>
      <c r="I2149" s="12" t="n"/>
    </row>
    <row r="2150" customFormat="1" s="36">
      <c r="A2150" s="4" t="n"/>
      <c r="B2150" s="4" t="n"/>
      <c r="C2150" s="4" t="n"/>
      <c r="D2150" s="18" t="n"/>
      <c r="E2150" s="4" t="n"/>
      <c r="F2150" s="4" t="n"/>
      <c r="G2150" s="4" t="n"/>
      <c r="H2150" s="4" t="n"/>
      <c r="I2150" s="12" t="n"/>
    </row>
    <row r="2151" customFormat="1" s="36">
      <c r="A2151" s="4" t="n"/>
      <c r="B2151" s="4" t="n"/>
      <c r="C2151" s="4" t="n"/>
      <c r="D2151" s="18" t="n"/>
      <c r="E2151" s="4" t="n"/>
      <c r="F2151" s="4" t="n"/>
      <c r="G2151" s="4" t="n"/>
      <c r="H2151" s="4" t="n"/>
      <c r="I2151" s="12" t="n"/>
    </row>
    <row r="2152" customFormat="1" s="36">
      <c r="A2152" s="4" t="n"/>
      <c r="B2152" s="4" t="n"/>
      <c r="C2152" s="4" t="n"/>
      <c r="D2152" s="18" t="n"/>
      <c r="E2152" s="4" t="n"/>
      <c r="F2152" s="4" t="n"/>
      <c r="G2152" s="4" t="n"/>
      <c r="H2152" s="4" t="n"/>
      <c r="I2152" s="12" t="n"/>
    </row>
    <row r="2153" customFormat="1" s="36">
      <c r="A2153" s="4" t="n"/>
      <c r="B2153" s="4" t="n"/>
      <c r="C2153" s="4" t="n"/>
      <c r="D2153" s="18" t="n"/>
      <c r="E2153" s="4" t="n"/>
      <c r="F2153" s="4" t="n"/>
      <c r="G2153" s="4" t="n"/>
      <c r="H2153" s="4" t="n"/>
      <c r="I2153" s="12" t="n"/>
    </row>
    <row r="2154" customFormat="1" s="36">
      <c r="A2154" s="4" t="n"/>
      <c r="B2154" s="4" t="n"/>
      <c r="C2154" s="4" t="n"/>
      <c r="D2154" s="18" t="n"/>
      <c r="E2154" s="4" t="n"/>
      <c r="F2154" s="4" t="n"/>
      <c r="G2154" s="4" t="n"/>
      <c r="H2154" s="4" t="n"/>
      <c r="I2154" s="12" t="n"/>
    </row>
    <row r="2155" customFormat="1" s="36">
      <c r="A2155" s="4" t="n"/>
      <c r="B2155" s="4" t="n"/>
      <c r="C2155" s="4" t="n"/>
      <c r="D2155" s="18" t="n"/>
      <c r="E2155" s="4" t="n"/>
      <c r="F2155" s="4" t="n"/>
      <c r="G2155" s="4" t="n"/>
      <c r="H2155" s="4" t="n"/>
      <c r="I2155" s="12" t="n"/>
    </row>
    <row r="2156" customFormat="1" s="36">
      <c r="A2156" s="4" t="n"/>
      <c r="B2156" s="4" t="n"/>
      <c r="C2156" s="4" t="n"/>
      <c r="D2156" s="18" t="n"/>
      <c r="E2156" s="4" t="n"/>
      <c r="F2156" s="4" t="n"/>
      <c r="G2156" s="4" t="n"/>
      <c r="H2156" s="4" t="n"/>
      <c r="I2156" s="12" t="n"/>
    </row>
    <row r="2157" customFormat="1" s="36">
      <c r="A2157" s="4" t="n"/>
      <c r="B2157" s="4" t="n"/>
      <c r="C2157" s="4" t="n"/>
      <c r="D2157" s="18" t="n"/>
      <c r="E2157" s="4" t="n"/>
      <c r="F2157" s="4" t="n"/>
      <c r="G2157" s="4" t="n"/>
      <c r="H2157" s="4" t="n"/>
      <c r="I2157" s="12" t="n"/>
    </row>
    <row r="2158" customFormat="1" s="36">
      <c r="A2158" s="4" t="n"/>
      <c r="B2158" s="4" t="n"/>
      <c r="C2158" s="4" t="n"/>
      <c r="D2158" s="18" t="n"/>
      <c r="E2158" s="4" t="n"/>
      <c r="F2158" s="4" t="n"/>
      <c r="G2158" s="4" t="n"/>
      <c r="H2158" s="4" t="n"/>
      <c r="I2158" s="12" t="n"/>
    </row>
    <row r="2159" customFormat="1" s="36">
      <c r="A2159" s="4" t="n"/>
      <c r="B2159" s="4" t="n"/>
      <c r="C2159" s="4" t="n"/>
      <c r="D2159" s="18" t="n"/>
      <c r="E2159" s="4" t="n"/>
      <c r="F2159" s="4" t="n"/>
      <c r="G2159" s="4" t="n"/>
      <c r="H2159" s="4" t="n"/>
      <c r="I2159" s="12" t="n"/>
    </row>
    <row r="2160" customFormat="1" s="36">
      <c r="A2160" s="4" t="n"/>
      <c r="B2160" s="4" t="n"/>
      <c r="C2160" s="4" t="n"/>
      <c r="D2160" s="18" t="n"/>
      <c r="E2160" s="4" t="n"/>
      <c r="F2160" s="4" t="n"/>
      <c r="G2160" s="4" t="n"/>
      <c r="H2160" s="4" t="n"/>
      <c r="I2160" s="12" t="n"/>
    </row>
    <row r="2161" customFormat="1" s="36">
      <c r="A2161" s="4" t="n"/>
      <c r="B2161" s="4" t="n"/>
      <c r="C2161" s="4" t="n"/>
      <c r="D2161" s="18" t="n"/>
      <c r="E2161" s="4" t="n"/>
      <c r="F2161" s="4" t="n"/>
      <c r="G2161" s="4" t="n"/>
      <c r="H2161" s="4" t="n"/>
      <c r="I2161" s="12" t="n"/>
    </row>
    <row r="2162" customFormat="1" s="36">
      <c r="A2162" s="4" t="n"/>
      <c r="B2162" s="4" t="n"/>
      <c r="C2162" s="4" t="n"/>
      <c r="D2162" s="18" t="n"/>
      <c r="E2162" s="4" t="n"/>
      <c r="F2162" s="4" t="n"/>
      <c r="G2162" s="4" t="n"/>
      <c r="H2162" s="4" t="n"/>
      <c r="I2162" s="12" t="n"/>
    </row>
    <row r="2163" customFormat="1" s="36">
      <c r="A2163" s="4" t="n"/>
      <c r="B2163" s="4" t="n"/>
      <c r="C2163" s="4" t="n"/>
      <c r="D2163" s="18" t="n"/>
      <c r="E2163" s="4" t="n"/>
      <c r="F2163" s="4" t="n"/>
      <c r="G2163" s="4" t="n"/>
      <c r="H2163" s="4" t="n"/>
      <c r="I2163" s="12" t="n"/>
    </row>
    <row r="2164" customFormat="1" s="36">
      <c r="A2164" s="4" t="n"/>
      <c r="B2164" s="4" t="n"/>
      <c r="C2164" s="4" t="n"/>
      <c r="D2164" s="18" t="n"/>
      <c r="E2164" s="4" t="n"/>
      <c r="F2164" s="4" t="n"/>
      <c r="G2164" s="4" t="n"/>
      <c r="H2164" s="4" t="n"/>
      <c r="I2164" s="12" t="n"/>
    </row>
    <row r="2165" customFormat="1" s="36">
      <c r="A2165" s="4" t="n"/>
      <c r="B2165" s="4" t="n"/>
      <c r="C2165" s="4" t="n"/>
      <c r="D2165" s="18" t="n"/>
      <c r="E2165" s="4" t="n"/>
      <c r="F2165" s="4" t="n"/>
      <c r="G2165" s="4" t="n"/>
      <c r="H2165" s="4" t="n"/>
      <c r="I2165" s="12" t="n"/>
    </row>
    <row r="2166" customFormat="1" s="36">
      <c r="A2166" s="4" t="n"/>
      <c r="B2166" s="4" t="n"/>
      <c r="C2166" s="4" t="n"/>
      <c r="D2166" s="18" t="n"/>
      <c r="E2166" s="4" t="n"/>
      <c r="F2166" s="4" t="n"/>
      <c r="G2166" s="4" t="n"/>
      <c r="H2166" s="4" t="n"/>
      <c r="I2166" s="12" t="n"/>
    </row>
    <row r="2167" customFormat="1" s="36">
      <c r="A2167" s="4" t="n"/>
      <c r="B2167" s="4" t="n"/>
      <c r="C2167" s="4" t="n"/>
      <c r="D2167" s="18" t="n"/>
      <c r="E2167" s="4" t="n"/>
      <c r="F2167" s="4" t="n"/>
      <c r="G2167" s="4" t="n"/>
      <c r="H2167" s="4" t="n"/>
      <c r="I2167" s="12" t="n"/>
    </row>
    <row r="2168" customFormat="1" s="36">
      <c r="A2168" s="4" t="n"/>
      <c r="B2168" s="4" t="n"/>
      <c r="C2168" s="4" t="n"/>
      <c r="D2168" s="18" t="n"/>
      <c r="E2168" s="4" t="n"/>
      <c r="F2168" s="4" t="n"/>
      <c r="G2168" s="4" t="n"/>
      <c r="H2168" s="4" t="n"/>
      <c r="I2168" s="12" t="n"/>
    </row>
    <row r="2169" customFormat="1" s="36">
      <c r="A2169" s="4" t="n"/>
      <c r="B2169" s="4" t="n"/>
      <c r="C2169" s="4" t="n"/>
      <c r="D2169" s="18" t="n"/>
      <c r="E2169" s="4" t="n"/>
      <c r="F2169" s="4" t="n"/>
      <c r="G2169" s="4" t="n"/>
      <c r="H2169" s="4" t="n"/>
      <c r="I2169" s="12" t="n"/>
    </row>
    <row r="2170" customFormat="1" s="36">
      <c r="A2170" s="4" t="n"/>
      <c r="B2170" s="4" t="n"/>
      <c r="C2170" s="4" t="n"/>
      <c r="D2170" s="18" t="n"/>
      <c r="E2170" s="4" t="n"/>
      <c r="F2170" s="4" t="n"/>
      <c r="G2170" s="4" t="n"/>
      <c r="H2170" s="4" t="n"/>
      <c r="I2170" s="12" t="n"/>
    </row>
    <row r="2171" customFormat="1" s="36">
      <c r="A2171" s="4" t="n"/>
      <c r="B2171" s="4" t="n"/>
      <c r="C2171" s="4" t="n"/>
      <c r="D2171" s="18" t="n"/>
      <c r="E2171" s="4" t="n"/>
      <c r="F2171" s="4" t="n"/>
      <c r="G2171" s="4" t="n"/>
      <c r="H2171" s="4" t="n"/>
      <c r="I2171" s="12" t="n"/>
    </row>
    <row r="2172" customFormat="1" s="36">
      <c r="A2172" s="4" t="n"/>
      <c r="B2172" s="4" t="n"/>
      <c r="C2172" s="4" t="n"/>
      <c r="D2172" s="18" t="n"/>
      <c r="E2172" s="4" t="n"/>
      <c r="F2172" s="4" t="n"/>
      <c r="G2172" s="4" t="n"/>
      <c r="H2172" s="4" t="n"/>
      <c r="I2172" s="12" t="n"/>
    </row>
  </sheetData>
  <autoFilter ref="A1:O2172"/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2006-09-24T08:00:00Z</dcterms:created>
  <dcterms:modified xmlns:dcterms="http://purl.org/dc/terms/" xmlns:xsi="http://www.w3.org/2001/XMLSchema-instance" xsi:type="dcterms:W3CDTF">2026-05-09T02:32:07Z</dcterms:modified>
  <cp:lastModifiedBy>CW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FF56029BA312436C831EE45CCABDBF5E_12</vt:lpwstr>
  </property>
  <property name="KSOProductBuildVer" fmtid="{D5CDD505-2E9C-101B-9397-08002B2CF9AE}" pid="3">
    <vt:lpwstr xmlns:vt="http://schemas.openxmlformats.org/officeDocument/2006/docPropsVTypes">2052-0.0.0.0</vt:lpwstr>
  </property>
  <property name="KSOReadingLayout" fmtid="{D5CDD505-2E9C-101B-9397-08002B2CF9AE}" pid="4">
    <vt:bool xmlns:vt="http://schemas.openxmlformats.org/officeDocument/2006/docPropsVTypes">1</vt:bool>
  </property>
</Properties>
</file>